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queryTables/queryTable1.xml" ContentType="application/vnd.openxmlformats-officedocument.spreadsheetml.queryTable+xml"/>
  <Override PartName="/xl/tables/table4.xml" ContentType="application/vnd.openxmlformats-officedocument.spreadsheetml.table+xml"/>
  <Override PartName="/xl/queryTables/queryTable2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2622a8db4208f2b/Desktop/Two-Asset Portfolio Minimum-Variance Optimization/"/>
    </mc:Choice>
  </mc:AlternateContent>
  <xr:revisionPtr revIDLastSave="63" documentId="8_{3C10706D-8C62-44D1-9409-3EE79201B5F8}" xr6:coauthVersionLast="47" xr6:coauthVersionMax="47" xr10:uidLastSave="{57E78967-EF38-473E-BE72-D29D826AD591}"/>
  <bookViews>
    <workbookView xWindow="25695" yWindow="0" windowWidth="26010" windowHeight="20985" xr2:uid="{552C712F-EB09-49B0-A9CE-70181A7FEFD4}"/>
  </bookViews>
  <sheets>
    <sheet name="README_Web" sheetId="8" r:id="rId1"/>
    <sheet name="Analysis_Dashboard" sheetId="6" r:id="rId2"/>
    <sheet name="Methodology" sheetId="7" r:id="rId3"/>
    <sheet name="Risk_Analysis" sheetId="1" r:id="rId4"/>
    <sheet name="Optimization_Calculations" sheetId="11" r:id="rId5"/>
    <sheet name="Indexed_Performance_Data" sheetId="9" r:id="rId6"/>
    <sheet name="SPY_Raw_Data" sheetId="4" state="hidden" r:id="rId7"/>
    <sheet name="XLU_Raw_Data" sheetId="5" state="hidden" r:id="rId8"/>
  </sheets>
  <definedNames>
    <definedName name="ExternalData_1" localSheetId="6" hidden="1">SPY_Raw_Data!$A$1:$F$1256</definedName>
    <definedName name="ExternalData_1" localSheetId="7" hidden="1">XLU_Raw_Data!$A$1:$F$1256</definedName>
    <definedName name="solver_adj" localSheetId="3" hidden="1">Risk_Analysis!$M$3:$M$4</definedName>
    <definedName name="solver_cvg" localSheetId="1" hidden="1">0.0001</definedName>
    <definedName name="solver_cvg" localSheetId="3" hidden="1">0.0001</definedName>
    <definedName name="solver_drv" localSheetId="1" hidden="1">1</definedName>
    <definedName name="solver_drv" localSheetId="3" hidden="1">2</definedName>
    <definedName name="solver_eng" localSheetId="1" hidden="1">1</definedName>
    <definedName name="solver_eng" localSheetId="3" hidden="1">1</definedName>
    <definedName name="solver_est" localSheetId="1" hidden="1">1</definedName>
    <definedName name="solver_est" localSheetId="3" hidden="1">1</definedName>
    <definedName name="solver_itr" localSheetId="1" hidden="1">2147483647</definedName>
    <definedName name="solver_itr" localSheetId="3" hidden="1">2147483647</definedName>
    <definedName name="solver_lhs1" localSheetId="3" hidden="1">Risk_Analysis!$M$3</definedName>
    <definedName name="solver_lhs2" localSheetId="3" hidden="1">Risk_Analysis!$M$3:$M$4</definedName>
    <definedName name="solver_lhs3" localSheetId="3" hidden="1">Risk_Analysis!$M$4</definedName>
    <definedName name="solver_lhs4" localSheetId="3" hidden="1">Risk_Analysis!$M$5</definedName>
    <definedName name="solver_lhs5" localSheetId="3" hidden="1">Risk_Analysis!$M$5</definedName>
    <definedName name="solver_mip" localSheetId="1" hidden="1">2147483647</definedName>
    <definedName name="solver_mip" localSheetId="3" hidden="1">2147483647</definedName>
    <definedName name="solver_mni" localSheetId="1" hidden="1">30</definedName>
    <definedName name="solver_mni" localSheetId="3" hidden="1">30</definedName>
    <definedName name="solver_mrt" localSheetId="1" hidden="1">0.075</definedName>
    <definedName name="solver_mrt" localSheetId="3" hidden="1">0.075</definedName>
    <definedName name="solver_msl" localSheetId="1" hidden="1">2</definedName>
    <definedName name="solver_msl" localSheetId="3" hidden="1">2</definedName>
    <definedName name="solver_neg" localSheetId="1" hidden="1">1</definedName>
    <definedName name="solver_neg" localSheetId="3" hidden="1">1</definedName>
    <definedName name="solver_nod" localSheetId="1" hidden="1">2147483647</definedName>
    <definedName name="solver_nod" localSheetId="3" hidden="1">2147483647</definedName>
    <definedName name="solver_num" localSheetId="1" hidden="1">0</definedName>
    <definedName name="solver_num" localSheetId="3" hidden="1">5</definedName>
    <definedName name="solver_nwt" localSheetId="1" hidden="1">1</definedName>
    <definedName name="solver_nwt" localSheetId="3" hidden="1">1</definedName>
    <definedName name="solver_opt" localSheetId="1" hidden="1">Optimization_Calculations!$F$2</definedName>
    <definedName name="solver_opt" localSheetId="3" hidden="1">Risk_Analysis!$M$9</definedName>
    <definedName name="solver_pre" localSheetId="1" hidden="1">0.000001</definedName>
    <definedName name="solver_pre" localSheetId="3" hidden="1">0.000001</definedName>
    <definedName name="solver_rbv" localSheetId="1" hidden="1">1</definedName>
    <definedName name="solver_rbv" localSheetId="3" hidden="1">2</definedName>
    <definedName name="solver_rel1" localSheetId="3" hidden="1">3</definedName>
    <definedName name="solver_rel2" localSheetId="3" hidden="1">3</definedName>
    <definedName name="solver_rel3" localSheetId="3" hidden="1">3</definedName>
    <definedName name="solver_rel4" localSheetId="3" hidden="1">2</definedName>
    <definedName name="solver_rel5" localSheetId="3" hidden="1">2</definedName>
    <definedName name="solver_rhs1" localSheetId="3" hidden="1">0</definedName>
    <definedName name="solver_rhs2" localSheetId="3" hidden="1">0</definedName>
    <definedName name="solver_rhs3" localSheetId="3" hidden="1">0</definedName>
    <definedName name="solver_rhs4" localSheetId="3" hidden="1">1</definedName>
    <definedName name="solver_rhs5" localSheetId="3" hidden="1">1</definedName>
    <definedName name="solver_rlx" localSheetId="1" hidden="1">2</definedName>
    <definedName name="solver_rlx" localSheetId="3" hidden="1">2</definedName>
    <definedName name="solver_rsd" localSheetId="1" hidden="1">0</definedName>
    <definedName name="solver_rsd" localSheetId="3" hidden="1">0</definedName>
    <definedName name="solver_scl" localSheetId="1" hidden="1">1</definedName>
    <definedName name="solver_scl" localSheetId="3" hidden="1">2</definedName>
    <definedName name="solver_sho" localSheetId="1" hidden="1">2</definedName>
    <definedName name="solver_sho" localSheetId="3" hidden="1">2</definedName>
    <definedName name="solver_ssz" localSheetId="1" hidden="1">100</definedName>
    <definedName name="solver_ssz" localSheetId="3" hidden="1">100</definedName>
    <definedName name="solver_tim" localSheetId="1" hidden="1">2147483647</definedName>
    <definedName name="solver_tim" localSheetId="3" hidden="1">2147483647</definedName>
    <definedName name="solver_tol" localSheetId="1" hidden="1">0.01</definedName>
    <definedName name="solver_tol" localSheetId="3" hidden="1">0.01</definedName>
    <definedName name="solver_typ" localSheetId="1" hidden="1">1</definedName>
    <definedName name="solver_typ" localSheetId="3" hidden="1">1</definedName>
    <definedName name="solver_val" localSheetId="1" hidden="1">0</definedName>
    <definedName name="solver_val" localSheetId="3" hidden="1">0</definedName>
    <definedName name="solver_ver" localSheetId="1" hidden="1">3</definedName>
    <definedName name="solver_ver" localSheetId="3" hidden="1">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2" i="11" l="1"/>
  <c r="B12" i="11"/>
  <c r="C11" i="11"/>
  <c r="B11" i="11"/>
  <c r="C10" i="11"/>
  <c r="B10" i="11"/>
  <c r="C9" i="11"/>
  <c r="B9" i="11"/>
  <c r="C8" i="11"/>
  <c r="B8" i="11"/>
  <c r="C7" i="11"/>
  <c r="B7" i="11"/>
  <c r="C6" i="11"/>
  <c r="B6" i="11"/>
  <c r="F5" i="11"/>
  <c r="C5" i="11"/>
  <c r="B5" i="11"/>
  <c r="F4" i="11"/>
  <c r="C4" i="11"/>
  <c r="B4" i="11"/>
  <c r="C3" i="11"/>
  <c r="B3" i="11"/>
  <c r="F2" i="11"/>
  <c r="E2" i="11"/>
  <c r="C2" i="11"/>
  <c r="B2" i="11"/>
  <c r="C11" i="6"/>
  <c r="C10" i="6"/>
  <c r="C9" i="6"/>
  <c r="C8" i="6"/>
  <c r="C6" i="6"/>
  <c r="C5" i="6"/>
  <c r="A1256" i="9"/>
  <c r="A1255" i="9"/>
  <c r="A1254" i="9"/>
  <c r="A1253" i="9"/>
  <c r="A1252" i="9"/>
  <c r="A1251" i="9"/>
  <c r="A1250" i="9"/>
  <c r="A1249" i="9"/>
  <c r="A1248" i="9"/>
  <c r="A1247" i="9"/>
  <c r="A1246" i="9"/>
  <c r="A1245" i="9"/>
  <c r="A1244" i="9"/>
  <c r="A1243" i="9"/>
  <c r="A1242" i="9"/>
  <c r="A1241" i="9"/>
  <c r="A1240" i="9"/>
  <c r="A1239" i="9"/>
  <c r="A1238" i="9"/>
  <c r="A1237" i="9"/>
  <c r="A1236" i="9"/>
  <c r="A1235" i="9"/>
  <c r="A1234" i="9"/>
  <c r="A1233" i="9"/>
  <c r="A1232" i="9"/>
  <c r="A1231" i="9"/>
  <c r="A1230" i="9"/>
  <c r="A1229" i="9"/>
  <c r="A1228" i="9"/>
  <c r="A1227" i="9"/>
  <c r="A1226" i="9"/>
  <c r="A1225" i="9"/>
  <c r="A1224" i="9"/>
  <c r="A1223" i="9"/>
  <c r="A1222" i="9"/>
  <c r="A1221" i="9"/>
  <c r="A1220" i="9"/>
  <c r="A1219" i="9"/>
  <c r="A1218" i="9"/>
  <c r="A1217" i="9"/>
  <c r="A1216" i="9"/>
  <c r="A1215" i="9"/>
  <c r="A1214" i="9"/>
  <c r="A1213" i="9"/>
  <c r="A1212" i="9"/>
  <c r="A1211" i="9"/>
  <c r="A1210" i="9"/>
  <c r="A1209" i="9"/>
  <c r="A1208" i="9"/>
  <c r="A1207" i="9"/>
  <c r="A1206" i="9"/>
  <c r="A1205" i="9"/>
  <c r="A1204" i="9"/>
  <c r="A1203" i="9"/>
  <c r="A1202" i="9"/>
  <c r="A1201" i="9"/>
  <c r="A1200" i="9"/>
  <c r="A1199" i="9"/>
  <c r="A1198" i="9"/>
  <c r="A1197" i="9"/>
  <c r="A1196" i="9"/>
  <c r="A1195" i="9"/>
  <c r="A1194" i="9"/>
  <c r="A1193" i="9"/>
  <c r="A1192" i="9"/>
  <c r="A1191" i="9"/>
  <c r="A1190" i="9"/>
  <c r="A1189" i="9"/>
  <c r="A1188" i="9"/>
  <c r="A1187" i="9"/>
  <c r="A1186" i="9"/>
  <c r="A1185" i="9"/>
  <c r="A1184" i="9"/>
  <c r="A1183" i="9"/>
  <c r="A1182" i="9"/>
  <c r="A1181" i="9"/>
  <c r="A1180" i="9"/>
  <c r="A1179" i="9"/>
  <c r="A1178" i="9"/>
  <c r="A1177" i="9"/>
  <c r="A1176" i="9"/>
  <c r="A1175" i="9"/>
  <c r="A1174" i="9"/>
  <c r="A1173" i="9"/>
  <c r="A1172" i="9"/>
  <c r="A1171" i="9"/>
  <c r="A1170" i="9"/>
  <c r="A1169" i="9"/>
  <c r="A1168" i="9"/>
  <c r="A1167" i="9"/>
  <c r="A1166" i="9"/>
  <c r="A1165" i="9"/>
  <c r="A1164" i="9"/>
  <c r="A1163" i="9"/>
  <c r="A1162" i="9"/>
  <c r="A1161" i="9"/>
  <c r="A1160" i="9"/>
  <c r="A1159" i="9"/>
  <c r="A1158" i="9"/>
  <c r="A1157" i="9"/>
  <c r="A1156" i="9"/>
  <c r="A1155" i="9"/>
  <c r="A1154" i="9"/>
  <c r="A1153" i="9"/>
  <c r="A1152" i="9"/>
  <c r="A1151" i="9"/>
  <c r="A1150" i="9"/>
  <c r="A1149" i="9"/>
  <c r="A1148" i="9"/>
  <c r="A1147" i="9"/>
  <c r="A1146" i="9"/>
  <c r="A1145" i="9"/>
  <c r="A1144" i="9"/>
  <c r="A1143" i="9"/>
  <c r="A1142" i="9"/>
  <c r="A1141" i="9"/>
  <c r="A1140" i="9"/>
  <c r="A1139" i="9"/>
  <c r="A1138" i="9"/>
  <c r="A1137" i="9"/>
  <c r="A1136" i="9"/>
  <c r="A1135" i="9"/>
  <c r="A1134" i="9"/>
  <c r="A1133" i="9"/>
  <c r="A1132" i="9"/>
  <c r="A1131" i="9"/>
  <c r="A1130" i="9"/>
  <c r="A1129" i="9"/>
  <c r="A1128" i="9"/>
  <c r="A1127" i="9"/>
  <c r="A1126" i="9"/>
  <c r="A1125" i="9"/>
  <c r="A1124" i="9"/>
  <c r="A1123" i="9"/>
  <c r="A1122" i="9"/>
  <c r="A1121" i="9"/>
  <c r="A1120" i="9"/>
  <c r="A1119" i="9"/>
  <c r="A1118" i="9"/>
  <c r="A1117" i="9"/>
  <c r="A1116" i="9"/>
  <c r="A1115" i="9"/>
  <c r="A1114" i="9"/>
  <c r="A1113" i="9"/>
  <c r="A1112" i="9"/>
  <c r="A1111" i="9"/>
  <c r="A1110" i="9"/>
  <c r="A1109" i="9"/>
  <c r="A1108" i="9"/>
  <c r="A1107" i="9"/>
  <c r="A1106" i="9"/>
  <c r="A1105" i="9"/>
  <c r="A1104" i="9"/>
  <c r="A1103" i="9"/>
  <c r="A1102" i="9"/>
  <c r="A1101" i="9"/>
  <c r="A1100" i="9"/>
  <c r="A1099" i="9"/>
  <c r="A1098" i="9"/>
  <c r="A1097" i="9"/>
  <c r="A1096" i="9"/>
  <c r="A1095" i="9"/>
  <c r="A1094" i="9"/>
  <c r="A1093" i="9"/>
  <c r="A1092" i="9"/>
  <c r="A1091" i="9"/>
  <c r="A1090" i="9"/>
  <c r="A1089" i="9"/>
  <c r="A1088" i="9"/>
  <c r="A1087" i="9"/>
  <c r="A1086" i="9"/>
  <c r="A1085" i="9"/>
  <c r="A1084" i="9"/>
  <c r="A1083" i="9"/>
  <c r="A1082" i="9"/>
  <c r="A1081" i="9"/>
  <c r="A1080" i="9"/>
  <c r="A1079" i="9"/>
  <c r="A1078" i="9"/>
  <c r="A1077" i="9"/>
  <c r="A1076" i="9"/>
  <c r="A1075" i="9"/>
  <c r="A1074" i="9"/>
  <c r="A1073" i="9"/>
  <c r="A1072" i="9"/>
  <c r="A1071" i="9"/>
  <c r="A1070" i="9"/>
  <c r="A1069" i="9"/>
  <c r="A1068" i="9"/>
  <c r="A1067" i="9"/>
  <c r="A1066" i="9"/>
  <c r="A1065" i="9"/>
  <c r="A1064" i="9"/>
  <c r="A1063" i="9"/>
  <c r="A1062" i="9"/>
  <c r="A1061" i="9"/>
  <c r="A1060" i="9"/>
  <c r="A1059" i="9"/>
  <c r="A1058" i="9"/>
  <c r="A1057" i="9"/>
  <c r="A1056" i="9"/>
  <c r="A1055" i="9"/>
  <c r="A1054" i="9"/>
  <c r="A1053" i="9"/>
  <c r="A1052" i="9"/>
  <c r="A1051" i="9"/>
  <c r="A1050" i="9"/>
  <c r="A1049" i="9"/>
  <c r="A1048" i="9"/>
  <c r="A1047" i="9"/>
  <c r="A1046" i="9"/>
  <c r="A1045" i="9"/>
  <c r="A1044" i="9"/>
  <c r="A1043" i="9"/>
  <c r="A1042" i="9"/>
  <c r="A1041" i="9"/>
  <c r="A1040" i="9"/>
  <c r="A1039" i="9"/>
  <c r="A1038" i="9"/>
  <c r="A1037" i="9"/>
  <c r="A1036" i="9"/>
  <c r="A1035" i="9"/>
  <c r="A1034" i="9"/>
  <c r="A1033" i="9"/>
  <c r="A1032" i="9"/>
  <c r="A1031" i="9"/>
  <c r="A1030" i="9"/>
  <c r="A1029" i="9"/>
  <c r="A1028" i="9"/>
  <c r="A1027" i="9"/>
  <c r="A1026" i="9"/>
  <c r="A1025" i="9"/>
  <c r="A1024" i="9"/>
  <c r="A1023" i="9"/>
  <c r="A1022" i="9"/>
  <c r="A1021" i="9"/>
  <c r="A1020" i="9"/>
  <c r="A1019" i="9"/>
  <c r="A1018" i="9"/>
  <c r="A1017" i="9"/>
  <c r="A1016" i="9"/>
  <c r="A1015" i="9"/>
  <c r="A1014" i="9"/>
  <c r="A1013" i="9"/>
  <c r="A1012" i="9"/>
  <c r="A1011" i="9"/>
  <c r="A1010" i="9"/>
  <c r="A1009" i="9"/>
  <c r="A1008" i="9"/>
  <c r="A1007" i="9"/>
  <c r="A1006" i="9"/>
  <c r="A1005" i="9"/>
  <c r="A1004" i="9"/>
  <c r="A1003" i="9"/>
  <c r="A1002" i="9"/>
  <c r="A1001" i="9"/>
  <c r="A1000" i="9"/>
  <c r="A999" i="9"/>
  <c r="A998" i="9"/>
  <c r="A997" i="9"/>
  <c r="A996" i="9"/>
  <c r="A995" i="9"/>
  <c r="A994" i="9"/>
  <c r="A993" i="9"/>
  <c r="A992" i="9"/>
  <c r="A991" i="9"/>
  <c r="A990" i="9"/>
  <c r="A989" i="9"/>
  <c r="A988" i="9"/>
  <c r="A987" i="9"/>
  <c r="A986" i="9"/>
  <c r="A985" i="9"/>
  <c r="A984" i="9"/>
  <c r="A983" i="9"/>
  <c r="A982" i="9"/>
  <c r="A981" i="9"/>
  <c r="A980" i="9"/>
  <c r="A979" i="9"/>
  <c r="A978" i="9"/>
  <c r="A977" i="9"/>
  <c r="A976" i="9"/>
  <c r="A975" i="9"/>
  <c r="A974" i="9"/>
  <c r="A973" i="9"/>
  <c r="A972" i="9"/>
  <c r="A971" i="9"/>
  <c r="A970" i="9"/>
  <c r="A969" i="9"/>
  <c r="A968" i="9"/>
  <c r="A967" i="9"/>
  <c r="A966" i="9"/>
  <c r="A965" i="9"/>
  <c r="A964" i="9"/>
  <c r="A963" i="9"/>
  <c r="A962" i="9"/>
  <c r="A961" i="9"/>
  <c r="A960" i="9"/>
  <c r="A959" i="9"/>
  <c r="A958" i="9"/>
  <c r="A957" i="9"/>
  <c r="A956" i="9"/>
  <c r="A955" i="9"/>
  <c r="A954" i="9"/>
  <c r="A953" i="9"/>
  <c r="A952" i="9"/>
  <c r="A951" i="9"/>
  <c r="A950" i="9"/>
  <c r="A949" i="9"/>
  <c r="A948" i="9"/>
  <c r="A947" i="9"/>
  <c r="A946" i="9"/>
  <c r="A945" i="9"/>
  <c r="A944" i="9"/>
  <c r="A943" i="9"/>
  <c r="A942" i="9"/>
  <c r="A941" i="9"/>
  <c r="A940" i="9"/>
  <c r="A939" i="9"/>
  <c r="A938" i="9"/>
  <c r="A937" i="9"/>
  <c r="A936" i="9"/>
  <c r="A935" i="9"/>
  <c r="A934" i="9"/>
  <c r="A933" i="9"/>
  <c r="A932" i="9"/>
  <c r="A931" i="9"/>
  <c r="A930" i="9"/>
  <c r="A929" i="9"/>
  <c r="A928" i="9"/>
  <c r="A927" i="9"/>
  <c r="A926" i="9"/>
  <c r="A925" i="9"/>
  <c r="A924" i="9"/>
  <c r="A923" i="9"/>
  <c r="A922" i="9"/>
  <c r="A921" i="9"/>
  <c r="A920" i="9"/>
  <c r="A919" i="9"/>
  <c r="A918" i="9"/>
  <c r="A917" i="9"/>
  <c r="A916" i="9"/>
  <c r="A915" i="9"/>
  <c r="A914" i="9"/>
  <c r="A913" i="9"/>
  <c r="A912" i="9"/>
  <c r="A911" i="9"/>
  <c r="A910" i="9"/>
  <c r="A909" i="9"/>
  <c r="A908" i="9"/>
  <c r="A907" i="9"/>
  <c r="A906" i="9"/>
  <c r="A905" i="9"/>
  <c r="A904" i="9"/>
  <c r="A903" i="9"/>
  <c r="A902" i="9"/>
  <c r="A901" i="9"/>
  <c r="A900" i="9"/>
  <c r="A899" i="9"/>
  <c r="A898" i="9"/>
  <c r="A897" i="9"/>
  <c r="A896" i="9"/>
  <c r="A895" i="9"/>
  <c r="A894" i="9"/>
  <c r="A893" i="9"/>
  <c r="A892" i="9"/>
  <c r="A891" i="9"/>
  <c r="A890" i="9"/>
  <c r="A889" i="9"/>
  <c r="A888" i="9"/>
  <c r="A887" i="9"/>
  <c r="A886" i="9"/>
  <c r="A885" i="9"/>
  <c r="A884" i="9"/>
  <c r="A883" i="9"/>
  <c r="A882" i="9"/>
  <c r="A881" i="9"/>
  <c r="A880" i="9"/>
  <c r="A879" i="9"/>
  <c r="A878" i="9"/>
  <c r="A877" i="9"/>
  <c r="A876" i="9"/>
  <c r="A875" i="9"/>
  <c r="A874" i="9"/>
  <c r="A873" i="9"/>
  <c r="A872" i="9"/>
  <c r="A871" i="9"/>
  <c r="A870" i="9"/>
  <c r="A869" i="9"/>
  <c r="A868" i="9"/>
  <c r="A867" i="9"/>
  <c r="A866" i="9"/>
  <c r="A865" i="9"/>
  <c r="A864" i="9"/>
  <c r="A863" i="9"/>
  <c r="A862" i="9"/>
  <c r="A861" i="9"/>
  <c r="A860" i="9"/>
  <c r="A859" i="9"/>
  <c r="A858" i="9"/>
  <c r="A857" i="9"/>
  <c r="A856" i="9"/>
  <c r="A855" i="9"/>
  <c r="A854" i="9"/>
  <c r="A853" i="9"/>
  <c r="A852" i="9"/>
  <c r="A851" i="9"/>
  <c r="A850" i="9"/>
  <c r="A849" i="9"/>
  <c r="A848" i="9"/>
  <c r="A847" i="9"/>
  <c r="A846" i="9"/>
  <c r="A845" i="9"/>
  <c r="A844" i="9"/>
  <c r="A843" i="9"/>
  <c r="A842" i="9"/>
  <c r="A841" i="9"/>
  <c r="A840" i="9"/>
  <c r="A839" i="9"/>
  <c r="A838" i="9"/>
  <c r="A837" i="9"/>
  <c r="A836" i="9"/>
  <c r="A835" i="9"/>
  <c r="A834" i="9"/>
  <c r="A833" i="9"/>
  <c r="A832" i="9"/>
  <c r="A831" i="9"/>
  <c r="A830" i="9"/>
  <c r="A829" i="9"/>
  <c r="A828" i="9"/>
  <c r="A827" i="9"/>
  <c r="A826" i="9"/>
  <c r="A825" i="9"/>
  <c r="A824" i="9"/>
  <c r="A823" i="9"/>
  <c r="A822" i="9"/>
  <c r="A821" i="9"/>
  <c r="A820" i="9"/>
  <c r="A819" i="9"/>
  <c r="A818" i="9"/>
  <c r="A817" i="9"/>
  <c r="A816" i="9"/>
  <c r="A815" i="9"/>
  <c r="A814" i="9"/>
  <c r="A813" i="9"/>
  <c r="A812" i="9"/>
  <c r="A811" i="9"/>
  <c r="A810" i="9"/>
  <c r="A809" i="9"/>
  <c r="A808" i="9"/>
  <c r="A807" i="9"/>
  <c r="A806" i="9"/>
  <c r="A805" i="9"/>
  <c r="A804" i="9"/>
  <c r="A803" i="9"/>
  <c r="A802" i="9"/>
  <c r="A801" i="9"/>
  <c r="A800" i="9"/>
  <c r="A799" i="9"/>
  <c r="A798" i="9"/>
  <c r="A797" i="9"/>
  <c r="A796" i="9"/>
  <c r="A795" i="9"/>
  <c r="A794" i="9"/>
  <c r="A793" i="9"/>
  <c r="A792" i="9"/>
  <c r="A791" i="9"/>
  <c r="A790" i="9"/>
  <c r="A789" i="9"/>
  <c r="A788" i="9"/>
  <c r="A787" i="9"/>
  <c r="A786" i="9"/>
  <c r="A785" i="9"/>
  <c r="A784" i="9"/>
  <c r="A783" i="9"/>
  <c r="A782" i="9"/>
  <c r="A781" i="9"/>
  <c r="A780" i="9"/>
  <c r="A779" i="9"/>
  <c r="A778" i="9"/>
  <c r="A777" i="9"/>
  <c r="A776" i="9"/>
  <c r="A775" i="9"/>
  <c r="A774" i="9"/>
  <c r="A773" i="9"/>
  <c r="A772" i="9"/>
  <c r="A771" i="9"/>
  <c r="A770" i="9"/>
  <c r="A769" i="9"/>
  <c r="A768" i="9"/>
  <c r="A767" i="9"/>
  <c r="A766" i="9"/>
  <c r="A765" i="9"/>
  <c r="A764" i="9"/>
  <c r="A763" i="9"/>
  <c r="A762" i="9"/>
  <c r="A761" i="9"/>
  <c r="A760" i="9"/>
  <c r="A759" i="9"/>
  <c r="A758" i="9"/>
  <c r="A757" i="9"/>
  <c r="A756" i="9"/>
  <c r="A755" i="9"/>
  <c r="A754" i="9"/>
  <c r="A753" i="9"/>
  <c r="A752" i="9"/>
  <c r="A751" i="9"/>
  <c r="A750" i="9"/>
  <c r="A749" i="9"/>
  <c r="A748" i="9"/>
  <c r="A747" i="9"/>
  <c r="A746" i="9"/>
  <c r="A745" i="9"/>
  <c r="A744" i="9"/>
  <c r="A743" i="9"/>
  <c r="A742" i="9"/>
  <c r="A741" i="9"/>
  <c r="A740" i="9"/>
  <c r="A739" i="9"/>
  <c r="A738" i="9"/>
  <c r="A737" i="9"/>
  <c r="A736" i="9"/>
  <c r="A735" i="9"/>
  <c r="A734" i="9"/>
  <c r="A733" i="9"/>
  <c r="A732" i="9"/>
  <c r="A731" i="9"/>
  <c r="A730" i="9"/>
  <c r="A729" i="9"/>
  <c r="A728" i="9"/>
  <c r="A727" i="9"/>
  <c r="A726" i="9"/>
  <c r="A725" i="9"/>
  <c r="A724" i="9"/>
  <c r="A723" i="9"/>
  <c r="A722" i="9"/>
  <c r="A721" i="9"/>
  <c r="A720" i="9"/>
  <c r="A719" i="9"/>
  <c r="A718" i="9"/>
  <c r="A717" i="9"/>
  <c r="A716" i="9"/>
  <c r="A715" i="9"/>
  <c r="A714" i="9"/>
  <c r="A713" i="9"/>
  <c r="A712" i="9"/>
  <c r="A711" i="9"/>
  <c r="A710" i="9"/>
  <c r="A709" i="9"/>
  <c r="A708" i="9"/>
  <c r="A707" i="9"/>
  <c r="A706" i="9"/>
  <c r="A705" i="9"/>
  <c r="A704" i="9"/>
  <c r="A703" i="9"/>
  <c r="A702" i="9"/>
  <c r="A701" i="9"/>
  <c r="A700" i="9"/>
  <c r="A699" i="9"/>
  <c r="A698" i="9"/>
  <c r="A697" i="9"/>
  <c r="A696" i="9"/>
  <c r="A695" i="9"/>
  <c r="A694" i="9"/>
  <c r="A693" i="9"/>
  <c r="A692" i="9"/>
  <c r="A691" i="9"/>
  <c r="A690" i="9"/>
  <c r="A689" i="9"/>
  <c r="A688" i="9"/>
  <c r="A687" i="9"/>
  <c r="A686" i="9"/>
  <c r="A685" i="9"/>
  <c r="A684" i="9"/>
  <c r="A683" i="9"/>
  <c r="A682" i="9"/>
  <c r="A681" i="9"/>
  <c r="A680" i="9"/>
  <c r="A679" i="9"/>
  <c r="A678" i="9"/>
  <c r="A677" i="9"/>
  <c r="A676" i="9"/>
  <c r="A675" i="9"/>
  <c r="A674" i="9"/>
  <c r="A673" i="9"/>
  <c r="A672" i="9"/>
  <c r="A671" i="9"/>
  <c r="A670" i="9"/>
  <c r="A669" i="9"/>
  <c r="A668" i="9"/>
  <c r="A667" i="9"/>
  <c r="A666" i="9"/>
  <c r="A665" i="9"/>
  <c r="A664" i="9"/>
  <c r="A663" i="9"/>
  <c r="A662" i="9"/>
  <c r="A661" i="9"/>
  <c r="A660" i="9"/>
  <c r="A659" i="9"/>
  <c r="A658" i="9"/>
  <c r="A657" i="9"/>
  <c r="A656" i="9"/>
  <c r="A655" i="9"/>
  <c r="A654" i="9"/>
  <c r="A653" i="9"/>
  <c r="A652" i="9"/>
  <c r="A651" i="9"/>
  <c r="A650" i="9"/>
  <c r="A649" i="9"/>
  <c r="A648" i="9"/>
  <c r="A647" i="9"/>
  <c r="A646" i="9"/>
  <c r="A645" i="9"/>
  <c r="A644" i="9"/>
  <c r="A643" i="9"/>
  <c r="A642" i="9"/>
  <c r="A641" i="9"/>
  <c r="A640" i="9"/>
  <c r="A639" i="9"/>
  <c r="A638" i="9"/>
  <c r="A637" i="9"/>
  <c r="A636" i="9"/>
  <c r="A635" i="9"/>
  <c r="A634" i="9"/>
  <c r="A633" i="9"/>
  <c r="A632" i="9"/>
  <c r="A631" i="9"/>
  <c r="A630" i="9"/>
  <c r="A629" i="9"/>
  <c r="A628" i="9"/>
  <c r="A627" i="9"/>
  <c r="A626" i="9"/>
  <c r="A625" i="9"/>
  <c r="A624" i="9"/>
  <c r="A623" i="9"/>
  <c r="A622" i="9"/>
  <c r="A621" i="9"/>
  <c r="A620" i="9"/>
  <c r="A619" i="9"/>
  <c r="A618" i="9"/>
  <c r="A617" i="9"/>
  <c r="A616" i="9"/>
  <c r="A615" i="9"/>
  <c r="A614" i="9"/>
  <c r="A613" i="9"/>
  <c r="A612" i="9"/>
  <c r="A611" i="9"/>
  <c r="A610" i="9"/>
  <c r="A609" i="9"/>
  <c r="A608" i="9"/>
  <c r="A607" i="9"/>
  <c r="A606" i="9"/>
  <c r="A605" i="9"/>
  <c r="A604" i="9"/>
  <c r="A603" i="9"/>
  <c r="A602" i="9"/>
  <c r="A601" i="9"/>
  <c r="A600" i="9"/>
  <c r="A599" i="9"/>
  <c r="A598" i="9"/>
  <c r="A597" i="9"/>
  <c r="A596" i="9"/>
  <c r="A595" i="9"/>
  <c r="A594" i="9"/>
  <c r="A593" i="9"/>
  <c r="A592" i="9"/>
  <c r="A591" i="9"/>
  <c r="A590" i="9"/>
  <c r="A589" i="9"/>
  <c r="A588" i="9"/>
  <c r="A587" i="9"/>
  <c r="A586" i="9"/>
  <c r="A585" i="9"/>
  <c r="A584" i="9"/>
  <c r="A583" i="9"/>
  <c r="A582" i="9"/>
  <c r="A581" i="9"/>
  <c r="A580" i="9"/>
  <c r="A579" i="9"/>
  <c r="A578" i="9"/>
  <c r="A577" i="9"/>
  <c r="A576" i="9"/>
  <c r="A575" i="9"/>
  <c r="A574" i="9"/>
  <c r="A573" i="9"/>
  <c r="A572" i="9"/>
  <c r="A571" i="9"/>
  <c r="A570" i="9"/>
  <c r="A569" i="9"/>
  <c r="A568" i="9"/>
  <c r="A567" i="9"/>
  <c r="A566" i="9"/>
  <c r="A565" i="9"/>
  <c r="A564" i="9"/>
  <c r="A563" i="9"/>
  <c r="A562" i="9"/>
  <c r="A561" i="9"/>
  <c r="A560" i="9"/>
  <c r="A559" i="9"/>
  <c r="A558" i="9"/>
  <c r="A557" i="9"/>
  <c r="A556" i="9"/>
  <c r="A555" i="9"/>
  <c r="A554" i="9"/>
  <c r="A553" i="9"/>
  <c r="A552" i="9"/>
  <c r="A551" i="9"/>
  <c r="A550" i="9"/>
  <c r="A549" i="9"/>
  <c r="A548" i="9"/>
  <c r="A547" i="9"/>
  <c r="A546" i="9"/>
  <c r="A545" i="9"/>
  <c r="A544" i="9"/>
  <c r="A543" i="9"/>
  <c r="A542" i="9"/>
  <c r="A541" i="9"/>
  <c r="A540" i="9"/>
  <c r="A539" i="9"/>
  <c r="A538" i="9"/>
  <c r="A537" i="9"/>
  <c r="A536" i="9"/>
  <c r="A535" i="9"/>
  <c r="A534" i="9"/>
  <c r="A533" i="9"/>
  <c r="A532" i="9"/>
  <c r="A531" i="9"/>
  <c r="A530" i="9"/>
  <c r="A529" i="9"/>
  <c r="A528" i="9"/>
  <c r="A527" i="9"/>
  <c r="A526" i="9"/>
  <c r="A525" i="9"/>
  <c r="A524" i="9"/>
  <c r="A523" i="9"/>
  <c r="A522" i="9"/>
  <c r="A521" i="9"/>
  <c r="A520" i="9"/>
  <c r="A519" i="9"/>
  <c r="A518" i="9"/>
  <c r="A517" i="9"/>
  <c r="A516" i="9"/>
  <c r="A515" i="9"/>
  <c r="A514" i="9"/>
  <c r="A513" i="9"/>
  <c r="A512" i="9"/>
  <c r="A511" i="9"/>
  <c r="A510" i="9"/>
  <c r="A509" i="9"/>
  <c r="A508" i="9"/>
  <c r="A507" i="9"/>
  <c r="A506" i="9"/>
  <c r="A505" i="9"/>
  <c r="A504" i="9"/>
  <c r="A503" i="9"/>
  <c r="A502" i="9"/>
  <c r="A501" i="9"/>
  <c r="A500" i="9"/>
  <c r="A499" i="9"/>
  <c r="A498" i="9"/>
  <c r="A497" i="9"/>
  <c r="A496" i="9"/>
  <c r="A495" i="9"/>
  <c r="A494" i="9"/>
  <c r="A493" i="9"/>
  <c r="A492" i="9"/>
  <c r="A491" i="9"/>
  <c r="A490" i="9"/>
  <c r="A489" i="9"/>
  <c r="A488" i="9"/>
  <c r="A487" i="9"/>
  <c r="A486" i="9"/>
  <c r="A485" i="9"/>
  <c r="A484" i="9"/>
  <c r="A483" i="9"/>
  <c r="A482" i="9"/>
  <c r="A481" i="9"/>
  <c r="A480" i="9"/>
  <c r="A479" i="9"/>
  <c r="A478" i="9"/>
  <c r="A477" i="9"/>
  <c r="A476" i="9"/>
  <c r="A475" i="9"/>
  <c r="A474" i="9"/>
  <c r="A473" i="9"/>
  <c r="A472" i="9"/>
  <c r="A471" i="9"/>
  <c r="A470" i="9"/>
  <c r="A469" i="9"/>
  <c r="A468" i="9"/>
  <c r="A467" i="9"/>
  <c r="A466" i="9"/>
  <c r="A465" i="9"/>
  <c r="A464" i="9"/>
  <c r="A463" i="9"/>
  <c r="A462" i="9"/>
  <c r="A461" i="9"/>
  <c r="A460" i="9"/>
  <c r="A459" i="9"/>
  <c r="A458" i="9"/>
  <c r="A457" i="9"/>
  <c r="A456" i="9"/>
  <c r="A455" i="9"/>
  <c r="A454" i="9"/>
  <c r="A453" i="9"/>
  <c r="A452" i="9"/>
  <c r="A451" i="9"/>
  <c r="A450" i="9"/>
  <c r="A449" i="9"/>
  <c r="A448" i="9"/>
  <c r="A447" i="9"/>
  <c r="A446" i="9"/>
  <c r="A445" i="9"/>
  <c r="A444" i="9"/>
  <c r="A443" i="9"/>
  <c r="A442" i="9"/>
  <c r="A441" i="9"/>
  <c r="A440" i="9"/>
  <c r="A439" i="9"/>
  <c r="A438" i="9"/>
  <c r="A437" i="9"/>
  <c r="A436" i="9"/>
  <c r="A435" i="9"/>
  <c r="A434" i="9"/>
  <c r="A433" i="9"/>
  <c r="A432" i="9"/>
  <c r="A431" i="9"/>
  <c r="A430" i="9"/>
  <c r="A429" i="9"/>
  <c r="A428" i="9"/>
  <c r="A427" i="9"/>
  <c r="A426" i="9"/>
  <c r="A425" i="9"/>
  <c r="A424" i="9"/>
  <c r="A423" i="9"/>
  <c r="A422" i="9"/>
  <c r="A421" i="9"/>
  <c r="A420" i="9"/>
  <c r="A419" i="9"/>
  <c r="A418" i="9"/>
  <c r="A417" i="9"/>
  <c r="A416" i="9"/>
  <c r="A415" i="9"/>
  <c r="A414" i="9"/>
  <c r="A413" i="9"/>
  <c r="A412" i="9"/>
  <c r="A411" i="9"/>
  <c r="A410" i="9"/>
  <c r="A409" i="9"/>
  <c r="A408" i="9"/>
  <c r="A407" i="9"/>
  <c r="A406" i="9"/>
  <c r="A405" i="9"/>
  <c r="A404" i="9"/>
  <c r="A403" i="9"/>
  <c r="A402" i="9"/>
  <c r="A401" i="9"/>
  <c r="A400" i="9"/>
  <c r="A399" i="9"/>
  <c r="A398" i="9"/>
  <c r="A397" i="9"/>
  <c r="A396" i="9"/>
  <c r="A395" i="9"/>
  <c r="A394" i="9"/>
  <c r="A393" i="9"/>
  <c r="A392" i="9"/>
  <c r="A391" i="9"/>
  <c r="A390" i="9"/>
  <c r="A389" i="9"/>
  <c r="A388" i="9"/>
  <c r="A387" i="9"/>
  <c r="A386" i="9"/>
  <c r="A385" i="9"/>
  <c r="A384" i="9"/>
  <c r="A383" i="9"/>
  <c r="A382" i="9"/>
  <c r="A381" i="9"/>
  <c r="A380" i="9"/>
  <c r="A379" i="9"/>
  <c r="A378" i="9"/>
  <c r="A377" i="9"/>
  <c r="A376" i="9"/>
  <c r="A375" i="9"/>
  <c r="A374" i="9"/>
  <c r="A373" i="9"/>
  <c r="A372" i="9"/>
  <c r="A371" i="9"/>
  <c r="A370" i="9"/>
  <c r="A369" i="9"/>
  <c r="A368" i="9"/>
  <c r="A367" i="9"/>
  <c r="A366" i="9"/>
  <c r="A365" i="9"/>
  <c r="A364" i="9"/>
  <c r="A363" i="9"/>
  <c r="A362" i="9"/>
  <c r="A361" i="9"/>
  <c r="A360" i="9"/>
  <c r="A359" i="9"/>
  <c r="A358" i="9"/>
  <c r="A357" i="9"/>
  <c r="A356" i="9"/>
  <c r="A355" i="9"/>
  <c r="A354" i="9"/>
  <c r="A353" i="9"/>
  <c r="A352" i="9"/>
  <c r="A351" i="9"/>
  <c r="A350" i="9"/>
  <c r="A349" i="9"/>
  <c r="A348" i="9"/>
  <c r="A347" i="9"/>
  <c r="A346" i="9"/>
  <c r="A345" i="9"/>
  <c r="A344" i="9"/>
  <c r="A343" i="9"/>
  <c r="A342" i="9"/>
  <c r="A341" i="9"/>
  <c r="A340" i="9"/>
  <c r="A339" i="9"/>
  <c r="A338" i="9"/>
  <c r="A337" i="9"/>
  <c r="A336" i="9"/>
  <c r="A335" i="9"/>
  <c r="A334" i="9"/>
  <c r="A333" i="9"/>
  <c r="A332" i="9"/>
  <c r="A331" i="9"/>
  <c r="A330" i="9"/>
  <c r="A329" i="9"/>
  <c r="A328" i="9"/>
  <c r="A327" i="9"/>
  <c r="A326" i="9"/>
  <c r="A325" i="9"/>
  <c r="A324" i="9"/>
  <c r="A323" i="9"/>
  <c r="A322" i="9"/>
  <c r="A321" i="9"/>
  <c r="A320" i="9"/>
  <c r="A319" i="9"/>
  <c r="A318" i="9"/>
  <c r="A317" i="9"/>
  <c r="A316" i="9"/>
  <c r="A315" i="9"/>
  <c r="A314" i="9"/>
  <c r="A313" i="9"/>
  <c r="A312" i="9"/>
  <c r="A311" i="9"/>
  <c r="A310" i="9"/>
  <c r="A309" i="9"/>
  <c r="A308" i="9"/>
  <c r="A307" i="9"/>
  <c r="A306" i="9"/>
  <c r="A305" i="9"/>
  <c r="A304" i="9"/>
  <c r="A303" i="9"/>
  <c r="A302" i="9"/>
  <c r="A301" i="9"/>
  <c r="A300" i="9"/>
  <c r="A299" i="9"/>
  <c r="A298" i="9"/>
  <c r="A297" i="9"/>
  <c r="A296" i="9"/>
  <c r="A295" i="9"/>
  <c r="A294" i="9"/>
  <c r="A293" i="9"/>
  <c r="A292" i="9"/>
  <c r="A291" i="9"/>
  <c r="A290" i="9"/>
  <c r="A289" i="9"/>
  <c r="A288" i="9"/>
  <c r="A287" i="9"/>
  <c r="A286" i="9"/>
  <c r="A285" i="9"/>
  <c r="A284" i="9"/>
  <c r="A283" i="9"/>
  <c r="A282" i="9"/>
  <c r="A281" i="9"/>
  <c r="A280" i="9"/>
  <c r="A279" i="9"/>
  <c r="A278" i="9"/>
  <c r="A277" i="9"/>
  <c r="A276" i="9"/>
  <c r="A275" i="9"/>
  <c r="A274" i="9"/>
  <c r="A273" i="9"/>
  <c r="A272" i="9"/>
  <c r="A271" i="9"/>
  <c r="A270" i="9"/>
  <c r="A269" i="9"/>
  <c r="A268" i="9"/>
  <c r="A267" i="9"/>
  <c r="A266" i="9"/>
  <c r="A265" i="9"/>
  <c r="A264" i="9"/>
  <c r="A263" i="9"/>
  <c r="A262" i="9"/>
  <c r="A261" i="9"/>
  <c r="A260" i="9"/>
  <c r="A259" i="9"/>
  <c r="A258" i="9"/>
  <c r="A257" i="9"/>
  <c r="A256" i="9"/>
  <c r="A255" i="9"/>
  <c r="A254" i="9"/>
  <c r="A253" i="9"/>
  <c r="A252" i="9"/>
  <c r="A251" i="9"/>
  <c r="A250" i="9"/>
  <c r="A249" i="9"/>
  <c r="A248" i="9"/>
  <c r="A247" i="9"/>
  <c r="A246" i="9"/>
  <c r="A245" i="9"/>
  <c r="A244" i="9"/>
  <c r="A243" i="9"/>
  <c r="A242" i="9"/>
  <c r="A241" i="9"/>
  <c r="A240" i="9"/>
  <c r="A239" i="9"/>
  <c r="A238" i="9"/>
  <c r="A237" i="9"/>
  <c r="A236" i="9"/>
  <c r="A235" i="9"/>
  <c r="A234" i="9"/>
  <c r="A233" i="9"/>
  <c r="A232" i="9"/>
  <c r="A231" i="9"/>
  <c r="A230" i="9"/>
  <c r="A229" i="9"/>
  <c r="A228" i="9"/>
  <c r="A227" i="9"/>
  <c r="A226" i="9"/>
  <c r="A225" i="9"/>
  <c r="A224" i="9"/>
  <c r="A223" i="9"/>
  <c r="A222" i="9"/>
  <c r="A221" i="9"/>
  <c r="A220" i="9"/>
  <c r="A219" i="9"/>
  <c r="A218" i="9"/>
  <c r="A217" i="9"/>
  <c r="A216" i="9"/>
  <c r="A215" i="9"/>
  <c r="A214" i="9"/>
  <c r="A213" i="9"/>
  <c r="A212" i="9"/>
  <c r="A211" i="9"/>
  <c r="A210" i="9"/>
  <c r="A209" i="9"/>
  <c r="A208" i="9"/>
  <c r="A207" i="9"/>
  <c r="A206" i="9"/>
  <c r="A205" i="9"/>
  <c r="A204" i="9"/>
  <c r="A203" i="9"/>
  <c r="A202" i="9"/>
  <c r="A201" i="9"/>
  <c r="A200" i="9"/>
  <c r="A199" i="9"/>
  <c r="A198" i="9"/>
  <c r="A197" i="9"/>
  <c r="A196" i="9"/>
  <c r="A195" i="9"/>
  <c r="A194" i="9"/>
  <c r="A193" i="9"/>
  <c r="A192" i="9"/>
  <c r="A191" i="9"/>
  <c r="A190" i="9"/>
  <c r="A189" i="9"/>
  <c r="A188" i="9"/>
  <c r="A187" i="9"/>
  <c r="A186" i="9"/>
  <c r="A185" i="9"/>
  <c r="A184" i="9"/>
  <c r="A183" i="9"/>
  <c r="A182" i="9"/>
  <c r="A181" i="9"/>
  <c r="A180" i="9"/>
  <c r="A179" i="9"/>
  <c r="A178" i="9"/>
  <c r="A177" i="9"/>
  <c r="A176" i="9"/>
  <c r="A175" i="9"/>
  <c r="A174" i="9"/>
  <c r="A173" i="9"/>
  <c r="A172" i="9"/>
  <c r="A171" i="9"/>
  <c r="A170" i="9"/>
  <c r="A169" i="9"/>
  <c r="A168" i="9"/>
  <c r="A167" i="9"/>
  <c r="A166" i="9"/>
  <c r="A165" i="9"/>
  <c r="A164" i="9"/>
  <c r="A163" i="9"/>
  <c r="A162" i="9"/>
  <c r="A161" i="9"/>
  <c r="A160" i="9"/>
  <c r="A159" i="9"/>
  <c r="A158" i="9"/>
  <c r="A157" i="9"/>
  <c r="A156" i="9"/>
  <c r="A155" i="9"/>
  <c r="A154" i="9"/>
  <c r="A153" i="9"/>
  <c r="A152" i="9"/>
  <c r="A151" i="9"/>
  <c r="A150" i="9"/>
  <c r="A149" i="9"/>
  <c r="A148" i="9"/>
  <c r="A147" i="9"/>
  <c r="A146" i="9"/>
  <c r="A145" i="9"/>
  <c r="A144" i="9"/>
  <c r="A143" i="9"/>
  <c r="A142" i="9"/>
  <c r="A141" i="9"/>
  <c r="A140" i="9"/>
  <c r="A139" i="9"/>
  <c r="A138" i="9"/>
  <c r="A137" i="9"/>
  <c r="A136" i="9"/>
  <c r="A135" i="9"/>
  <c r="A134" i="9"/>
  <c r="A133" i="9"/>
  <c r="A132" i="9"/>
  <c r="A131" i="9"/>
  <c r="A130" i="9"/>
  <c r="A129" i="9"/>
  <c r="A128" i="9"/>
  <c r="A127" i="9"/>
  <c r="A126" i="9"/>
  <c r="A125" i="9"/>
  <c r="A124" i="9"/>
  <c r="A123" i="9"/>
  <c r="A122" i="9"/>
  <c r="A121" i="9"/>
  <c r="A120" i="9"/>
  <c r="A119" i="9"/>
  <c r="A118" i="9"/>
  <c r="A117" i="9"/>
  <c r="A116" i="9"/>
  <c r="A115" i="9"/>
  <c r="A114" i="9"/>
  <c r="A113" i="9"/>
  <c r="A112" i="9"/>
  <c r="A111" i="9"/>
  <c r="A110" i="9"/>
  <c r="A109" i="9"/>
  <c r="A108" i="9"/>
  <c r="A107" i="9"/>
  <c r="A106" i="9"/>
  <c r="A105" i="9"/>
  <c r="A104" i="9"/>
  <c r="A103" i="9"/>
  <c r="A102" i="9"/>
  <c r="A101" i="9"/>
  <c r="A100" i="9"/>
  <c r="A99" i="9"/>
  <c r="A98" i="9"/>
  <c r="A97" i="9"/>
  <c r="A96" i="9"/>
  <c r="A95" i="9"/>
  <c r="A94" i="9"/>
  <c r="A93" i="9"/>
  <c r="A92" i="9"/>
  <c r="A91" i="9"/>
  <c r="A90" i="9"/>
  <c r="A89" i="9"/>
  <c r="A88" i="9"/>
  <c r="A87" i="9"/>
  <c r="A86" i="9"/>
  <c r="A85" i="9"/>
  <c r="A84" i="9"/>
  <c r="A83" i="9"/>
  <c r="A82" i="9"/>
  <c r="A81" i="9"/>
  <c r="A80" i="9"/>
  <c r="A79" i="9"/>
  <c r="A78" i="9"/>
  <c r="A77" i="9"/>
  <c r="A76" i="9"/>
  <c r="A75" i="9"/>
  <c r="A74" i="9"/>
  <c r="A73" i="9"/>
  <c r="A72" i="9"/>
  <c r="A71" i="9"/>
  <c r="A70" i="9"/>
  <c r="A69" i="9"/>
  <c r="A68" i="9"/>
  <c r="A67" i="9"/>
  <c r="A66" i="9"/>
  <c r="A65" i="9"/>
  <c r="A64" i="9"/>
  <c r="A63" i="9"/>
  <c r="A62" i="9"/>
  <c r="A61" i="9"/>
  <c r="A60" i="9"/>
  <c r="A59" i="9"/>
  <c r="A58" i="9"/>
  <c r="A57" i="9"/>
  <c r="A56" i="9"/>
  <c r="A55" i="9"/>
  <c r="A54" i="9"/>
  <c r="A53" i="9"/>
  <c r="A52" i="9"/>
  <c r="A51" i="9"/>
  <c r="A50" i="9"/>
  <c r="A49" i="9"/>
  <c r="A48" i="9"/>
  <c r="A47" i="9"/>
  <c r="A46" i="9"/>
  <c r="A45" i="9"/>
  <c r="A44" i="9"/>
  <c r="A43" i="9"/>
  <c r="A42" i="9"/>
  <c r="A41" i="9"/>
  <c r="A40" i="9"/>
  <c r="A39" i="9"/>
  <c r="A38" i="9"/>
  <c r="A37" i="9"/>
  <c r="A36" i="9"/>
  <c r="A35" i="9"/>
  <c r="A34" i="9"/>
  <c r="A33" i="9"/>
  <c r="A32" i="9"/>
  <c r="A31" i="9"/>
  <c r="A30" i="9"/>
  <c r="A29" i="9"/>
  <c r="A28" i="9"/>
  <c r="A27" i="9"/>
  <c r="A26" i="9"/>
  <c r="A25" i="9"/>
  <c r="A24" i="9"/>
  <c r="A23" i="9"/>
  <c r="A22" i="9"/>
  <c r="A21" i="9"/>
  <c r="A20" i="9"/>
  <c r="A19" i="9"/>
  <c r="A18" i="9"/>
  <c r="A17" i="9"/>
  <c r="A16" i="9"/>
  <c r="B15" i="9"/>
  <c r="B16" i="9" s="1"/>
  <c r="B17" i="9" s="1"/>
  <c r="B18" i="9" s="1"/>
  <c r="B19" i="9" s="1"/>
  <c r="B20" i="9" s="1"/>
  <c r="B21" i="9" s="1"/>
  <c r="B22" i="9" s="1"/>
  <c r="B23" i="9" s="1"/>
  <c r="B24" i="9" s="1"/>
  <c r="B25" i="9" s="1"/>
  <c r="B26" i="9" s="1"/>
  <c r="B27" i="9" s="1"/>
  <c r="B28" i="9" s="1"/>
  <c r="B29" i="9" s="1"/>
  <c r="B30" i="9" s="1"/>
  <c r="B31" i="9" s="1"/>
  <c r="B32" i="9" s="1"/>
  <c r="B33" i="9" s="1"/>
  <c r="B34" i="9" s="1"/>
  <c r="B35" i="9" s="1"/>
  <c r="B36" i="9" s="1"/>
  <c r="B37" i="9" s="1"/>
  <c r="B38" i="9" s="1"/>
  <c r="B39" i="9" s="1"/>
  <c r="B40" i="9" s="1"/>
  <c r="B41" i="9" s="1"/>
  <c r="B42" i="9" s="1"/>
  <c r="B43" i="9" s="1"/>
  <c r="B44" i="9" s="1"/>
  <c r="B45" i="9" s="1"/>
  <c r="B46" i="9" s="1"/>
  <c r="B47" i="9" s="1"/>
  <c r="B48" i="9" s="1"/>
  <c r="B49" i="9" s="1"/>
  <c r="B50" i="9" s="1"/>
  <c r="B51" i="9" s="1"/>
  <c r="B52" i="9" s="1"/>
  <c r="B53" i="9" s="1"/>
  <c r="B54" i="9" s="1"/>
  <c r="B55" i="9" s="1"/>
  <c r="B56" i="9" s="1"/>
  <c r="B57" i="9" s="1"/>
  <c r="B58" i="9" s="1"/>
  <c r="B59" i="9" s="1"/>
  <c r="B60" i="9" s="1"/>
  <c r="B61" i="9" s="1"/>
  <c r="B62" i="9" s="1"/>
  <c r="B63" i="9" s="1"/>
  <c r="B64" i="9" s="1"/>
  <c r="B65" i="9" s="1"/>
  <c r="B66" i="9" s="1"/>
  <c r="B67" i="9" s="1"/>
  <c r="B68" i="9" s="1"/>
  <c r="B69" i="9" s="1"/>
  <c r="B70" i="9" s="1"/>
  <c r="B71" i="9" s="1"/>
  <c r="B72" i="9" s="1"/>
  <c r="B73" i="9" s="1"/>
  <c r="B74" i="9" s="1"/>
  <c r="B75" i="9" s="1"/>
  <c r="B76" i="9" s="1"/>
  <c r="B77" i="9" s="1"/>
  <c r="B78" i="9" s="1"/>
  <c r="B79" i="9" s="1"/>
  <c r="B80" i="9" s="1"/>
  <c r="B81" i="9" s="1"/>
  <c r="B82" i="9" s="1"/>
  <c r="B83" i="9" s="1"/>
  <c r="B84" i="9" s="1"/>
  <c r="B85" i="9" s="1"/>
  <c r="B86" i="9" s="1"/>
  <c r="B87" i="9" s="1"/>
  <c r="B88" i="9" s="1"/>
  <c r="B89" i="9" s="1"/>
  <c r="B90" i="9" s="1"/>
  <c r="B91" i="9" s="1"/>
  <c r="B92" i="9" s="1"/>
  <c r="B93" i="9" s="1"/>
  <c r="B94" i="9" s="1"/>
  <c r="B95" i="9" s="1"/>
  <c r="B96" i="9" s="1"/>
  <c r="B97" i="9" s="1"/>
  <c r="B98" i="9" s="1"/>
  <c r="B99" i="9" s="1"/>
  <c r="B100" i="9" s="1"/>
  <c r="B101" i="9" s="1"/>
  <c r="B102" i="9" s="1"/>
  <c r="B103" i="9" s="1"/>
  <c r="B104" i="9" s="1"/>
  <c r="B105" i="9" s="1"/>
  <c r="B106" i="9" s="1"/>
  <c r="B107" i="9" s="1"/>
  <c r="B108" i="9" s="1"/>
  <c r="B109" i="9" s="1"/>
  <c r="B110" i="9" s="1"/>
  <c r="B111" i="9" s="1"/>
  <c r="B112" i="9" s="1"/>
  <c r="B113" i="9" s="1"/>
  <c r="B114" i="9" s="1"/>
  <c r="B115" i="9" s="1"/>
  <c r="B116" i="9" s="1"/>
  <c r="B117" i="9" s="1"/>
  <c r="B118" i="9" s="1"/>
  <c r="B119" i="9" s="1"/>
  <c r="B120" i="9" s="1"/>
  <c r="B121" i="9" s="1"/>
  <c r="B122" i="9" s="1"/>
  <c r="B123" i="9" s="1"/>
  <c r="B124" i="9" s="1"/>
  <c r="B125" i="9" s="1"/>
  <c r="B126" i="9" s="1"/>
  <c r="B127" i="9" s="1"/>
  <c r="B128" i="9" s="1"/>
  <c r="B129" i="9" s="1"/>
  <c r="B130" i="9" s="1"/>
  <c r="B131" i="9" s="1"/>
  <c r="B132" i="9" s="1"/>
  <c r="B133" i="9" s="1"/>
  <c r="B134" i="9" s="1"/>
  <c r="B135" i="9" s="1"/>
  <c r="B136" i="9" s="1"/>
  <c r="B137" i="9" s="1"/>
  <c r="B138" i="9" s="1"/>
  <c r="B139" i="9" s="1"/>
  <c r="B140" i="9" s="1"/>
  <c r="B141" i="9" s="1"/>
  <c r="B142" i="9" s="1"/>
  <c r="B143" i="9" s="1"/>
  <c r="B144" i="9" s="1"/>
  <c r="B145" i="9" s="1"/>
  <c r="B146" i="9" s="1"/>
  <c r="B147" i="9" s="1"/>
  <c r="B148" i="9" s="1"/>
  <c r="B149" i="9" s="1"/>
  <c r="B150" i="9" s="1"/>
  <c r="B151" i="9" s="1"/>
  <c r="B152" i="9" s="1"/>
  <c r="B153" i="9" s="1"/>
  <c r="B154" i="9" s="1"/>
  <c r="B155" i="9" s="1"/>
  <c r="B156" i="9" s="1"/>
  <c r="B157" i="9" s="1"/>
  <c r="B158" i="9" s="1"/>
  <c r="B159" i="9" s="1"/>
  <c r="B160" i="9" s="1"/>
  <c r="B161" i="9" s="1"/>
  <c r="B162" i="9" s="1"/>
  <c r="B163" i="9" s="1"/>
  <c r="B164" i="9" s="1"/>
  <c r="B165" i="9" s="1"/>
  <c r="B166" i="9" s="1"/>
  <c r="B167" i="9" s="1"/>
  <c r="B168" i="9" s="1"/>
  <c r="B169" i="9" s="1"/>
  <c r="B170" i="9" s="1"/>
  <c r="B171" i="9" s="1"/>
  <c r="B172" i="9" s="1"/>
  <c r="B173" i="9" s="1"/>
  <c r="B174" i="9" s="1"/>
  <c r="B175" i="9" s="1"/>
  <c r="B176" i="9" s="1"/>
  <c r="B177" i="9" s="1"/>
  <c r="B178" i="9" s="1"/>
  <c r="B179" i="9" s="1"/>
  <c r="B180" i="9" s="1"/>
  <c r="B181" i="9" s="1"/>
  <c r="B182" i="9" s="1"/>
  <c r="B183" i="9" s="1"/>
  <c r="B184" i="9" s="1"/>
  <c r="B185" i="9" s="1"/>
  <c r="B186" i="9" s="1"/>
  <c r="B187" i="9" s="1"/>
  <c r="B188" i="9" s="1"/>
  <c r="B189" i="9" s="1"/>
  <c r="B190" i="9" s="1"/>
  <c r="B191" i="9" s="1"/>
  <c r="B192" i="9" s="1"/>
  <c r="B193" i="9" s="1"/>
  <c r="B194" i="9" s="1"/>
  <c r="B195" i="9" s="1"/>
  <c r="B196" i="9" s="1"/>
  <c r="B197" i="9" s="1"/>
  <c r="B198" i="9" s="1"/>
  <c r="B199" i="9" s="1"/>
  <c r="B200" i="9" s="1"/>
  <c r="B201" i="9" s="1"/>
  <c r="B202" i="9" s="1"/>
  <c r="B203" i="9" s="1"/>
  <c r="B204" i="9" s="1"/>
  <c r="B205" i="9" s="1"/>
  <c r="B206" i="9" s="1"/>
  <c r="B207" i="9" s="1"/>
  <c r="B208" i="9" s="1"/>
  <c r="B209" i="9" s="1"/>
  <c r="B210" i="9" s="1"/>
  <c r="B211" i="9" s="1"/>
  <c r="B212" i="9" s="1"/>
  <c r="B213" i="9" s="1"/>
  <c r="B214" i="9" s="1"/>
  <c r="B215" i="9" s="1"/>
  <c r="B216" i="9" s="1"/>
  <c r="B217" i="9" s="1"/>
  <c r="B218" i="9" s="1"/>
  <c r="B219" i="9" s="1"/>
  <c r="B220" i="9" s="1"/>
  <c r="B221" i="9" s="1"/>
  <c r="B222" i="9" s="1"/>
  <c r="B223" i="9" s="1"/>
  <c r="B224" i="9" s="1"/>
  <c r="B225" i="9" s="1"/>
  <c r="B226" i="9" s="1"/>
  <c r="B227" i="9" s="1"/>
  <c r="B228" i="9" s="1"/>
  <c r="B229" i="9" s="1"/>
  <c r="B230" i="9" s="1"/>
  <c r="B231" i="9" s="1"/>
  <c r="B232" i="9" s="1"/>
  <c r="B233" i="9" s="1"/>
  <c r="B234" i="9" s="1"/>
  <c r="B235" i="9" s="1"/>
  <c r="B236" i="9" s="1"/>
  <c r="B237" i="9" s="1"/>
  <c r="B238" i="9" s="1"/>
  <c r="B239" i="9" s="1"/>
  <c r="B240" i="9" s="1"/>
  <c r="B241" i="9" s="1"/>
  <c r="B242" i="9" s="1"/>
  <c r="B243" i="9" s="1"/>
  <c r="B244" i="9" s="1"/>
  <c r="B245" i="9" s="1"/>
  <c r="B246" i="9" s="1"/>
  <c r="B247" i="9" s="1"/>
  <c r="B248" i="9" s="1"/>
  <c r="B249" i="9" s="1"/>
  <c r="B250" i="9" s="1"/>
  <c r="B251" i="9" s="1"/>
  <c r="B252" i="9" s="1"/>
  <c r="B253" i="9" s="1"/>
  <c r="B254" i="9" s="1"/>
  <c r="B255" i="9" s="1"/>
  <c r="B256" i="9" s="1"/>
  <c r="B257" i="9" s="1"/>
  <c r="B258" i="9" s="1"/>
  <c r="B259" i="9" s="1"/>
  <c r="B260" i="9" s="1"/>
  <c r="B261" i="9" s="1"/>
  <c r="B262" i="9" s="1"/>
  <c r="B263" i="9" s="1"/>
  <c r="B264" i="9" s="1"/>
  <c r="B265" i="9" s="1"/>
  <c r="B266" i="9" s="1"/>
  <c r="B267" i="9" s="1"/>
  <c r="B268" i="9" s="1"/>
  <c r="B269" i="9" s="1"/>
  <c r="B270" i="9" s="1"/>
  <c r="B271" i="9" s="1"/>
  <c r="B272" i="9" s="1"/>
  <c r="B273" i="9" s="1"/>
  <c r="B274" i="9" s="1"/>
  <c r="B275" i="9" s="1"/>
  <c r="B276" i="9" s="1"/>
  <c r="B277" i="9" s="1"/>
  <c r="B278" i="9" s="1"/>
  <c r="B279" i="9" s="1"/>
  <c r="B280" i="9" s="1"/>
  <c r="B281" i="9" s="1"/>
  <c r="B282" i="9" s="1"/>
  <c r="B283" i="9" s="1"/>
  <c r="B284" i="9" s="1"/>
  <c r="B285" i="9" s="1"/>
  <c r="B286" i="9" s="1"/>
  <c r="B287" i="9" s="1"/>
  <c r="B288" i="9" s="1"/>
  <c r="B289" i="9" s="1"/>
  <c r="B290" i="9" s="1"/>
  <c r="B291" i="9" s="1"/>
  <c r="B292" i="9" s="1"/>
  <c r="B293" i="9" s="1"/>
  <c r="B294" i="9" s="1"/>
  <c r="B295" i="9" s="1"/>
  <c r="B296" i="9" s="1"/>
  <c r="B297" i="9" s="1"/>
  <c r="B298" i="9" s="1"/>
  <c r="B299" i="9" s="1"/>
  <c r="B300" i="9" s="1"/>
  <c r="B301" i="9" s="1"/>
  <c r="B302" i="9" s="1"/>
  <c r="B303" i="9" s="1"/>
  <c r="B304" i="9" s="1"/>
  <c r="B305" i="9" s="1"/>
  <c r="B306" i="9" s="1"/>
  <c r="B307" i="9" s="1"/>
  <c r="B308" i="9" s="1"/>
  <c r="B309" i="9" s="1"/>
  <c r="B310" i="9" s="1"/>
  <c r="B311" i="9" s="1"/>
  <c r="B312" i="9" s="1"/>
  <c r="B313" i="9" s="1"/>
  <c r="B314" i="9" s="1"/>
  <c r="B315" i="9" s="1"/>
  <c r="B316" i="9" s="1"/>
  <c r="B317" i="9" s="1"/>
  <c r="B318" i="9" s="1"/>
  <c r="B319" i="9" s="1"/>
  <c r="B320" i="9" s="1"/>
  <c r="B321" i="9" s="1"/>
  <c r="B322" i="9" s="1"/>
  <c r="B323" i="9" s="1"/>
  <c r="B324" i="9" s="1"/>
  <c r="B325" i="9" s="1"/>
  <c r="B326" i="9" s="1"/>
  <c r="B327" i="9" s="1"/>
  <c r="B328" i="9" s="1"/>
  <c r="B329" i="9" s="1"/>
  <c r="B330" i="9" s="1"/>
  <c r="B331" i="9" s="1"/>
  <c r="B332" i="9" s="1"/>
  <c r="B333" i="9" s="1"/>
  <c r="B334" i="9" s="1"/>
  <c r="B335" i="9" s="1"/>
  <c r="B336" i="9" s="1"/>
  <c r="B337" i="9" s="1"/>
  <c r="B338" i="9" s="1"/>
  <c r="B339" i="9" s="1"/>
  <c r="B340" i="9" s="1"/>
  <c r="B341" i="9" s="1"/>
  <c r="B342" i="9" s="1"/>
  <c r="B343" i="9" s="1"/>
  <c r="B344" i="9" s="1"/>
  <c r="B345" i="9" s="1"/>
  <c r="B346" i="9" s="1"/>
  <c r="B347" i="9" s="1"/>
  <c r="B348" i="9" s="1"/>
  <c r="B349" i="9" s="1"/>
  <c r="B350" i="9" s="1"/>
  <c r="B351" i="9" s="1"/>
  <c r="B352" i="9" s="1"/>
  <c r="B353" i="9" s="1"/>
  <c r="B354" i="9" s="1"/>
  <c r="B355" i="9" s="1"/>
  <c r="B356" i="9" s="1"/>
  <c r="B357" i="9" s="1"/>
  <c r="B358" i="9" s="1"/>
  <c r="B359" i="9" s="1"/>
  <c r="B360" i="9" s="1"/>
  <c r="B361" i="9" s="1"/>
  <c r="B362" i="9" s="1"/>
  <c r="B363" i="9" s="1"/>
  <c r="B364" i="9" s="1"/>
  <c r="B365" i="9" s="1"/>
  <c r="B366" i="9" s="1"/>
  <c r="B367" i="9" s="1"/>
  <c r="B368" i="9" s="1"/>
  <c r="B369" i="9" s="1"/>
  <c r="B370" i="9" s="1"/>
  <c r="B371" i="9" s="1"/>
  <c r="B372" i="9" s="1"/>
  <c r="B373" i="9" s="1"/>
  <c r="B374" i="9" s="1"/>
  <c r="B375" i="9" s="1"/>
  <c r="B376" i="9" s="1"/>
  <c r="B377" i="9" s="1"/>
  <c r="B378" i="9" s="1"/>
  <c r="B379" i="9" s="1"/>
  <c r="B380" i="9" s="1"/>
  <c r="B381" i="9" s="1"/>
  <c r="B382" i="9" s="1"/>
  <c r="B383" i="9" s="1"/>
  <c r="B384" i="9" s="1"/>
  <c r="B385" i="9" s="1"/>
  <c r="B386" i="9" s="1"/>
  <c r="B387" i="9" s="1"/>
  <c r="B388" i="9" s="1"/>
  <c r="B389" i="9" s="1"/>
  <c r="B390" i="9" s="1"/>
  <c r="B391" i="9" s="1"/>
  <c r="B392" i="9" s="1"/>
  <c r="B393" i="9" s="1"/>
  <c r="B394" i="9" s="1"/>
  <c r="B395" i="9" s="1"/>
  <c r="B396" i="9" s="1"/>
  <c r="B397" i="9" s="1"/>
  <c r="B398" i="9" s="1"/>
  <c r="B399" i="9" s="1"/>
  <c r="B400" i="9" s="1"/>
  <c r="B401" i="9" s="1"/>
  <c r="B402" i="9" s="1"/>
  <c r="B403" i="9" s="1"/>
  <c r="B404" i="9" s="1"/>
  <c r="B405" i="9" s="1"/>
  <c r="B406" i="9" s="1"/>
  <c r="B407" i="9" s="1"/>
  <c r="B408" i="9" s="1"/>
  <c r="B409" i="9" s="1"/>
  <c r="B410" i="9" s="1"/>
  <c r="B411" i="9" s="1"/>
  <c r="B412" i="9" s="1"/>
  <c r="B413" i="9" s="1"/>
  <c r="B414" i="9" s="1"/>
  <c r="B415" i="9" s="1"/>
  <c r="B416" i="9" s="1"/>
  <c r="B417" i="9" s="1"/>
  <c r="B418" i="9" s="1"/>
  <c r="B419" i="9" s="1"/>
  <c r="B420" i="9" s="1"/>
  <c r="B421" i="9" s="1"/>
  <c r="B422" i="9" s="1"/>
  <c r="B423" i="9" s="1"/>
  <c r="B424" i="9" s="1"/>
  <c r="B425" i="9" s="1"/>
  <c r="B426" i="9" s="1"/>
  <c r="B427" i="9" s="1"/>
  <c r="B428" i="9" s="1"/>
  <c r="B429" i="9" s="1"/>
  <c r="B430" i="9" s="1"/>
  <c r="B431" i="9" s="1"/>
  <c r="B432" i="9" s="1"/>
  <c r="B433" i="9" s="1"/>
  <c r="B434" i="9" s="1"/>
  <c r="B435" i="9" s="1"/>
  <c r="B436" i="9" s="1"/>
  <c r="B437" i="9" s="1"/>
  <c r="B438" i="9" s="1"/>
  <c r="B439" i="9" s="1"/>
  <c r="B440" i="9" s="1"/>
  <c r="B441" i="9" s="1"/>
  <c r="B442" i="9" s="1"/>
  <c r="B443" i="9" s="1"/>
  <c r="B444" i="9" s="1"/>
  <c r="B445" i="9" s="1"/>
  <c r="B446" i="9" s="1"/>
  <c r="B447" i="9" s="1"/>
  <c r="B448" i="9" s="1"/>
  <c r="B449" i="9" s="1"/>
  <c r="B450" i="9" s="1"/>
  <c r="B451" i="9" s="1"/>
  <c r="B452" i="9" s="1"/>
  <c r="B453" i="9" s="1"/>
  <c r="B454" i="9" s="1"/>
  <c r="B455" i="9" s="1"/>
  <c r="B456" i="9" s="1"/>
  <c r="B457" i="9" s="1"/>
  <c r="B458" i="9" s="1"/>
  <c r="B459" i="9" s="1"/>
  <c r="B460" i="9" s="1"/>
  <c r="B461" i="9" s="1"/>
  <c r="B462" i="9" s="1"/>
  <c r="B463" i="9" s="1"/>
  <c r="B464" i="9" s="1"/>
  <c r="B465" i="9" s="1"/>
  <c r="B466" i="9" s="1"/>
  <c r="B467" i="9" s="1"/>
  <c r="B468" i="9" s="1"/>
  <c r="B469" i="9" s="1"/>
  <c r="B470" i="9" s="1"/>
  <c r="B471" i="9" s="1"/>
  <c r="B472" i="9" s="1"/>
  <c r="B473" i="9" s="1"/>
  <c r="B474" i="9" s="1"/>
  <c r="B475" i="9" s="1"/>
  <c r="B476" i="9" s="1"/>
  <c r="B477" i="9" s="1"/>
  <c r="B478" i="9" s="1"/>
  <c r="B479" i="9" s="1"/>
  <c r="B480" i="9" s="1"/>
  <c r="B481" i="9" s="1"/>
  <c r="B482" i="9" s="1"/>
  <c r="B483" i="9" s="1"/>
  <c r="B484" i="9" s="1"/>
  <c r="B485" i="9" s="1"/>
  <c r="B486" i="9" s="1"/>
  <c r="B487" i="9" s="1"/>
  <c r="B488" i="9" s="1"/>
  <c r="B489" i="9" s="1"/>
  <c r="B490" i="9" s="1"/>
  <c r="B491" i="9" s="1"/>
  <c r="B492" i="9" s="1"/>
  <c r="B493" i="9" s="1"/>
  <c r="B494" i="9" s="1"/>
  <c r="B495" i="9" s="1"/>
  <c r="B496" i="9" s="1"/>
  <c r="B497" i="9" s="1"/>
  <c r="B498" i="9" s="1"/>
  <c r="B499" i="9" s="1"/>
  <c r="B500" i="9" s="1"/>
  <c r="B501" i="9" s="1"/>
  <c r="B502" i="9" s="1"/>
  <c r="B503" i="9" s="1"/>
  <c r="B504" i="9" s="1"/>
  <c r="B505" i="9" s="1"/>
  <c r="B506" i="9" s="1"/>
  <c r="B507" i="9" s="1"/>
  <c r="B508" i="9" s="1"/>
  <c r="B509" i="9" s="1"/>
  <c r="B510" i="9" s="1"/>
  <c r="B511" i="9" s="1"/>
  <c r="B512" i="9" s="1"/>
  <c r="B513" i="9" s="1"/>
  <c r="B514" i="9" s="1"/>
  <c r="B515" i="9" s="1"/>
  <c r="B516" i="9" s="1"/>
  <c r="B517" i="9" s="1"/>
  <c r="B518" i="9" s="1"/>
  <c r="B519" i="9" s="1"/>
  <c r="B520" i="9" s="1"/>
  <c r="B521" i="9" s="1"/>
  <c r="B522" i="9" s="1"/>
  <c r="B523" i="9" s="1"/>
  <c r="B524" i="9" s="1"/>
  <c r="B525" i="9" s="1"/>
  <c r="B526" i="9" s="1"/>
  <c r="B527" i="9" s="1"/>
  <c r="B528" i="9" s="1"/>
  <c r="B529" i="9" s="1"/>
  <c r="B530" i="9" s="1"/>
  <c r="B531" i="9" s="1"/>
  <c r="B532" i="9" s="1"/>
  <c r="B533" i="9" s="1"/>
  <c r="B534" i="9" s="1"/>
  <c r="B535" i="9" s="1"/>
  <c r="B536" i="9" s="1"/>
  <c r="B537" i="9" s="1"/>
  <c r="B538" i="9" s="1"/>
  <c r="B539" i="9" s="1"/>
  <c r="B540" i="9" s="1"/>
  <c r="B541" i="9" s="1"/>
  <c r="B542" i="9" s="1"/>
  <c r="B543" i="9" s="1"/>
  <c r="B544" i="9" s="1"/>
  <c r="B545" i="9" s="1"/>
  <c r="B546" i="9" s="1"/>
  <c r="B547" i="9" s="1"/>
  <c r="B548" i="9" s="1"/>
  <c r="B549" i="9" s="1"/>
  <c r="B550" i="9" s="1"/>
  <c r="B551" i="9" s="1"/>
  <c r="B552" i="9" s="1"/>
  <c r="B553" i="9" s="1"/>
  <c r="B554" i="9" s="1"/>
  <c r="B555" i="9" s="1"/>
  <c r="B556" i="9" s="1"/>
  <c r="B557" i="9" s="1"/>
  <c r="B558" i="9" s="1"/>
  <c r="B559" i="9" s="1"/>
  <c r="B560" i="9" s="1"/>
  <c r="B561" i="9" s="1"/>
  <c r="B562" i="9" s="1"/>
  <c r="B563" i="9" s="1"/>
  <c r="B564" i="9" s="1"/>
  <c r="B565" i="9" s="1"/>
  <c r="B566" i="9" s="1"/>
  <c r="B567" i="9" s="1"/>
  <c r="B568" i="9" s="1"/>
  <c r="B569" i="9" s="1"/>
  <c r="B570" i="9" s="1"/>
  <c r="B571" i="9" s="1"/>
  <c r="B572" i="9" s="1"/>
  <c r="B573" i="9" s="1"/>
  <c r="B574" i="9" s="1"/>
  <c r="B575" i="9" s="1"/>
  <c r="B576" i="9" s="1"/>
  <c r="B577" i="9" s="1"/>
  <c r="B578" i="9" s="1"/>
  <c r="B579" i="9" s="1"/>
  <c r="B580" i="9" s="1"/>
  <c r="B581" i="9" s="1"/>
  <c r="B582" i="9" s="1"/>
  <c r="B583" i="9" s="1"/>
  <c r="B584" i="9" s="1"/>
  <c r="B585" i="9" s="1"/>
  <c r="B586" i="9" s="1"/>
  <c r="B587" i="9" s="1"/>
  <c r="B588" i="9" s="1"/>
  <c r="B589" i="9" s="1"/>
  <c r="B590" i="9" s="1"/>
  <c r="B591" i="9" s="1"/>
  <c r="B592" i="9" s="1"/>
  <c r="B593" i="9" s="1"/>
  <c r="B594" i="9" s="1"/>
  <c r="B595" i="9" s="1"/>
  <c r="B596" i="9" s="1"/>
  <c r="B597" i="9" s="1"/>
  <c r="B598" i="9" s="1"/>
  <c r="B599" i="9" s="1"/>
  <c r="B600" i="9" s="1"/>
  <c r="B601" i="9" s="1"/>
  <c r="B602" i="9" s="1"/>
  <c r="B603" i="9" s="1"/>
  <c r="B604" i="9" s="1"/>
  <c r="B605" i="9" s="1"/>
  <c r="B606" i="9" s="1"/>
  <c r="B607" i="9" s="1"/>
  <c r="B608" i="9" s="1"/>
  <c r="B609" i="9" s="1"/>
  <c r="B610" i="9" s="1"/>
  <c r="B611" i="9" s="1"/>
  <c r="B612" i="9" s="1"/>
  <c r="B613" i="9" s="1"/>
  <c r="B614" i="9" s="1"/>
  <c r="B615" i="9" s="1"/>
  <c r="B616" i="9" s="1"/>
  <c r="B617" i="9" s="1"/>
  <c r="B618" i="9" s="1"/>
  <c r="B619" i="9" s="1"/>
  <c r="B620" i="9" s="1"/>
  <c r="B621" i="9" s="1"/>
  <c r="B622" i="9" s="1"/>
  <c r="B623" i="9" s="1"/>
  <c r="B624" i="9" s="1"/>
  <c r="B625" i="9" s="1"/>
  <c r="B626" i="9" s="1"/>
  <c r="B627" i="9" s="1"/>
  <c r="B628" i="9" s="1"/>
  <c r="B629" i="9" s="1"/>
  <c r="B630" i="9" s="1"/>
  <c r="B631" i="9" s="1"/>
  <c r="B632" i="9" s="1"/>
  <c r="B633" i="9" s="1"/>
  <c r="B634" i="9" s="1"/>
  <c r="B635" i="9" s="1"/>
  <c r="B636" i="9" s="1"/>
  <c r="B637" i="9" s="1"/>
  <c r="B638" i="9" s="1"/>
  <c r="B639" i="9" s="1"/>
  <c r="B640" i="9" s="1"/>
  <c r="B641" i="9" s="1"/>
  <c r="B642" i="9" s="1"/>
  <c r="B643" i="9" s="1"/>
  <c r="B644" i="9" s="1"/>
  <c r="B645" i="9" s="1"/>
  <c r="B646" i="9" s="1"/>
  <c r="B647" i="9" s="1"/>
  <c r="B648" i="9" s="1"/>
  <c r="B649" i="9" s="1"/>
  <c r="B650" i="9" s="1"/>
  <c r="B651" i="9" s="1"/>
  <c r="B652" i="9" s="1"/>
  <c r="B653" i="9" s="1"/>
  <c r="B654" i="9" s="1"/>
  <c r="B655" i="9" s="1"/>
  <c r="B656" i="9" s="1"/>
  <c r="B657" i="9" s="1"/>
  <c r="B658" i="9" s="1"/>
  <c r="B659" i="9" s="1"/>
  <c r="B660" i="9" s="1"/>
  <c r="B661" i="9" s="1"/>
  <c r="B662" i="9" s="1"/>
  <c r="B663" i="9" s="1"/>
  <c r="B664" i="9" s="1"/>
  <c r="B665" i="9" s="1"/>
  <c r="B666" i="9" s="1"/>
  <c r="B667" i="9" s="1"/>
  <c r="B668" i="9" s="1"/>
  <c r="B669" i="9" s="1"/>
  <c r="B670" i="9" s="1"/>
  <c r="B671" i="9" s="1"/>
  <c r="B672" i="9" s="1"/>
  <c r="B673" i="9" s="1"/>
  <c r="B674" i="9" s="1"/>
  <c r="B675" i="9" s="1"/>
  <c r="B676" i="9" s="1"/>
  <c r="B677" i="9" s="1"/>
  <c r="B678" i="9" s="1"/>
  <c r="B679" i="9" s="1"/>
  <c r="B680" i="9" s="1"/>
  <c r="B681" i="9" s="1"/>
  <c r="B682" i="9" s="1"/>
  <c r="B683" i="9" s="1"/>
  <c r="B684" i="9" s="1"/>
  <c r="B685" i="9" s="1"/>
  <c r="B686" i="9" s="1"/>
  <c r="B687" i="9" s="1"/>
  <c r="B688" i="9" s="1"/>
  <c r="B689" i="9" s="1"/>
  <c r="B690" i="9" s="1"/>
  <c r="B691" i="9" s="1"/>
  <c r="B692" i="9" s="1"/>
  <c r="B693" i="9" s="1"/>
  <c r="B694" i="9" s="1"/>
  <c r="B695" i="9" s="1"/>
  <c r="B696" i="9" s="1"/>
  <c r="B697" i="9" s="1"/>
  <c r="B698" i="9" s="1"/>
  <c r="B699" i="9" s="1"/>
  <c r="B700" i="9" s="1"/>
  <c r="B701" i="9" s="1"/>
  <c r="B702" i="9" s="1"/>
  <c r="B703" i="9" s="1"/>
  <c r="B704" i="9" s="1"/>
  <c r="B705" i="9" s="1"/>
  <c r="B706" i="9" s="1"/>
  <c r="B707" i="9" s="1"/>
  <c r="B708" i="9" s="1"/>
  <c r="B709" i="9" s="1"/>
  <c r="B710" i="9" s="1"/>
  <c r="B711" i="9" s="1"/>
  <c r="B712" i="9" s="1"/>
  <c r="B713" i="9" s="1"/>
  <c r="B714" i="9" s="1"/>
  <c r="B715" i="9" s="1"/>
  <c r="B716" i="9" s="1"/>
  <c r="B717" i="9" s="1"/>
  <c r="B718" i="9" s="1"/>
  <c r="B719" i="9" s="1"/>
  <c r="B720" i="9" s="1"/>
  <c r="B721" i="9" s="1"/>
  <c r="B722" i="9" s="1"/>
  <c r="B723" i="9" s="1"/>
  <c r="B724" i="9" s="1"/>
  <c r="B725" i="9" s="1"/>
  <c r="B726" i="9" s="1"/>
  <c r="B727" i="9" s="1"/>
  <c r="B728" i="9" s="1"/>
  <c r="B729" i="9" s="1"/>
  <c r="B730" i="9" s="1"/>
  <c r="B731" i="9" s="1"/>
  <c r="B732" i="9" s="1"/>
  <c r="B733" i="9" s="1"/>
  <c r="B734" i="9" s="1"/>
  <c r="B735" i="9" s="1"/>
  <c r="B736" i="9" s="1"/>
  <c r="B737" i="9" s="1"/>
  <c r="B738" i="9" s="1"/>
  <c r="B739" i="9" s="1"/>
  <c r="B740" i="9" s="1"/>
  <c r="B741" i="9" s="1"/>
  <c r="B742" i="9" s="1"/>
  <c r="B743" i="9" s="1"/>
  <c r="B744" i="9" s="1"/>
  <c r="B745" i="9" s="1"/>
  <c r="B746" i="9" s="1"/>
  <c r="B747" i="9" s="1"/>
  <c r="B748" i="9" s="1"/>
  <c r="B749" i="9" s="1"/>
  <c r="B750" i="9" s="1"/>
  <c r="B751" i="9" s="1"/>
  <c r="B752" i="9" s="1"/>
  <c r="B753" i="9" s="1"/>
  <c r="B754" i="9" s="1"/>
  <c r="B755" i="9" s="1"/>
  <c r="B756" i="9" s="1"/>
  <c r="B757" i="9" s="1"/>
  <c r="B758" i="9" s="1"/>
  <c r="B759" i="9" s="1"/>
  <c r="B760" i="9" s="1"/>
  <c r="B761" i="9" s="1"/>
  <c r="B762" i="9" s="1"/>
  <c r="B763" i="9" s="1"/>
  <c r="B764" i="9" s="1"/>
  <c r="B765" i="9" s="1"/>
  <c r="B766" i="9" s="1"/>
  <c r="B767" i="9" s="1"/>
  <c r="B768" i="9" s="1"/>
  <c r="B769" i="9" s="1"/>
  <c r="B770" i="9" s="1"/>
  <c r="B771" i="9" s="1"/>
  <c r="B772" i="9" s="1"/>
  <c r="B773" i="9" s="1"/>
  <c r="B774" i="9" s="1"/>
  <c r="B775" i="9" s="1"/>
  <c r="B776" i="9" s="1"/>
  <c r="B777" i="9" s="1"/>
  <c r="B778" i="9" s="1"/>
  <c r="B779" i="9" s="1"/>
  <c r="B780" i="9" s="1"/>
  <c r="B781" i="9" s="1"/>
  <c r="B782" i="9" s="1"/>
  <c r="B783" i="9" s="1"/>
  <c r="B784" i="9" s="1"/>
  <c r="B785" i="9" s="1"/>
  <c r="B786" i="9" s="1"/>
  <c r="B787" i="9" s="1"/>
  <c r="B788" i="9" s="1"/>
  <c r="B789" i="9" s="1"/>
  <c r="B790" i="9" s="1"/>
  <c r="B791" i="9" s="1"/>
  <c r="B792" i="9" s="1"/>
  <c r="B793" i="9" s="1"/>
  <c r="B794" i="9" s="1"/>
  <c r="B795" i="9" s="1"/>
  <c r="B796" i="9" s="1"/>
  <c r="B797" i="9" s="1"/>
  <c r="B798" i="9" s="1"/>
  <c r="B799" i="9" s="1"/>
  <c r="B800" i="9" s="1"/>
  <c r="B801" i="9" s="1"/>
  <c r="B802" i="9" s="1"/>
  <c r="B803" i="9" s="1"/>
  <c r="B804" i="9" s="1"/>
  <c r="B805" i="9" s="1"/>
  <c r="B806" i="9" s="1"/>
  <c r="B807" i="9" s="1"/>
  <c r="B808" i="9" s="1"/>
  <c r="B809" i="9" s="1"/>
  <c r="B810" i="9" s="1"/>
  <c r="B811" i="9" s="1"/>
  <c r="B812" i="9" s="1"/>
  <c r="B813" i="9" s="1"/>
  <c r="B814" i="9" s="1"/>
  <c r="B815" i="9" s="1"/>
  <c r="B816" i="9" s="1"/>
  <c r="B817" i="9" s="1"/>
  <c r="B818" i="9" s="1"/>
  <c r="B819" i="9" s="1"/>
  <c r="B820" i="9" s="1"/>
  <c r="B821" i="9" s="1"/>
  <c r="B822" i="9" s="1"/>
  <c r="B823" i="9" s="1"/>
  <c r="B824" i="9" s="1"/>
  <c r="B825" i="9" s="1"/>
  <c r="B826" i="9" s="1"/>
  <c r="B827" i="9" s="1"/>
  <c r="B828" i="9" s="1"/>
  <c r="B829" i="9" s="1"/>
  <c r="B830" i="9" s="1"/>
  <c r="B831" i="9" s="1"/>
  <c r="B832" i="9" s="1"/>
  <c r="B833" i="9" s="1"/>
  <c r="B834" i="9" s="1"/>
  <c r="B835" i="9" s="1"/>
  <c r="B836" i="9" s="1"/>
  <c r="B837" i="9" s="1"/>
  <c r="B838" i="9" s="1"/>
  <c r="B839" i="9" s="1"/>
  <c r="B840" i="9" s="1"/>
  <c r="B841" i="9" s="1"/>
  <c r="B842" i="9" s="1"/>
  <c r="B843" i="9" s="1"/>
  <c r="B844" i="9" s="1"/>
  <c r="B845" i="9" s="1"/>
  <c r="B846" i="9" s="1"/>
  <c r="B847" i="9" s="1"/>
  <c r="B848" i="9" s="1"/>
  <c r="B849" i="9" s="1"/>
  <c r="B850" i="9" s="1"/>
  <c r="B851" i="9" s="1"/>
  <c r="B852" i="9" s="1"/>
  <c r="B853" i="9" s="1"/>
  <c r="B854" i="9" s="1"/>
  <c r="B855" i="9" s="1"/>
  <c r="B856" i="9" s="1"/>
  <c r="B857" i="9" s="1"/>
  <c r="B858" i="9" s="1"/>
  <c r="B859" i="9" s="1"/>
  <c r="B860" i="9" s="1"/>
  <c r="B861" i="9" s="1"/>
  <c r="B862" i="9" s="1"/>
  <c r="B863" i="9" s="1"/>
  <c r="B864" i="9" s="1"/>
  <c r="B865" i="9" s="1"/>
  <c r="B866" i="9" s="1"/>
  <c r="B867" i="9" s="1"/>
  <c r="B868" i="9" s="1"/>
  <c r="B869" i="9" s="1"/>
  <c r="B870" i="9" s="1"/>
  <c r="B871" i="9" s="1"/>
  <c r="B872" i="9" s="1"/>
  <c r="B873" i="9" s="1"/>
  <c r="B874" i="9" s="1"/>
  <c r="B875" i="9" s="1"/>
  <c r="B876" i="9" s="1"/>
  <c r="B877" i="9" s="1"/>
  <c r="B878" i="9" s="1"/>
  <c r="B879" i="9" s="1"/>
  <c r="B880" i="9" s="1"/>
  <c r="B881" i="9" s="1"/>
  <c r="B882" i="9" s="1"/>
  <c r="B883" i="9" s="1"/>
  <c r="B884" i="9" s="1"/>
  <c r="B885" i="9" s="1"/>
  <c r="B886" i="9" s="1"/>
  <c r="B887" i="9" s="1"/>
  <c r="B888" i="9" s="1"/>
  <c r="B889" i="9" s="1"/>
  <c r="B890" i="9" s="1"/>
  <c r="B891" i="9" s="1"/>
  <c r="B892" i="9" s="1"/>
  <c r="B893" i="9" s="1"/>
  <c r="B894" i="9" s="1"/>
  <c r="B895" i="9" s="1"/>
  <c r="B896" i="9" s="1"/>
  <c r="B897" i="9" s="1"/>
  <c r="B898" i="9" s="1"/>
  <c r="B899" i="9" s="1"/>
  <c r="B900" i="9" s="1"/>
  <c r="B901" i="9" s="1"/>
  <c r="B902" i="9" s="1"/>
  <c r="B903" i="9" s="1"/>
  <c r="B904" i="9" s="1"/>
  <c r="B905" i="9" s="1"/>
  <c r="B906" i="9" s="1"/>
  <c r="B907" i="9" s="1"/>
  <c r="B908" i="9" s="1"/>
  <c r="B909" i="9" s="1"/>
  <c r="B910" i="9" s="1"/>
  <c r="B911" i="9" s="1"/>
  <c r="B912" i="9" s="1"/>
  <c r="B913" i="9" s="1"/>
  <c r="B914" i="9" s="1"/>
  <c r="B915" i="9" s="1"/>
  <c r="B916" i="9" s="1"/>
  <c r="B917" i="9" s="1"/>
  <c r="B918" i="9" s="1"/>
  <c r="B919" i="9" s="1"/>
  <c r="B920" i="9" s="1"/>
  <c r="B921" i="9" s="1"/>
  <c r="B922" i="9" s="1"/>
  <c r="B923" i="9" s="1"/>
  <c r="B924" i="9" s="1"/>
  <c r="B925" i="9" s="1"/>
  <c r="B926" i="9" s="1"/>
  <c r="B927" i="9" s="1"/>
  <c r="B928" i="9" s="1"/>
  <c r="B929" i="9" s="1"/>
  <c r="B930" i="9" s="1"/>
  <c r="B931" i="9" s="1"/>
  <c r="B932" i="9" s="1"/>
  <c r="B933" i="9" s="1"/>
  <c r="B934" i="9" s="1"/>
  <c r="B935" i="9" s="1"/>
  <c r="B936" i="9" s="1"/>
  <c r="B937" i="9" s="1"/>
  <c r="B938" i="9" s="1"/>
  <c r="B939" i="9" s="1"/>
  <c r="B940" i="9" s="1"/>
  <c r="B941" i="9" s="1"/>
  <c r="B942" i="9" s="1"/>
  <c r="B943" i="9" s="1"/>
  <c r="B944" i="9" s="1"/>
  <c r="B945" i="9" s="1"/>
  <c r="B946" i="9" s="1"/>
  <c r="B947" i="9" s="1"/>
  <c r="B948" i="9" s="1"/>
  <c r="B949" i="9" s="1"/>
  <c r="B950" i="9" s="1"/>
  <c r="B951" i="9" s="1"/>
  <c r="B952" i="9" s="1"/>
  <c r="B953" i="9" s="1"/>
  <c r="B954" i="9" s="1"/>
  <c r="B955" i="9" s="1"/>
  <c r="B956" i="9" s="1"/>
  <c r="B957" i="9" s="1"/>
  <c r="B958" i="9" s="1"/>
  <c r="B959" i="9" s="1"/>
  <c r="B960" i="9" s="1"/>
  <c r="B961" i="9" s="1"/>
  <c r="B962" i="9" s="1"/>
  <c r="B963" i="9" s="1"/>
  <c r="B964" i="9" s="1"/>
  <c r="B965" i="9" s="1"/>
  <c r="B966" i="9" s="1"/>
  <c r="B967" i="9" s="1"/>
  <c r="B968" i="9" s="1"/>
  <c r="B969" i="9" s="1"/>
  <c r="B970" i="9" s="1"/>
  <c r="B971" i="9" s="1"/>
  <c r="B972" i="9" s="1"/>
  <c r="B973" i="9" s="1"/>
  <c r="B974" i="9" s="1"/>
  <c r="B975" i="9" s="1"/>
  <c r="B976" i="9" s="1"/>
  <c r="B977" i="9" s="1"/>
  <c r="B978" i="9" s="1"/>
  <c r="B979" i="9" s="1"/>
  <c r="B980" i="9" s="1"/>
  <c r="B981" i="9" s="1"/>
  <c r="B982" i="9" s="1"/>
  <c r="B983" i="9" s="1"/>
  <c r="B984" i="9" s="1"/>
  <c r="B985" i="9" s="1"/>
  <c r="B986" i="9" s="1"/>
  <c r="B987" i="9" s="1"/>
  <c r="B988" i="9" s="1"/>
  <c r="B989" i="9" s="1"/>
  <c r="B990" i="9" s="1"/>
  <c r="B991" i="9" s="1"/>
  <c r="B992" i="9" s="1"/>
  <c r="B993" i="9" s="1"/>
  <c r="B994" i="9" s="1"/>
  <c r="B995" i="9" s="1"/>
  <c r="B996" i="9" s="1"/>
  <c r="B997" i="9" s="1"/>
  <c r="B998" i="9" s="1"/>
  <c r="B999" i="9" s="1"/>
  <c r="B1000" i="9" s="1"/>
  <c r="B1001" i="9" s="1"/>
  <c r="B1002" i="9" s="1"/>
  <c r="B1003" i="9" s="1"/>
  <c r="B1004" i="9" s="1"/>
  <c r="B1005" i="9" s="1"/>
  <c r="B1006" i="9" s="1"/>
  <c r="B1007" i="9" s="1"/>
  <c r="B1008" i="9" s="1"/>
  <c r="B1009" i="9" s="1"/>
  <c r="B1010" i="9" s="1"/>
  <c r="B1011" i="9" s="1"/>
  <c r="B1012" i="9" s="1"/>
  <c r="B1013" i="9" s="1"/>
  <c r="B1014" i="9" s="1"/>
  <c r="B1015" i="9" s="1"/>
  <c r="B1016" i="9" s="1"/>
  <c r="B1017" i="9" s="1"/>
  <c r="B1018" i="9" s="1"/>
  <c r="B1019" i="9" s="1"/>
  <c r="B1020" i="9" s="1"/>
  <c r="B1021" i="9" s="1"/>
  <c r="B1022" i="9" s="1"/>
  <c r="B1023" i="9" s="1"/>
  <c r="B1024" i="9" s="1"/>
  <c r="B1025" i="9" s="1"/>
  <c r="B1026" i="9" s="1"/>
  <c r="B1027" i="9" s="1"/>
  <c r="B1028" i="9" s="1"/>
  <c r="B1029" i="9" s="1"/>
  <c r="B1030" i="9" s="1"/>
  <c r="B1031" i="9" s="1"/>
  <c r="B1032" i="9" s="1"/>
  <c r="B1033" i="9" s="1"/>
  <c r="B1034" i="9" s="1"/>
  <c r="B1035" i="9" s="1"/>
  <c r="B1036" i="9" s="1"/>
  <c r="B1037" i="9" s="1"/>
  <c r="B1038" i="9" s="1"/>
  <c r="B1039" i="9" s="1"/>
  <c r="B1040" i="9" s="1"/>
  <c r="B1041" i="9" s="1"/>
  <c r="B1042" i="9" s="1"/>
  <c r="B1043" i="9" s="1"/>
  <c r="B1044" i="9" s="1"/>
  <c r="B1045" i="9" s="1"/>
  <c r="B1046" i="9" s="1"/>
  <c r="B1047" i="9" s="1"/>
  <c r="B1048" i="9" s="1"/>
  <c r="B1049" i="9" s="1"/>
  <c r="B1050" i="9" s="1"/>
  <c r="B1051" i="9" s="1"/>
  <c r="B1052" i="9" s="1"/>
  <c r="B1053" i="9" s="1"/>
  <c r="B1054" i="9" s="1"/>
  <c r="B1055" i="9" s="1"/>
  <c r="B1056" i="9" s="1"/>
  <c r="B1057" i="9" s="1"/>
  <c r="B1058" i="9" s="1"/>
  <c r="B1059" i="9" s="1"/>
  <c r="B1060" i="9" s="1"/>
  <c r="B1061" i="9" s="1"/>
  <c r="B1062" i="9" s="1"/>
  <c r="B1063" i="9" s="1"/>
  <c r="B1064" i="9" s="1"/>
  <c r="B1065" i="9" s="1"/>
  <c r="B1066" i="9" s="1"/>
  <c r="B1067" i="9" s="1"/>
  <c r="B1068" i="9" s="1"/>
  <c r="B1069" i="9" s="1"/>
  <c r="B1070" i="9" s="1"/>
  <c r="B1071" i="9" s="1"/>
  <c r="B1072" i="9" s="1"/>
  <c r="B1073" i="9" s="1"/>
  <c r="B1074" i="9" s="1"/>
  <c r="B1075" i="9" s="1"/>
  <c r="B1076" i="9" s="1"/>
  <c r="B1077" i="9" s="1"/>
  <c r="B1078" i="9" s="1"/>
  <c r="B1079" i="9" s="1"/>
  <c r="B1080" i="9" s="1"/>
  <c r="B1081" i="9" s="1"/>
  <c r="B1082" i="9" s="1"/>
  <c r="B1083" i="9" s="1"/>
  <c r="B1084" i="9" s="1"/>
  <c r="B1085" i="9" s="1"/>
  <c r="B1086" i="9" s="1"/>
  <c r="B1087" i="9" s="1"/>
  <c r="B1088" i="9" s="1"/>
  <c r="B1089" i="9" s="1"/>
  <c r="B1090" i="9" s="1"/>
  <c r="B1091" i="9" s="1"/>
  <c r="B1092" i="9" s="1"/>
  <c r="B1093" i="9" s="1"/>
  <c r="B1094" i="9" s="1"/>
  <c r="B1095" i="9" s="1"/>
  <c r="B1096" i="9" s="1"/>
  <c r="B1097" i="9" s="1"/>
  <c r="B1098" i="9" s="1"/>
  <c r="B1099" i="9" s="1"/>
  <c r="B1100" i="9" s="1"/>
  <c r="B1101" i="9" s="1"/>
  <c r="B1102" i="9" s="1"/>
  <c r="B1103" i="9" s="1"/>
  <c r="B1104" i="9" s="1"/>
  <c r="B1105" i="9" s="1"/>
  <c r="B1106" i="9" s="1"/>
  <c r="B1107" i="9" s="1"/>
  <c r="B1108" i="9" s="1"/>
  <c r="B1109" i="9" s="1"/>
  <c r="B1110" i="9" s="1"/>
  <c r="B1111" i="9" s="1"/>
  <c r="B1112" i="9" s="1"/>
  <c r="B1113" i="9" s="1"/>
  <c r="B1114" i="9" s="1"/>
  <c r="B1115" i="9" s="1"/>
  <c r="B1116" i="9" s="1"/>
  <c r="B1117" i="9" s="1"/>
  <c r="B1118" i="9" s="1"/>
  <c r="B1119" i="9" s="1"/>
  <c r="B1120" i="9" s="1"/>
  <c r="B1121" i="9" s="1"/>
  <c r="B1122" i="9" s="1"/>
  <c r="B1123" i="9" s="1"/>
  <c r="B1124" i="9" s="1"/>
  <c r="B1125" i="9" s="1"/>
  <c r="B1126" i="9" s="1"/>
  <c r="B1127" i="9" s="1"/>
  <c r="B1128" i="9" s="1"/>
  <c r="B1129" i="9" s="1"/>
  <c r="B1130" i="9" s="1"/>
  <c r="B1131" i="9" s="1"/>
  <c r="B1132" i="9" s="1"/>
  <c r="B1133" i="9" s="1"/>
  <c r="B1134" i="9" s="1"/>
  <c r="B1135" i="9" s="1"/>
  <c r="B1136" i="9" s="1"/>
  <c r="B1137" i="9" s="1"/>
  <c r="B1138" i="9" s="1"/>
  <c r="B1139" i="9" s="1"/>
  <c r="B1140" i="9" s="1"/>
  <c r="B1141" i="9" s="1"/>
  <c r="B1142" i="9" s="1"/>
  <c r="B1143" i="9" s="1"/>
  <c r="B1144" i="9" s="1"/>
  <c r="B1145" i="9" s="1"/>
  <c r="B1146" i="9" s="1"/>
  <c r="B1147" i="9" s="1"/>
  <c r="B1148" i="9" s="1"/>
  <c r="B1149" i="9" s="1"/>
  <c r="B1150" i="9" s="1"/>
  <c r="B1151" i="9" s="1"/>
  <c r="B1152" i="9" s="1"/>
  <c r="B1153" i="9" s="1"/>
  <c r="B1154" i="9" s="1"/>
  <c r="B1155" i="9" s="1"/>
  <c r="B1156" i="9" s="1"/>
  <c r="B1157" i="9" s="1"/>
  <c r="B1158" i="9" s="1"/>
  <c r="B1159" i="9" s="1"/>
  <c r="B1160" i="9" s="1"/>
  <c r="B1161" i="9" s="1"/>
  <c r="B1162" i="9" s="1"/>
  <c r="B1163" i="9" s="1"/>
  <c r="B1164" i="9" s="1"/>
  <c r="B1165" i="9" s="1"/>
  <c r="B1166" i="9" s="1"/>
  <c r="B1167" i="9" s="1"/>
  <c r="B1168" i="9" s="1"/>
  <c r="B1169" i="9" s="1"/>
  <c r="B1170" i="9" s="1"/>
  <c r="B1171" i="9" s="1"/>
  <c r="B1172" i="9" s="1"/>
  <c r="B1173" i="9" s="1"/>
  <c r="B1174" i="9" s="1"/>
  <c r="B1175" i="9" s="1"/>
  <c r="B1176" i="9" s="1"/>
  <c r="B1177" i="9" s="1"/>
  <c r="B1178" i="9" s="1"/>
  <c r="B1179" i="9" s="1"/>
  <c r="B1180" i="9" s="1"/>
  <c r="B1181" i="9" s="1"/>
  <c r="B1182" i="9" s="1"/>
  <c r="B1183" i="9" s="1"/>
  <c r="B1184" i="9" s="1"/>
  <c r="B1185" i="9" s="1"/>
  <c r="B1186" i="9" s="1"/>
  <c r="B1187" i="9" s="1"/>
  <c r="B1188" i="9" s="1"/>
  <c r="B1189" i="9" s="1"/>
  <c r="B1190" i="9" s="1"/>
  <c r="B1191" i="9" s="1"/>
  <c r="B1192" i="9" s="1"/>
  <c r="B1193" i="9" s="1"/>
  <c r="B1194" i="9" s="1"/>
  <c r="B1195" i="9" s="1"/>
  <c r="B1196" i="9" s="1"/>
  <c r="B1197" i="9" s="1"/>
  <c r="B1198" i="9" s="1"/>
  <c r="B1199" i="9" s="1"/>
  <c r="B1200" i="9" s="1"/>
  <c r="B1201" i="9" s="1"/>
  <c r="B1202" i="9" s="1"/>
  <c r="B1203" i="9" s="1"/>
  <c r="B1204" i="9" s="1"/>
  <c r="B1205" i="9" s="1"/>
  <c r="B1206" i="9" s="1"/>
  <c r="B1207" i="9" s="1"/>
  <c r="B1208" i="9" s="1"/>
  <c r="B1209" i="9" s="1"/>
  <c r="B1210" i="9" s="1"/>
  <c r="B1211" i="9" s="1"/>
  <c r="B1212" i="9" s="1"/>
  <c r="B1213" i="9" s="1"/>
  <c r="B1214" i="9" s="1"/>
  <c r="B1215" i="9" s="1"/>
  <c r="B1216" i="9" s="1"/>
  <c r="B1217" i="9" s="1"/>
  <c r="B1218" i="9" s="1"/>
  <c r="B1219" i="9" s="1"/>
  <c r="B1220" i="9" s="1"/>
  <c r="B1221" i="9" s="1"/>
  <c r="B1222" i="9" s="1"/>
  <c r="B1223" i="9" s="1"/>
  <c r="B1224" i="9" s="1"/>
  <c r="B1225" i="9" s="1"/>
  <c r="B1226" i="9" s="1"/>
  <c r="B1227" i="9" s="1"/>
  <c r="B1228" i="9" s="1"/>
  <c r="B1229" i="9" s="1"/>
  <c r="B1230" i="9" s="1"/>
  <c r="B1231" i="9" s="1"/>
  <c r="B1232" i="9" s="1"/>
  <c r="B1233" i="9" s="1"/>
  <c r="B1234" i="9" s="1"/>
  <c r="B1235" i="9" s="1"/>
  <c r="B1236" i="9" s="1"/>
  <c r="B1237" i="9" s="1"/>
  <c r="B1238" i="9" s="1"/>
  <c r="B1239" i="9" s="1"/>
  <c r="B1240" i="9" s="1"/>
  <c r="B1241" i="9" s="1"/>
  <c r="B1242" i="9" s="1"/>
  <c r="B1243" i="9" s="1"/>
  <c r="B1244" i="9" s="1"/>
  <c r="B1245" i="9" s="1"/>
  <c r="B1246" i="9" s="1"/>
  <c r="B1247" i="9" s="1"/>
  <c r="B1248" i="9" s="1"/>
  <c r="B1249" i="9" s="1"/>
  <c r="B1250" i="9" s="1"/>
  <c r="B1251" i="9" s="1"/>
  <c r="B1252" i="9" s="1"/>
  <c r="B1253" i="9" s="1"/>
  <c r="B1254" i="9" s="1"/>
  <c r="B1255" i="9" s="1"/>
  <c r="B1256" i="9" s="1"/>
  <c r="A15" i="9"/>
  <c r="A14" i="9"/>
  <c r="A13" i="9"/>
  <c r="A12" i="9"/>
  <c r="A11" i="9"/>
  <c r="A10" i="9"/>
  <c r="A9" i="9"/>
  <c r="A8" i="9"/>
  <c r="A7" i="9"/>
  <c r="C6" i="9"/>
  <c r="C7" i="9" s="1"/>
  <c r="C8" i="9" s="1"/>
  <c r="C9" i="9" s="1"/>
  <c r="C10" i="9" s="1"/>
  <c r="C11" i="9" s="1"/>
  <c r="C12" i="9" s="1"/>
  <c r="C13" i="9" s="1"/>
  <c r="C14" i="9" s="1"/>
  <c r="C15" i="9" s="1"/>
  <c r="C16" i="9" s="1"/>
  <c r="C17" i="9" s="1"/>
  <c r="C18" i="9" s="1"/>
  <c r="C19" i="9" s="1"/>
  <c r="C20" i="9" s="1"/>
  <c r="C21" i="9" s="1"/>
  <c r="C22" i="9" s="1"/>
  <c r="C23" i="9" s="1"/>
  <c r="C24" i="9" s="1"/>
  <c r="C25" i="9" s="1"/>
  <c r="C26" i="9" s="1"/>
  <c r="C27" i="9" s="1"/>
  <c r="C28" i="9" s="1"/>
  <c r="C29" i="9" s="1"/>
  <c r="C30" i="9" s="1"/>
  <c r="C31" i="9" s="1"/>
  <c r="C32" i="9" s="1"/>
  <c r="C33" i="9" s="1"/>
  <c r="C34" i="9" s="1"/>
  <c r="C35" i="9" s="1"/>
  <c r="C36" i="9" s="1"/>
  <c r="C37" i="9" s="1"/>
  <c r="C38" i="9" s="1"/>
  <c r="C39" i="9" s="1"/>
  <c r="C40" i="9" s="1"/>
  <c r="C41" i="9" s="1"/>
  <c r="C42" i="9" s="1"/>
  <c r="C43" i="9" s="1"/>
  <c r="C44" i="9" s="1"/>
  <c r="C45" i="9" s="1"/>
  <c r="C46" i="9" s="1"/>
  <c r="C47" i="9" s="1"/>
  <c r="C48" i="9" s="1"/>
  <c r="C49" i="9" s="1"/>
  <c r="C50" i="9" s="1"/>
  <c r="C51" i="9" s="1"/>
  <c r="C52" i="9" s="1"/>
  <c r="C53" i="9" s="1"/>
  <c r="C54" i="9" s="1"/>
  <c r="C55" i="9" s="1"/>
  <c r="C56" i="9" s="1"/>
  <c r="C57" i="9" s="1"/>
  <c r="C58" i="9" s="1"/>
  <c r="C59" i="9" s="1"/>
  <c r="C60" i="9" s="1"/>
  <c r="C61" i="9" s="1"/>
  <c r="C62" i="9" s="1"/>
  <c r="C63" i="9" s="1"/>
  <c r="C64" i="9" s="1"/>
  <c r="C65" i="9" s="1"/>
  <c r="C66" i="9" s="1"/>
  <c r="C67" i="9" s="1"/>
  <c r="C68" i="9" s="1"/>
  <c r="C69" i="9" s="1"/>
  <c r="C70" i="9" s="1"/>
  <c r="C71" i="9" s="1"/>
  <c r="C72" i="9" s="1"/>
  <c r="C73" i="9" s="1"/>
  <c r="C74" i="9" s="1"/>
  <c r="C75" i="9" s="1"/>
  <c r="C76" i="9" s="1"/>
  <c r="C77" i="9" s="1"/>
  <c r="C78" i="9" s="1"/>
  <c r="C79" i="9" s="1"/>
  <c r="C80" i="9" s="1"/>
  <c r="C81" i="9" s="1"/>
  <c r="C82" i="9" s="1"/>
  <c r="C83" i="9" s="1"/>
  <c r="C84" i="9" s="1"/>
  <c r="C85" i="9" s="1"/>
  <c r="C86" i="9" s="1"/>
  <c r="C87" i="9" s="1"/>
  <c r="C88" i="9" s="1"/>
  <c r="C89" i="9" s="1"/>
  <c r="C90" i="9" s="1"/>
  <c r="C91" i="9" s="1"/>
  <c r="C92" i="9" s="1"/>
  <c r="C93" i="9" s="1"/>
  <c r="C94" i="9" s="1"/>
  <c r="C95" i="9" s="1"/>
  <c r="C96" i="9" s="1"/>
  <c r="C97" i="9" s="1"/>
  <c r="C98" i="9" s="1"/>
  <c r="C99" i="9" s="1"/>
  <c r="C100" i="9" s="1"/>
  <c r="C101" i="9" s="1"/>
  <c r="C102" i="9" s="1"/>
  <c r="C103" i="9" s="1"/>
  <c r="C104" i="9" s="1"/>
  <c r="C105" i="9" s="1"/>
  <c r="C106" i="9" s="1"/>
  <c r="C107" i="9" s="1"/>
  <c r="C108" i="9" s="1"/>
  <c r="C109" i="9" s="1"/>
  <c r="C110" i="9" s="1"/>
  <c r="C111" i="9" s="1"/>
  <c r="C112" i="9" s="1"/>
  <c r="C113" i="9" s="1"/>
  <c r="C114" i="9" s="1"/>
  <c r="C115" i="9" s="1"/>
  <c r="C116" i="9" s="1"/>
  <c r="C117" i="9" s="1"/>
  <c r="C118" i="9" s="1"/>
  <c r="C119" i="9" s="1"/>
  <c r="C120" i="9" s="1"/>
  <c r="C121" i="9" s="1"/>
  <c r="C122" i="9" s="1"/>
  <c r="C123" i="9" s="1"/>
  <c r="C124" i="9" s="1"/>
  <c r="C125" i="9" s="1"/>
  <c r="C126" i="9" s="1"/>
  <c r="C127" i="9" s="1"/>
  <c r="C128" i="9" s="1"/>
  <c r="C129" i="9" s="1"/>
  <c r="C130" i="9" s="1"/>
  <c r="C131" i="9" s="1"/>
  <c r="C132" i="9" s="1"/>
  <c r="C133" i="9" s="1"/>
  <c r="C134" i="9" s="1"/>
  <c r="C135" i="9" s="1"/>
  <c r="C136" i="9" s="1"/>
  <c r="C137" i="9" s="1"/>
  <c r="C138" i="9" s="1"/>
  <c r="C139" i="9" s="1"/>
  <c r="C140" i="9" s="1"/>
  <c r="C141" i="9" s="1"/>
  <c r="C142" i="9" s="1"/>
  <c r="C143" i="9" s="1"/>
  <c r="C144" i="9" s="1"/>
  <c r="C145" i="9" s="1"/>
  <c r="C146" i="9" s="1"/>
  <c r="C147" i="9" s="1"/>
  <c r="C148" i="9" s="1"/>
  <c r="C149" i="9" s="1"/>
  <c r="C150" i="9" s="1"/>
  <c r="C151" i="9" s="1"/>
  <c r="C152" i="9" s="1"/>
  <c r="C153" i="9" s="1"/>
  <c r="C154" i="9" s="1"/>
  <c r="C155" i="9" s="1"/>
  <c r="C156" i="9" s="1"/>
  <c r="C157" i="9" s="1"/>
  <c r="C158" i="9" s="1"/>
  <c r="C159" i="9" s="1"/>
  <c r="C160" i="9" s="1"/>
  <c r="C161" i="9" s="1"/>
  <c r="C162" i="9" s="1"/>
  <c r="C163" i="9" s="1"/>
  <c r="C164" i="9" s="1"/>
  <c r="C165" i="9" s="1"/>
  <c r="C166" i="9" s="1"/>
  <c r="C167" i="9" s="1"/>
  <c r="C168" i="9" s="1"/>
  <c r="C169" i="9" s="1"/>
  <c r="C170" i="9" s="1"/>
  <c r="C171" i="9" s="1"/>
  <c r="C172" i="9" s="1"/>
  <c r="C173" i="9" s="1"/>
  <c r="C174" i="9" s="1"/>
  <c r="C175" i="9" s="1"/>
  <c r="C176" i="9" s="1"/>
  <c r="C177" i="9" s="1"/>
  <c r="C178" i="9" s="1"/>
  <c r="C179" i="9" s="1"/>
  <c r="C180" i="9" s="1"/>
  <c r="C181" i="9" s="1"/>
  <c r="C182" i="9" s="1"/>
  <c r="C183" i="9" s="1"/>
  <c r="C184" i="9" s="1"/>
  <c r="C185" i="9" s="1"/>
  <c r="C186" i="9" s="1"/>
  <c r="C187" i="9" s="1"/>
  <c r="C188" i="9" s="1"/>
  <c r="C189" i="9" s="1"/>
  <c r="C190" i="9" s="1"/>
  <c r="C191" i="9" s="1"/>
  <c r="C192" i="9" s="1"/>
  <c r="C193" i="9" s="1"/>
  <c r="C194" i="9" s="1"/>
  <c r="C195" i="9" s="1"/>
  <c r="C196" i="9" s="1"/>
  <c r="C197" i="9" s="1"/>
  <c r="C198" i="9" s="1"/>
  <c r="C199" i="9" s="1"/>
  <c r="C200" i="9" s="1"/>
  <c r="C201" i="9" s="1"/>
  <c r="C202" i="9" s="1"/>
  <c r="C203" i="9" s="1"/>
  <c r="C204" i="9" s="1"/>
  <c r="C205" i="9" s="1"/>
  <c r="C206" i="9" s="1"/>
  <c r="C207" i="9" s="1"/>
  <c r="C208" i="9" s="1"/>
  <c r="C209" i="9" s="1"/>
  <c r="C210" i="9" s="1"/>
  <c r="C211" i="9" s="1"/>
  <c r="C212" i="9" s="1"/>
  <c r="C213" i="9" s="1"/>
  <c r="C214" i="9" s="1"/>
  <c r="C215" i="9" s="1"/>
  <c r="C216" i="9" s="1"/>
  <c r="C217" i="9" s="1"/>
  <c r="C218" i="9" s="1"/>
  <c r="C219" i="9" s="1"/>
  <c r="C220" i="9" s="1"/>
  <c r="C221" i="9" s="1"/>
  <c r="C222" i="9" s="1"/>
  <c r="C223" i="9" s="1"/>
  <c r="C224" i="9" s="1"/>
  <c r="C225" i="9" s="1"/>
  <c r="C226" i="9" s="1"/>
  <c r="C227" i="9" s="1"/>
  <c r="C228" i="9" s="1"/>
  <c r="C229" i="9" s="1"/>
  <c r="C230" i="9" s="1"/>
  <c r="C231" i="9" s="1"/>
  <c r="C232" i="9" s="1"/>
  <c r="C233" i="9" s="1"/>
  <c r="C234" i="9" s="1"/>
  <c r="C235" i="9" s="1"/>
  <c r="C236" i="9" s="1"/>
  <c r="C237" i="9" s="1"/>
  <c r="C238" i="9" s="1"/>
  <c r="C239" i="9" s="1"/>
  <c r="C240" i="9" s="1"/>
  <c r="C241" i="9" s="1"/>
  <c r="C242" i="9" s="1"/>
  <c r="C243" i="9" s="1"/>
  <c r="C244" i="9" s="1"/>
  <c r="C245" i="9" s="1"/>
  <c r="C246" i="9" s="1"/>
  <c r="C247" i="9" s="1"/>
  <c r="C248" i="9" s="1"/>
  <c r="C249" i="9" s="1"/>
  <c r="C250" i="9" s="1"/>
  <c r="C251" i="9" s="1"/>
  <c r="C252" i="9" s="1"/>
  <c r="C253" i="9" s="1"/>
  <c r="C254" i="9" s="1"/>
  <c r="C255" i="9" s="1"/>
  <c r="C256" i="9" s="1"/>
  <c r="C257" i="9" s="1"/>
  <c r="C258" i="9" s="1"/>
  <c r="C259" i="9" s="1"/>
  <c r="C260" i="9" s="1"/>
  <c r="C261" i="9" s="1"/>
  <c r="C262" i="9" s="1"/>
  <c r="C263" i="9" s="1"/>
  <c r="C264" i="9" s="1"/>
  <c r="C265" i="9" s="1"/>
  <c r="C266" i="9" s="1"/>
  <c r="C267" i="9" s="1"/>
  <c r="C268" i="9" s="1"/>
  <c r="C269" i="9" s="1"/>
  <c r="C270" i="9" s="1"/>
  <c r="C271" i="9" s="1"/>
  <c r="C272" i="9" s="1"/>
  <c r="C273" i="9" s="1"/>
  <c r="C274" i="9" s="1"/>
  <c r="C275" i="9" s="1"/>
  <c r="C276" i="9" s="1"/>
  <c r="C277" i="9" s="1"/>
  <c r="C278" i="9" s="1"/>
  <c r="C279" i="9" s="1"/>
  <c r="C280" i="9" s="1"/>
  <c r="C281" i="9" s="1"/>
  <c r="C282" i="9" s="1"/>
  <c r="C283" i="9" s="1"/>
  <c r="C284" i="9" s="1"/>
  <c r="C285" i="9" s="1"/>
  <c r="C286" i="9" s="1"/>
  <c r="C287" i="9" s="1"/>
  <c r="C288" i="9" s="1"/>
  <c r="C289" i="9" s="1"/>
  <c r="C290" i="9" s="1"/>
  <c r="C291" i="9" s="1"/>
  <c r="C292" i="9" s="1"/>
  <c r="C293" i="9" s="1"/>
  <c r="C294" i="9" s="1"/>
  <c r="C295" i="9" s="1"/>
  <c r="C296" i="9" s="1"/>
  <c r="C297" i="9" s="1"/>
  <c r="C298" i="9" s="1"/>
  <c r="C299" i="9" s="1"/>
  <c r="C300" i="9" s="1"/>
  <c r="C301" i="9" s="1"/>
  <c r="C302" i="9" s="1"/>
  <c r="C303" i="9" s="1"/>
  <c r="C304" i="9" s="1"/>
  <c r="C305" i="9" s="1"/>
  <c r="C306" i="9" s="1"/>
  <c r="C307" i="9" s="1"/>
  <c r="C308" i="9" s="1"/>
  <c r="C309" i="9" s="1"/>
  <c r="C310" i="9" s="1"/>
  <c r="C311" i="9" s="1"/>
  <c r="C312" i="9" s="1"/>
  <c r="C313" i="9" s="1"/>
  <c r="C314" i="9" s="1"/>
  <c r="C315" i="9" s="1"/>
  <c r="C316" i="9" s="1"/>
  <c r="C317" i="9" s="1"/>
  <c r="C318" i="9" s="1"/>
  <c r="C319" i="9" s="1"/>
  <c r="C320" i="9" s="1"/>
  <c r="C321" i="9" s="1"/>
  <c r="C322" i="9" s="1"/>
  <c r="C323" i="9" s="1"/>
  <c r="C324" i="9" s="1"/>
  <c r="C325" i="9" s="1"/>
  <c r="C326" i="9" s="1"/>
  <c r="C327" i="9" s="1"/>
  <c r="C328" i="9" s="1"/>
  <c r="C329" i="9" s="1"/>
  <c r="C330" i="9" s="1"/>
  <c r="C331" i="9" s="1"/>
  <c r="C332" i="9" s="1"/>
  <c r="C333" i="9" s="1"/>
  <c r="C334" i="9" s="1"/>
  <c r="C335" i="9" s="1"/>
  <c r="C336" i="9" s="1"/>
  <c r="C337" i="9" s="1"/>
  <c r="C338" i="9" s="1"/>
  <c r="C339" i="9" s="1"/>
  <c r="C340" i="9" s="1"/>
  <c r="C341" i="9" s="1"/>
  <c r="C342" i="9" s="1"/>
  <c r="C343" i="9" s="1"/>
  <c r="C344" i="9" s="1"/>
  <c r="C345" i="9" s="1"/>
  <c r="C346" i="9" s="1"/>
  <c r="C347" i="9" s="1"/>
  <c r="C348" i="9" s="1"/>
  <c r="C349" i="9" s="1"/>
  <c r="C350" i="9" s="1"/>
  <c r="C351" i="9" s="1"/>
  <c r="C352" i="9" s="1"/>
  <c r="C353" i="9" s="1"/>
  <c r="C354" i="9" s="1"/>
  <c r="C355" i="9" s="1"/>
  <c r="C356" i="9" s="1"/>
  <c r="C357" i="9" s="1"/>
  <c r="C358" i="9" s="1"/>
  <c r="C359" i="9" s="1"/>
  <c r="C360" i="9" s="1"/>
  <c r="C361" i="9" s="1"/>
  <c r="C362" i="9" s="1"/>
  <c r="C363" i="9" s="1"/>
  <c r="C364" i="9" s="1"/>
  <c r="C365" i="9" s="1"/>
  <c r="C366" i="9" s="1"/>
  <c r="C367" i="9" s="1"/>
  <c r="C368" i="9" s="1"/>
  <c r="C369" i="9" s="1"/>
  <c r="C370" i="9" s="1"/>
  <c r="C371" i="9" s="1"/>
  <c r="C372" i="9" s="1"/>
  <c r="C373" i="9" s="1"/>
  <c r="C374" i="9" s="1"/>
  <c r="C375" i="9" s="1"/>
  <c r="C376" i="9" s="1"/>
  <c r="C377" i="9" s="1"/>
  <c r="C378" i="9" s="1"/>
  <c r="C379" i="9" s="1"/>
  <c r="C380" i="9" s="1"/>
  <c r="C381" i="9" s="1"/>
  <c r="C382" i="9" s="1"/>
  <c r="C383" i="9" s="1"/>
  <c r="C384" i="9" s="1"/>
  <c r="C385" i="9" s="1"/>
  <c r="C386" i="9" s="1"/>
  <c r="C387" i="9" s="1"/>
  <c r="C388" i="9" s="1"/>
  <c r="C389" i="9" s="1"/>
  <c r="C390" i="9" s="1"/>
  <c r="C391" i="9" s="1"/>
  <c r="C392" i="9" s="1"/>
  <c r="C393" i="9" s="1"/>
  <c r="C394" i="9" s="1"/>
  <c r="C395" i="9" s="1"/>
  <c r="C396" i="9" s="1"/>
  <c r="C397" i="9" s="1"/>
  <c r="C398" i="9" s="1"/>
  <c r="C399" i="9" s="1"/>
  <c r="C400" i="9" s="1"/>
  <c r="C401" i="9" s="1"/>
  <c r="C402" i="9" s="1"/>
  <c r="C403" i="9" s="1"/>
  <c r="C404" i="9" s="1"/>
  <c r="C405" i="9" s="1"/>
  <c r="C406" i="9" s="1"/>
  <c r="C407" i="9" s="1"/>
  <c r="C408" i="9" s="1"/>
  <c r="C409" i="9" s="1"/>
  <c r="C410" i="9" s="1"/>
  <c r="C411" i="9" s="1"/>
  <c r="C412" i="9" s="1"/>
  <c r="C413" i="9" s="1"/>
  <c r="C414" i="9" s="1"/>
  <c r="C415" i="9" s="1"/>
  <c r="C416" i="9" s="1"/>
  <c r="C417" i="9" s="1"/>
  <c r="C418" i="9" s="1"/>
  <c r="C419" i="9" s="1"/>
  <c r="C420" i="9" s="1"/>
  <c r="C421" i="9" s="1"/>
  <c r="C422" i="9" s="1"/>
  <c r="C423" i="9" s="1"/>
  <c r="C424" i="9" s="1"/>
  <c r="C425" i="9" s="1"/>
  <c r="C426" i="9" s="1"/>
  <c r="C427" i="9" s="1"/>
  <c r="C428" i="9" s="1"/>
  <c r="C429" i="9" s="1"/>
  <c r="C430" i="9" s="1"/>
  <c r="C431" i="9" s="1"/>
  <c r="C432" i="9" s="1"/>
  <c r="C433" i="9" s="1"/>
  <c r="C434" i="9" s="1"/>
  <c r="C435" i="9" s="1"/>
  <c r="C436" i="9" s="1"/>
  <c r="C437" i="9" s="1"/>
  <c r="C438" i="9" s="1"/>
  <c r="C439" i="9" s="1"/>
  <c r="C440" i="9" s="1"/>
  <c r="C441" i="9" s="1"/>
  <c r="C442" i="9" s="1"/>
  <c r="C443" i="9" s="1"/>
  <c r="C444" i="9" s="1"/>
  <c r="C445" i="9" s="1"/>
  <c r="C446" i="9" s="1"/>
  <c r="C447" i="9" s="1"/>
  <c r="C448" i="9" s="1"/>
  <c r="C449" i="9" s="1"/>
  <c r="C450" i="9" s="1"/>
  <c r="C451" i="9" s="1"/>
  <c r="C452" i="9" s="1"/>
  <c r="C453" i="9" s="1"/>
  <c r="C454" i="9" s="1"/>
  <c r="C455" i="9" s="1"/>
  <c r="C456" i="9" s="1"/>
  <c r="C457" i="9" s="1"/>
  <c r="C458" i="9" s="1"/>
  <c r="C459" i="9" s="1"/>
  <c r="C460" i="9" s="1"/>
  <c r="C461" i="9" s="1"/>
  <c r="C462" i="9" s="1"/>
  <c r="C463" i="9" s="1"/>
  <c r="C464" i="9" s="1"/>
  <c r="C465" i="9" s="1"/>
  <c r="C466" i="9" s="1"/>
  <c r="C467" i="9" s="1"/>
  <c r="C468" i="9" s="1"/>
  <c r="C469" i="9" s="1"/>
  <c r="C470" i="9" s="1"/>
  <c r="C471" i="9" s="1"/>
  <c r="C472" i="9" s="1"/>
  <c r="C473" i="9" s="1"/>
  <c r="C474" i="9" s="1"/>
  <c r="C475" i="9" s="1"/>
  <c r="C476" i="9" s="1"/>
  <c r="C477" i="9" s="1"/>
  <c r="C478" i="9" s="1"/>
  <c r="C479" i="9" s="1"/>
  <c r="C480" i="9" s="1"/>
  <c r="C481" i="9" s="1"/>
  <c r="C482" i="9" s="1"/>
  <c r="C483" i="9" s="1"/>
  <c r="C484" i="9" s="1"/>
  <c r="C485" i="9" s="1"/>
  <c r="C486" i="9" s="1"/>
  <c r="C487" i="9" s="1"/>
  <c r="C488" i="9" s="1"/>
  <c r="C489" i="9" s="1"/>
  <c r="C490" i="9" s="1"/>
  <c r="C491" i="9" s="1"/>
  <c r="C492" i="9" s="1"/>
  <c r="C493" i="9" s="1"/>
  <c r="C494" i="9" s="1"/>
  <c r="C495" i="9" s="1"/>
  <c r="C496" i="9" s="1"/>
  <c r="C497" i="9" s="1"/>
  <c r="C498" i="9" s="1"/>
  <c r="C499" i="9" s="1"/>
  <c r="C500" i="9" s="1"/>
  <c r="C501" i="9" s="1"/>
  <c r="C502" i="9" s="1"/>
  <c r="C503" i="9" s="1"/>
  <c r="C504" i="9" s="1"/>
  <c r="C505" i="9" s="1"/>
  <c r="C506" i="9" s="1"/>
  <c r="C507" i="9" s="1"/>
  <c r="C508" i="9" s="1"/>
  <c r="C509" i="9" s="1"/>
  <c r="C510" i="9" s="1"/>
  <c r="C511" i="9" s="1"/>
  <c r="C512" i="9" s="1"/>
  <c r="C513" i="9" s="1"/>
  <c r="C514" i="9" s="1"/>
  <c r="C515" i="9" s="1"/>
  <c r="C516" i="9" s="1"/>
  <c r="C517" i="9" s="1"/>
  <c r="C518" i="9" s="1"/>
  <c r="C519" i="9" s="1"/>
  <c r="C520" i="9" s="1"/>
  <c r="C521" i="9" s="1"/>
  <c r="C522" i="9" s="1"/>
  <c r="C523" i="9" s="1"/>
  <c r="C524" i="9" s="1"/>
  <c r="C525" i="9" s="1"/>
  <c r="C526" i="9" s="1"/>
  <c r="C527" i="9" s="1"/>
  <c r="C528" i="9" s="1"/>
  <c r="C529" i="9" s="1"/>
  <c r="C530" i="9" s="1"/>
  <c r="C531" i="9" s="1"/>
  <c r="C532" i="9" s="1"/>
  <c r="C533" i="9" s="1"/>
  <c r="C534" i="9" s="1"/>
  <c r="C535" i="9" s="1"/>
  <c r="C536" i="9" s="1"/>
  <c r="C537" i="9" s="1"/>
  <c r="C538" i="9" s="1"/>
  <c r="C539" i="9" s="1"/>
  <c r="C540" i="9" s="1"/>
  <c r="C541" i="9" s="1"/>
  <c r="C542" i="9" s="1"/>
  <c r="C543" i="9" s="1"/>
  <c r="C544" i="9" s="1"/>
  <c r="C545" i="9" s="1"/>
  <c r="C546" i="9" s="1"/>
  <c r="C547" i="9" s="1"/>
  <c r="C548" i="9" s="1"/>
  <c r="C549" i="9" s="1"/>
  <c r="C550" i="9" s="1"/>
  <c r="C551" i="9" s="1"/>
  <c r="C552" i="9" s="1"/>
  <c r="C553" i="9" s="1"/>
  <c r="C554" i="9" s="1"/>
  <c r="C555" i="9" s="1"/>
  <c r="C556" i="9" s="1"/>
  <c r="C557" i="9" s="1"/>
  <c r="C558" i="9" s="1"/>
  <c r="C559" i="9" s="1"/>
  <c r="C560" i="9" s="1"/>
  <c r="C561" i="9" s="1"/>
  <c r="C562" i="9" s="1"/>
  <c r="C563" i="9" s="1"/>
  <c r="C564" i="9" s="1"/>
  <c r="C565" i="9" s="1"/>
  <c r="C566" i="9" s="1"/>
  <c r="C567" i="9" s="1"/>
  <c r="C568" i="9" s="1"/>
  <c r="C569" i="9" s="1"/>
  <c r="C570" i="9" s="1"/>
  <c r="C571" i="9" s="1"/>
  <c r="C572" i="9" s="1"/>
  <c r="C573" i="9" s="1"/>
  <c r="C574" i="9" s="1"/>
  <c r="C575" i="9" s="1"/>
  <c r="C576" i="9" s="1"/>
  <c r="C577" i="9" s="1"/>
  <c r="C578" i="9" s="1"/>
  <c r="C579" i="9" s="1"/>
  <c r="C580" i="9" s="1"/>
  <c r="C581" i="9" s="1"/>
  <c r="C582" i="9" s="1"/>
  <c r="C583" i="9" s="1"/>
  <c r="C584" i="9" s="1"/>
  <c r="C585" i="9" s="1"/>
  <c r="C586" i="9" s="1"/>
  <c r="C587" i="9" s="1"/>
  <c r="C588" i="9" s="1"/>
  <c r="C589" i="9" s="1"/>
  <c r="C590" i="9" s="1"/>
  <c r="C591" i="9" s="1"/>
  <c r="C592" i="9" s="1"/>
  <c r="C593" i="9" s="1"/>
  <c r="C594" i="9" s="1"/>
  <c r="C595" i="9" s="1"/>
  <c r="C596" i="9" s="1"/>
  <c r="C597" i="9" s="1"/>
  <c r="C598" i="9" s="1"/>
  <c r="C599" i="9" s="1"/>
  <c r="C600" i="9" s="1"/>
  <c r="C601" i="9" s="1"/>
  <c r="C602" i="9" s="1"/>
  <c r="C603" i="9" s="1"/>
  <c r="C604" i="9" s="1"/>
  <c r="C605" i="9" s="1"/>
  <c r="C606" i="9" s="1"/>
  <c r="C607" i="9" s="1"/>
  <c r="C608" i="9" s="1"/>
  <c r="C609" i="9" s="1"/>
  <c r="C610" i="9" s="1"/>
  <c r="C611" i="9" s="1"/>
  <c r="C612" i="9" s="1"/>
  <c r="C613" i="9" s="1"/>
  <c r="C614" i="9" s="1"/>
  <c r="C615" i="9" s="1"/>
  <c r="C616" i="9" s="1"/>
  <c r="C617" i="9" s="1"/>
  <c r="C618" i="9" s="1"/>
  <c r="C619" i="9" s="1"/>
  <c r="C620" i="9" s="1"/>
  <c r="C621" i="9" s="1"/>
  <c r="C622" i="9" s="1"/>
  <c r="C623" i="9" s="1"/>
  <c r="C624" i="9" s="1"/>
  <c r="C625" i="9" s="1"/>
  <c r="C626" i="9" s="1"/>
  <c r="C627" i="9" s="1"/>
  <c r="C628" i="9" s="1"/>
  <c r="C629" i="9" s="1"/>
  <c r="C630" i="9" s="1"/>
  <c r="C631" i="9" s="1"/>
  <c r="C632" i="9" s="1"/>
  <c r="C633" i="9" s="1"/>
  <c r="C634" i="9" s="1"/>
  <c r="C635" i="9" s="1"/>
  <c r="C636" i="9" s="1"/>
  <c r="C637" i="9" s="1"/>
  <c r="C638" i="9" s="1"/>
  <c r="C639" i="9" s="1"/>
  <c r="C640" i="9" s="1"/>
  <c r="C641" i="9" s="1"/>
  <c r="C642" i="9" s="1"/>
  <c r="C643" i="9" s="1"/>
  <c r="C644" i="9" s="1"/>
  <c r="C645" i="9" s="1"/>
  <c r="C646" i="9" s="1"/>
  <c r="C647" i="9" s="1"/>
  <c r="C648" i="9" s="1"/>
  <c r="C649" i="9" s="1"/>
  <c r="C650" i="9" s="1"/>
  <c r="C651" i="9" s="1"/>
  <c r="C652" i="9" s="1"/>
  <c r="C653" i="9" s="1"/>
  <c r="C654" i="9" s="1"/>
  <c r="C655" i="9" s="1"/>
  <c r="C656" i="9" s="1"/>
  <c r="C657" i="9" s="1"/>
  <c r="C658" i="9" s="1"/>
  <c r="C659" i="9" s="1"/>
  <c r="C660" i="9" s="1"/>
  <c r="C661" i="9" s="1"/>
  <c r="C662" i="9" s="1"/>
  <c r="C663" i="9" s="1"/>
  <c r="C664" i="9" s="1"/>
  <c r="C665" i="9" s="1"/>
  <c r="C666" i="9" s="1"/>
  <c r="C667" i="9" s="1"/>
  <c r="C668" i="9" s="1"/>
  <c r="C669" i="9" s="1"/>
  <c r="C670" i="9" s="1"/>
  <c r="C671" i="9" s="1"/>
  <c r="C672" i="9" s="1"/>
  <c r="C673" i="9" s="1"/>
  <c r="C674" i="9" s="1"/>
  <c r="C675" i="9" s="1"/>
  <c r="C676" i="9" s="1"/>
  <c r="C677" i="9" s="1"/>
  <c r="C678" i="9" s="1"/>
  <c r="C679" i="9" s="1"/>
  <c r="C680" i="9" s="1"/>
  <c r="C681" i="9" s="1"/>
  <c r="C682" i="9" s="1"/>
  <c r="C683" i="9" s="1"/>
  <c r="C684" i="9" s="1"/>
  <c r="C685" i="9" s="1"/>
  <c r="C686" i="9" s="1"/>
  <c r="C687" i="9" s="1"/>
  <c r="C688" i="9" s="1"/>
  <c r="C689" i="9" s="1"/>
  <c r="C690" i="9" s="1"/>
  <c r="C691" i="9" s="1"/>
  <c r="C692" i="9" s="1"/>
  <c r="C693" i="9" s="1"/>
  <c r="C694" i="9" s="1"/>
  <c r="C695" i="9" s="1"/>
  <c r="C696" i="9" s="1"/>
  <c r="C697" i="9" s="1"/>
  <c r="C698" i="9" s="1"/>
  <c r="C699" i="9" s="1"/>
  <c r="C700" i="9" s="1"/>
  <c r="C701" i="9" s="1"/>
  <c r="C702" i="9" s="1"/>
  <c r="C703" i="9" s="1"/>
  <c r="C704" i="9" s="1"/>
  <c r="C705" i="9" s="1"/>
  <c r="C706" i="9" s="1"/>
  <c r="C707" i="9" s="1"/>
  <c r="C708" i="9" s="1"/>
  <c r="C709" i="9" s="1"/>
  <c r="C710" i="9" s="1"/>
  <c r="C711" i="9" s="1"/>
  <c r="C712" i="9" s="1"/>
  <c r="C713" i="9" s="1"/>
  <c r="C714" i="9" s="1"/>
  <c r="C715" i="9" s="1"/>
  <c r="C716" i="9" s="1"/>
  <c r="C717" i="9" s="1"/>
  <c r="C718" i="9" s="1"/>
  <c r="C719" i="9" s="1"/>
  <c r="C720" i="9" s="1"/>
  <c r="C721" i="9" s="1"/>
  <c r="C722" i="9" s="1"/>
  <c r="C723" i="9" s="1"/>
  <c r="C724" i="9" s="1"/>
  <c r="C725" i="9" s="1"/>
  <c r="C726" i="9" s="1"/>
  <c r="C727" i="9" s="1"/>
  <c r="C728" i="9" s="1"/>
  <c r="C729" i="9" s="1"/>
  <c r="C730" i="9" s="1"/>
  <c r="C731" i="9" s="1"/>
  <c r="C732" i="9" s="1"/>
  <c r="C733" i="9" s="1"/>
  <c r="C734" i="9" s="1"/>
  <c r="C735" i="9" s="1"/>
  <c r="C736" i="9" s="1"/>
  <c r="C737" i="9" s="1"/>
  <c r="C738" i="9" s="1"/>
  <c r="C739" i="9" s="1"/>
  <c r="C740" i="9" s="1"/>
  <c r="C741" i="9" s="1"/>
  <c r="C742" i="9" s="1"/>
  <c r="C743" i="9" s="1"/>
  <c r="C744" i="9" s="1"/>
  <c r="C745" i="9" s="1"/>
  <c r="C746" i="9" s="1"/>
  <c r="C747" i="9" s="1"/>
  <c r="C748" i="9" s="1"/>
  <c r="C749" i="9" s="1"/>
  <c r="C750" i="9" s="1"/>
  <c r="C751" i="9" s="1"/>
  <c r="C752" i="9" s="1"/>
  <c r="C753" i="9" s="1"/>
  <c r="C754" i="9" s="1"/>
  <c r="C755" i="9" s="1"/>
  <c r="C756" i="9" s="1"/>
  <c r="C757" i="9" s="1"/>
  <c r="C758" i="9" s="1"/>
  <c r="C759" i="9" s="1"/>
  <c r="C760" i="9" s="1"/>
  <c r="C761" i="9" s="1"/>
  <c r="C762" i="9" s="1"/>
  <c r="C763" i="9" s="1"/>
  <c r="C764" i="9" s="1"/>
  <c r="C765" i="9" s="1"/>
  <c r="C766" i="9" s="1"/>
  <c r="C767" i="9" s="1"/>
  <c r="C768" i="9" s="1"/>
  <c r="C769" i="9" s="1"/>
  <c r="C770" i="9" s="1"/>
  <c r="C771" i="9" s="1"/>
  <c r="C772" i="9" s="1"/>
  <c r="C773" i="9" s="1"/>
  <c r="C774" i="9" s="1"/>
  <c r="C775" i="9" s="1"/>
  <c r="C776" i="9" s="1"/>
  <c r="C777" i="9" s="1"/>
  <c r="C778" i="9" s="1"/>
  <c r="C779" i="9" s="1"/>
  <c r="C780" i="9" s="1"/>
  <c r="C781" i="9" s="1"/>
  <c r="C782" i="9" s="1"/>
  <c r="C783" i="9" s="1"/>
  <c r="C784" i="9" s="1"/>
  <c r="C785" i="9" s="1"/>
  <c r="C786" i="9" s="1"/>
  <c r="C787" i="9" s="1"/>
  <c r="C788" i="9" s="1"/>
  <c r="C789" i="9" s="1"/>
  <c r="C790" i="9" s="1"/>
  <c r="C791" i="9" s="1"/>
  <c r="C792" i="9" s="1"/>
  <c r="C793" i="9" s="1"/>
  <c r="C794" i="9" s="1"/>
  <c r="C795" i="9" s="1"/>
  <c r="C796" i="9" s="1"/>
  <c r="C797" i="9" s="1"/>
  <c r="C798" i="9" s="1"/>
  <c r="C799" i="9" s="1"/>
  <c r="C800" i="9" s="1"/>
  <c r="C801" i="9" s="1"/>
  <c r="C802" i="9" s="1"/>
  <c r="C803" i="9" s="1"/>
  <c r="C804" i="9" s="1"/>
  <c r="C805" i="9" s="1"/>
  <c r="C806" i="9" s="1"/>
  <c r="C807" i="9" s="1"/>
  <c r="C808" i="9" s="1"/>
  <c r="C809" i="9" s="1"/>
  <c r="C810" i="9" s="1"/>
  <c r="C811" i="9" s="1"/>
  <c r="C812" i="9" s="1"/>
  <c r="C813" i="9" s="1"/>
  <c r="C814" i="9" s="1"/>
  <c r="C815" i="9" s="1"/>
  <c r="C816" i="9" s="1"/>
  <c r="C817" i="9" s="1"/>
  <c r="C818" i="9" s="1"/>
  <c r="C819" i="9" s="1"/>
  <c r="C820" i="9" s="1"/>
  <c r="C821" i="9" s="1"/>
  <c r="C822" i="9" s="1"/>
  <c r="C823" i="9" s="1"/>
  <c r="C824" i="9" s="1"/>
  <c r="C825" i="9" s="1"/>
  <c r="C826" i="9" s="1"/>
  <c r="C827" i="9" s="1"/>
  <c r="C828" i="9" s="1"/>
  <c r="C829" i="9" s="1"/>
  <c r="C830" i="9" s="1"/>
  <c r="C831" i="9" s="1"/>
  <c r="C832" i="9" s="1"/>
  <c r="C833" i="9" s="1"/>
  <c r="C834" i="9" s="1"/>
  <c r="C835" i="9" s="1"/>
  <c r="C836" i="9" s="1"/>
  <c r="C837" i="9" s="1"/>
  <c r="C838" i="9" s="1"/>
  <c r="C839" i="9" s="1"/>
  <c r="C840" i="9" s="1"/>
  <c r="C841" i="9" s="1"/>
  <c r="C842" i="9" s="1"/>
  <c r="C843" i="9" s="1"/>
  <c r="C844" i="9" s="1"/>
  <c r="C845" i="9" s="1"/>
  <c r="C846" i="9" s="1"/>
  <c r="C847" i="9" s="1"/>
  <c r="C848" i="9" s="1"/>
  <c r="C849" i="9" s="1"/>
  <c r="C850" i="9" s="1"/>
  <c r="C851" i="9" s="1"/>
  <c r="C852" i="9" s="1"/>
  <c r="C853" i="9" s="1"/>
  <c r="C854" i="9" s="1"/>
  <c r="C855" i="9" s="1"/>
  <c r="C856" i="9" s="1"/>
  <c r="C857" i="9" s="1"/>
  <c r="C858" i="9" s="1"/>
  <c r="C859" i="9" s="1"/>
  <c r="C860" i="9" s="1"/>
  <c r="C861" i="9" s="1"/>
  <c r="C862" i="9" s="1"/>
  <c r="C863" i="9" s="1"/>
  <c r="C864" i="9" s="1"/>
  <c r="C865" i="9" s="1"/>
  <c r="C866" i="9" s="1"/>
  <c r="C867" i="9" s="1"/>
  <c r="C868" i="9" s="1"/>
  <c r="C869" i="9" s="1"/>
  <c r="C870" i="9" s="1"/>
  <c r="C871" i="9" s="1"/>
  <c r="C872" i="9" s="1"/>
  <c r="C873" i="9" s="1"/>
  <c r="C874" i="9" s="1"/>
  <c r="C875" i="9" s="1"/>
  <c r="C876" i="9" s="1"/>
  <c r="C877" i="9" s="1"/>
  <c r="C878" i="9" s="1"/>
  <c r="C879" i="9" s="1"/>
  <c r="C880" i="9" s="1"/>
  <c r="C881" i="9" s="1"/>
  <c r="C882" i="9" s="1"/>
  <c r="C883" i="9" s="1"/>
  <c r="C884" i="9" s="1"/>
  <c r="C885" i="9" s="1"/>
  <c r="C886" i="9" s="1"/>
  <c r="C887" i="9" s="1"/>
  <c r="C888" i="9" s="1"/>
  <c r="C889" i="9" s="1"/>
  <c r="C890" i="9" s="1"/>
  <c r="C891" i="9" s="1"/>
  <c r="C892" i="9" s="1"/>
  <c r="C893" i="9" s="1"/>
  <c r="C894" i="9" s="1"/>
  <c r="C895" i="9" s="1"/>
  <c r="C896" i="9" s="1"/>
  <c r="C897" i="9" s="1"/>
  <c r="C898" i="9" s="1"/>
  <c r="C899" i="9" s="1"/>
  <c r="C900" i="9" s="1"/>
  <c r="C901" i="9" s="1"/>
  <c r="C902" i="9" s="1"/>
  <c r="C903" i="9" s="1"/>
  <c r="C904" i="9" s="1"/>
  <c r="C905" i="9" s="1"/>
  <c r="C906" i="9" s="1"/>
  <c r="C907" i="9" s="1"/>
  <c r="C908" i="9" s="1"/>
  <c r="C909" i="9" s="1"/>
  <c r="C910" i="9" s="1"/>
  <c r="C911" i="9" s="1"/>
  <c r="C912" i="9" s="1"/>
  <c r="C913" i="9" s="1"/>
  <c r="C914" i="9" s="1"/>
  <c r="C915" i="9" s="1"/>
  <c r="C916" i="9" s="1"/>
  <c r="C917" i="9" s="1"/>
  <c r="C918" i="9" s="1"/>
  <c r="C919" i="9" s="1"/>
  <c r="C920" i="9" s="1"/>
  <c r="C921" i="9" s="1"/>
  <c r="C922" i="9" s="1"/>
  <c r="C923" i="9" s="1"/>
  <c r="C924" i="9" s="1"/>
  <c r="C925" i="9" s="1"/>
  <c r="C926" i="9" s="1"/>
  <c r="C927" i="9" s="1"/>
  <c r="C928" i="9" s="1"/>
  <c r="C929" i="9" s="1"/>
  <c r="C930" i="9" s="1"/>
  <c r="C931" i="9" s="1"/>
  <c r="C932" i="9" s="1"/>
  <c r="C933" i="9" s="1"/>
  <c r="C934" i="9" s="1"/>
  <c r="C935" i="9" s="1"/>
  <c r="C936" i="9" s="1"/>
  <c r="C937" i="9" s="1"/>
  <c r="C938" i="9" s="1"/>
  <c r="C939" i="9" s="1"/>
  <c r="C940" i="9" s="1"/>
  <c r="C941" i="9" s="1"/>
  <c r="C942" i="9" s="1"/>
  <c r="C943" i="9" s="1"/>
  <c r="C944" i="9" s="1"/>
  <c r="C945" i="9" s="1"/>
  <c r="C946" i="9" s="1"/>
  <c r="C947" i="9" s="1"/>
  <c r="C948" i="9" s="1"/>
  <c r="C949" i="9" s="1"/>
  <c r="C950" i="9" s="1"/>
  <c r="C951" i="9" s="1"/>
  <c r="C952" i="9" s="1"/>
  <c r="C953" i="9" s="1"/>
  <c r="C954" i="9" s="1"/>
  <c r="C955" i="9" s="1"/>
  <c r="C956" i="9" s="1"/>
  <c r="C957" i="9" s="1"/>
  <c r="C958" i="9" s="1"/>
  <c r="C959" i="9" s="1"/>
  <c r="C960" i="9" s="1"/>
  <c r="C961" i="9" s="1"/>
  <c r="C962" i="9" s="1"/>
  <c r="C963" i="9" s="1"/>
  <c r="C964" i="9" s="1"/>
  <c r="C965" i="9" s="1"/>
  <c r="C966" i="9" s="1"/>
  <c r="C967" i="9" s="1"/>
  <c r="C968" i="9" s="1"/>
  <c r="C969" i="9" s="1"/>
  <c r="C970" i="9" s="1"/>
  <c r="C971" i="9" s="1"/>
  <c r="C972" i="9" s="1"/>
  <c r="C973" i="9" s="1"/>
  <c r="C974" i="9" s="1"/>
  <c r="C975" i="9" s="1"/>
  <c r="C976" i="9" s="1"/>
  <c r="C977" i="9" s="1"/>
  <c r="C978" i="9" s="1"/>
  <c r="C979" i="9" s="1"/>
  <c r="C980" i="9" s="1"/>
  <c r="C981" i="9" s="1"/>
  <c r="C982" i="9" s="1"/>
  <c r="C983" i="9" s="1"/>
  <c r="C984" i="9" s="1"/>
  <c r="C985" i="9" s="1"/>
  <c r="C986" i="9" s="1"/>
  <c r="C987" i="9" s="1"/>
  <c r="C988" i="9" s="1"/>
  <c r="C989" i="9" s="1"/>
  <c r="C990" i="9" s="1"/>
  <c r="C991" i="9" s="1"/>
  <c r="C992" i="9" s="1"/>
  <c r="C993" i="9" s="1"/>
  <c r="C994" i="9" s="1"/>
  <c r="C995" i="9" s="1"/>
  <c r="C996" i="9" s="1"/>
  <c r="C997" i="9" s="1"/>
  <c r="C998" i="9" s="1"/>
  <c r="C999" i="9" s="1"/>
  <c r="C1000" i="9" s="1"/>
  <c r="C1001" i="9" s="1"/>
  <c r="C1002" i="9" s="1"/>
  <c r="C1003" i="9" s="1"/>
  <c r="C1004" i="9" s="1"/>
  <c r="C1005" i="9" s="1"/>
  <c r="C1006" i="9" s="1"/>
  <c r="C1007" i="9" s="1"/>
  <c r="C1008" i="9" s="1"/>
  <c r="C1009" i="9" s="1"/>
  <c r="C1010" i="9" s="1"/>
  <c r="C1011" i="9" s="1"/>
  <c r="C1012" i="9" s="1"/>
  <c r="C1013" i="9" s="1"/>
  <c r="C1014" i="9" s="1"/>
  <c r="C1015" i="9" s="1"/>
  <c r="C1016" i="9" s="1"/>
  <c r="C1017" i="9" s="1"/>
  <c r="C1018" i="9" s="1"/>
  <c r="C1019" i="9" s="1"/>
  <c r="C1020" i="9" s="1"/>
  <c r="C1021" i="9" s="1"/>
  <c r="C1022" i="9" s="1"/>
  <c r="C1023" i="9" s="1"/>
  <c r="C1024" i="9" s="1"/>
  <c r="C1025" i="9" s="1"/>
  <c r="C1026" i="9" s="1"/>
  <c r="C1027" i="9" s="1"/>
  <c r="C1028" i="9" s="1"/>
  <c r="C1029" i="9" s="1"/>
  <c r="C1030" i="9" s="1"/>
  <c r="C1031" i="9" s="1"/>
  <c r="C1032" i="9" s="1"/>
  <c r="C1033" i="9" s="1"/>
  <c r="C1034" i="9" s="1"/>
  <c r="C1035" i="9" s="1"/>
  <c r="C1036" i="9" s="1"/>
  <c r="C1037" i="9" s="1"/>
  <c r="C1038" i="9" s="1"/>
  <c r="C1039" i="9" s="1"/>
  <c r="C1040" i="9" s="1"/>
  <c r="C1041" i="9" s="1"/>
  <c r="C1042" i="9" s="1"/>
  <c r="C1043" i="9" s="1"/>
  <c r="C1044" i="9" s="1"/>
  <c r="C1045" i="9" s="1"/>
  <c r="C1046" i="9" s="1"/>
  <c r="C1047" i="9" s="1"/>
  <c r="C1048" i="9" s="1"/>
  <c r="C1049" i="9" s="1"/>
  <c r="C1050" i="9" s="1"/>
  <c r="C1051" i="9" s="1"/>
  <c r="C1052" i="9" s="1"/>
  <c r="C1053" i="9" s="1"/>
  <c r="C1054" i="9" s="1"/>
  <c r="C1055" i="9" s="1"/>
  <c r="C1056" i="9" s="1"/>
  <c r="C1057" i="9" s="1"/>
  <c r="C1058" i="9" s="1"/>
  <c r="C1059" i="9" s="1"/>
  <c r="C1060" i="9" s="1"/>
  <c r="C1061" i="9" s="1"/>
  <c r="C1062" i="9" s="1"/>
  <c r="C1063" i="9" s="1"/>
  <c r="C1064" i="9" s="1"/>
  <c r="C1065" i="9" s="1"/>
  <c r="C1066" i="9" s="1"/>
  <c r="C1067" i="9" s="1"/>
  <c r="C1068" i="9" s="1"/>
  <c r="C1069" i="9" s="1"/>
  <c r="C1070" i="9" s="1"/>
  <c r="C1071" i="9" s="1"/>
  <c r="C1072" i="9" s="1"/>
  <c r="C1073" i="9" s="1"/>
  <c r="C1074" i="9" s="1"/>
  <c r="C1075" i="9" s="1"/>
  <c r="C1076" i="9" s="1"/>
  <c r="C1077" i="9" s="1"/>
  <c r="C1078" i="9" s="1"/>
  <c r="C1079" i="9" s="1"/>
  <c r="C1080" i="9" s="1"/>
  <c r="C1081" i="9" s="1"/>
  <c r="C1082" i="9" s="1"/>
  <c r="C1083" i="9" s="1"/>
  <c r="C1084" i="9" s="1"/>
  <c r="C1085" i="9" s="1"/>
  <c r="C1086" i="9" s="1"/>
  <c r="C1087" i="9" s="1"/>
  <c r="C1088" i="9" s="1"/>
  <c r="C1089" i="9" s="1"/>
  <c r="C1090" i="9" s="1"/>
  <c r="C1091" i="9" s="1"/>
  <c r="C1092" i="9" s="1"/>
  <c r="C1093" i="9" s="1"/>
  <c r="C1094" i="9" s="1"/>
  <c r="C1095" i="9" s="1"/>
  <c r="C1096" i="9" s="1"/>
  <c r="C1097" i="9" s="1"/>
  <c r="C1098" i="9" s="1"/>
  <c r="C1099" i="9" s="1"/>
  <c r="C1100" i="9" s="1"/>
  <c r="C1101" i="9" s="1"/>
  <c r="C1102" i="9" s="1"/>
  <c r="C1103" i="9" s="1"/>
  <c r="C1104" i="9" s="1"/>
  <c r="C1105" i="9" s="1"/>
  <c r="C1106" i="9" s="1"/>
  <c r="C1107" i="9" s="1"/>
  <c r="C1108" i="9" s="1"/>
  <c r="C1109" i="9" s="1"/>
  <c r="C1110" i="9" s="1"/>
  <c r="C1111" i="9" s="1"/>
  <c r="C1112" i="9" s="1"/>
  <c r="C1113" i="9" s="1"/>
  <c r="C1114" i="9" s="1"/>
  <c r="C1115" i="9" s="1"/>
  <c r="C1116" i="9" s="1"/>
  <c r="C1117" i="9" s="1"/>
  <c r="C1118" i="9" s="1"/>
  <c r="C1119" i="9" s="1"/>
  <c r="C1120" i="9" s="1"/>
  <c r="C1121" i="9" s="1"/>
  <c r="C1122" i="9" s="1"/>
  <c r="C1123" i="9" s="1"/>
  <c r="C1124" i="9" s="1"/>
  <c r="C1125" i="9" s="1"/>
  <c r="C1126" i="9" s="1"/>
  <c r="C1127" i="9" s="1"/>
  <c r="C1128" i="9" s="1"/>
  <c r="C1129" i="9" s="1"/>
  <c r="C1130" i="9" s="1"/>
  <c r="C1131" i="9" s="1"/>
  <c r="C1132" i="9" s="1"/>
  <c r="C1133" i="9" s="1"/>
  <c r="C1134" i="9" s="1"/>
  <c r="C1135" i="9" s="1"/>
  <c r="C1136" i="9" s="1"/>
  <c r="C1137" i="9" s="1"/>
  <c r="C1138" i="9" s="1"/>
  <c r="C1139" i="9" s="1"/>
  <c r="C1140" i="9" s="1"/>
  <c r="C1141" i="9" s="1"/>
  <c r="C1142" i="9" s="1"/>
  <c r="C1143" i="9" s="1"/>
  <c r="C1144" i="9" s="1"/>
  <c r="C1145" i="9" s="1"/>
  <c r="C1146" i="9" s="1"/>
  <c r="C1147" i="9" s="1"/>
  <c r="C1148" i="9" s="1"/>
  <c r="C1149" i="9" s="1"/>
  <c r="C1150" i="9" s="1"/>
  <c r="C1151" i="9" s="1"/>
  <c r="C1152" i="9" s="1"/>
  <c r="C1153" i="9" s="1"/>
  <c r="C1154" i="9" s="1"/>
  <c r="C1155" i="9" s="1"/>
  <c r="C1156" i="9" s="1"/>
  <c r="C1157" i="9" s="1"/>
  <c r="C1158" i="9" s="1"/>
  <c r="C1159" i="9" s="1"/>
  <c r="C1160" i="9" s="1"/>
  <c r="C1161" i="9" s="1"/>
  <c r="C1162" i="9" s="1"/>
  <c r="C1163" i="9" s="1"/>
  <c r="C1164" i="9" s="1"/>
  <c r="C1165" i="9" s="1"/>
  <c r="C1166" i="9" s="1"/>
  <c r="C1167" i="9" s="1"/>
  <c r="C1168" i="9" s="1"/>
  <c r="C1169" i="9" s="1"/>
  <c r="C1170" i="9" s="1"/>
  <c r="C1171" i="9" s="1"/>
  <c r="C1172" i="9" s="1"/>
  <c r="C1173" i="9" s="1"/>
  <c r="C1174" i="9" s="1"/>
  <c r="C1175" i="9" s="1"/>
  <c r="C1176" i="9" s="1"/>
  <c r="C1177" i="9" s="1"/>
  <c r="C1178" i="9" s="1"/>
  <c r="C1179" i="9" s="1"/>
  <c r="C1180" i="9" s="1"/>
  <c r="C1181" i="9" s="1"/>
  <c r="C1182" i="9" s="1"/>
  <c r="C1183" i="9" s="1"/>
  <c r="C1184" i="9" s="1"/>
  <c r="C1185" i="9" s="1"/>
  <c r="C1186" i="9" s="1"/>
  <c r="C1187" i="9" s="1"/>
  <c r="C1188" i="9" s="1"/>
  <c r="C1189" i="9" s="1"/>
  <c r="C1190" i="9" s="1"/>
  <c r="C1191" i="9" s="1"/>
  <c r="C1192" i="9" s="1"/>
  <c r="C1193" i="9" s="1"/>
  <c r="C1194" i="9" s="1"/>
  <c r="C1195" i="9" s="1"/>
  <c r="C1196" i="9" s="1"/>
  <c r="C1197" i="9" s="1"/>
  <c r="C1198" i="9" s="1"/>
  <c r="C1199" i="9" s="1"/>
  <c r="C1200" i="9" s="1"/>
  <c r="C1201" i="9" s="1"/>
  <c r="C1202" i="9" s="1"/>
  <c r="C1203" i="9" s="1"/>
  <c r="C1204" i="9" s="1"/>
  <c r="C1205" i="9" s="1"/>
  <c r="C1206" i="9" s="1"/>
  <c r="C1207" i="9" s="1"/>
  <c r="C1208" i="9" s="1"/>
  <c r="C1209" i="9" s="1"/>
  <c r="C1210" i="9" s="1"/>
  <c r="C1211" i="9" s="1"/>
  <c r="C1212" i="9" s="1"/>
  <c r="C1213" i="9" s="1"/>
  <c r="C1214" i="9" s="1"/>
  <c r="C1215" i="9" s="1"/>
  <c r="C1216" i="9" s="1"/>
  <c r="C1217" i="9" s="1"/>
  <c r="C1218" i="9" s="1"/>
  <c r="C1219" i="9" s="1"/>
  <c r="C1220" i="9" s="1"/>
  <c r="C1221" i="9" s="1"/>
  <c r="C1222" i="9" s="1"/>
  <c r="C1223" i="9" s="1"/>
  <c r="C1224" i="9" s="1"/>
  <c r="C1225" i="9" s="1"/>
  <c r="C1226" i="9" s="1"/>
  <c r="C1227" i="9" s="1"/>
  <c r="C1228" i="9" s="1"/>
  <c r="C1229" i="9" s="1"/>
  <c r="C1230" i="9" s="1"/>
  <c r="C1231" i="9" s="1"/>
  <c r="C1232" i="9" s="1"/>
  <c r="C1233" i="9" s="1"/>
  <c r="C1234" i="9" s="1"/>
  <c r="C1235" i="9" s="1"/>
  <c r="C1236" i="9" s="1"/>
  <c r="C1237" i="9" s="1"/>
  <c r="C1238" i="9" s="1"/>
  <c r="C1239" i="9" s="1"/>
  <c r="C1240" i="9" s="1"/>
  <c r="C1241" i="9" s="1"/>
  <c r="C1242" i="9" s="1"/>
  <c r="C1243" i="9" s="1"/>
  <c r="C1244" i="9" s="1"/>
  <c r="C1245" i="9" s="1"/>
  <c r="C1246" i="9" s="1"/>
  <c r="C1247" i="9" s="1"/>
  <c r="C1248" i="9" s="1"/>
  <c r="C1249" i="9" s="1"/>
  <c r="C1250" i="9" s="1"/>
  <c r="C1251" i="9" s="1"/>
  <c r="C1252" i="9" s="1"/>
  <c r="C1253" i="9" s="1"/>
  <c r="C1254" i="9" s="1"/>
  <c r="C1255" i="9" s="1"/>
  <c r="C1256" i="9" s="1"/>
  <c r="B6" i="9"/>
  <c r="B7" i="9" s="1"/>
  <c r="B8" i="9" s="1"/>
  <c r="B9" i="9" s="1"/>
  <c r="B10" i="9" s="1"/>
  <c r="B11" i="9" s="1"/>
  <c r="B12" i="9" s="1"/>
  <c r="B13" i="9" s="1"/>
  <c r="B14" i="9" s="1"/>
  <c r="A6" i="9"/>
  <c r="C5" i="9"/>
  <c r="A5" i="9"/>
  <c r="B4" i="9"/>
  <c r="B5" i="9" s="1"/>
  <c r="A4" i="9"/>
  <c r="C3" i="9"/>
  <c r="C4" i="9" s="1"/>
  <c r="B3" i="9"/>
  <c r="A3" i="9"/>
  <c r="A2" i="9"/>
  <c r="D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3" i="1"/>
  <c r="E764" i="1"/>
  <c r="E765" i="1"/>
  <c r="E766" i="1"/>
  <c r="E767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82" i="1"/>
  <c r="E783" i="1"/>
  <c r="E784" i="1"/>
  <c r="E785" i="1"/>
  <c r="E786" i="1"/>
  <c r="E787" i="1"/>
  <c r="E788" i="1"/>
  <c r="E789" i="1"/>
  <c r="E790" i="1"/>
  <c r="E791" i="1"/>
  <c r="E792" i="1"/>
  <c r="E793" i="1"/>
  <c r="E794" i="1"/>
  <c r="E795" i="1"/>
  <c r="E796" i="1"/>
  <c r="E797" i="1"/>
  <c r="E798" i="1"/>
  <c r="E799" i="1"/>
  <c r="E800" i="1"/>
  <c r="E801" i="1"/>
  <c r="E802" i="1"/>
  <c r="E803" i="1"/>
  <c r="E804" i="1"/>
  <c r="E805" i="1"/>
  <c r="E806" i="1"/>
  <c r="E807" i="1"/>
  <c r="E808" i="1"/>
  <c r="E809" i="1"/>
  <c r="E810" i="1"/>
  <c r="E811" i="1"/>
  <c r="E812" i="1"/>
  <c r="E813" i="1"/>
  <c r="E814" i="1"/>
  <c r="E815" i="1"/>
  <c r="E816" i="1"/>
  <c r="E817" i="1"/>
  <c r="E818" i="1"/>
  <c r="E819" i="1"/>
  <c r="E820" i="1"/>
  <c r="E821" i="1"/>
  <c r="E822" i="1"/>
  <c r="E823" i="1"/>
  <c r="E824" i="1"/>
  <c r="E825" i="1"/>
  <c r="E826" i="1"/>
  <c r="E827" i="1"/>
  <c r="E828" i="1"/>
  <c r="E829" i="1"/>
  <c r="E830" i="1"/>
  <c r="E831" i="1"/>
  <c r="E832" i="1"/>
  <c r="E833" i="1"/>
  <c r="E834" i="1"/>
  <c r="E835" i="1"/>
  <c r="E836" i="1"/>
  <c r="E837" i="1"/>
  <c r="E838" i="1"/>
  <c r="E839" i="1"/>
  <c r="E840" i="1"/>
  <c r="E841" i="1"/>
  <c r="E842" i="1"/>
  <c r="E843" i="1"/>
  <c r="E844" i="1"/>
  <c r="E845" i="1"/>
  <c r="E846" i="1"/>
  <c r="E847" i="1"/>
  <c r="E848" i="1"/>
  <c r="E849" i="1"/>
  <c r="E850" i="1"/>
  <c r="E851" i="1"/>
  <c r="E852" i="1"/>
  <c r="E853" i="1"/>
  <c r="E854" i="1"/>
  <c r="E855" i="1"/>
  <c r="E856" i="1"/>
  <c r="E857" i="1"/>
  <c r="E858" i="1"/>
  <c r="E859" i="1"/>
  <c r="E860" i="1"/>
  <c r="E861" i="1"/>
  <c r="E862" i="1"/>
  <c r="E863" i="1"/>
  <c r="E864" i="1"/>
  <c r="E865" i="1"/>
  <c r="E866" i="1"/>
  <c r="E867" i="1"/>
  <c r="E868" i="1"/>
  <c r="E869" i="1"/>
  <c r="E870" i="1"/>
  <c r="E871" i="1"/>
  <c r="E872" i="1"/>
  <c r="E873" i="1"/>
  <c r="E874" i="1"/>
  <c r="E875" i="1"/>
  <c r="E876" i="1"/>
  <c r="E877" i="1"/>
  <c r="E878" i="1"/>
  <c r="E879" i="1"/>
  <c r="E880" i="1"/>
  <c r="E881" i="1"/>
  <c r="E882" i="1"/>
  <c r="E883" i="1"/>
  <c r="E884" i="1"/>
  <c r="E885" i="1"/>
  <c r="E886" i="1"/>
  <c r="E887" i="1"/>
  <c r="E888" i="1"/>
  <c r="E889" i="1"/>
  <c r="E890" i="1"/>
  <c r="E891" i="1"/>
  <c r="E892" i="1"/>
  <c r="E893" i="1"/>
  <c r="E894" i="1"/>
  <c r="E895" i="1"/>
  <c r="E896" i="1"/>
  <c r="E897" i="1"/>
  <c r="E898" i="1"/>
  <c r="E899" i="1"/>
  <c r="E900" i="1"/>
  <c r="E901" i="1"/>
  <c r="E902" i="1"/>
  <c r="E903" i="1"/>
  <c r="E904" i="1"/>
  <c r="E905" i="1"/>
  <c r="E906" i="1"/>
  <c r="E907" i="1"/>
  <c r="E908" i="1"/>
  <c r="E909" i="1"/>
  <c r="E910" i="1"/>
  <c r="E911" i="1"/>
  <c r="E912" i="1"/>
  <c r="E913" i="1"/>
  <c r="E914" i="1"/>
  <c r="E915" i="1"/>
  <c r="E916" i="1"/>
  <c r="E917" i="1"/>
  <c r="E918" i="1"/>
  <c r="E919" i="1"/>
  <c r="E920" i="1"/>
  <c r="E921" i="1"/>
  <c r="E922" i="1"/>
  <c r="E923" i="1"/>
  <c r="E924" i="1"/>
  <c r="E925" i="1"/>
  <c r="E926" i="1"/>
  <c r="E927" i="1"/>
  <c r="E928" i="1"/>
  <c r="E929" i="1"/>
  <c r="E930" i="1"/>
  <c r="E931" i="1"/>
  <c r="E932" i="1"/>
  <c r="E933" i="1"/>
  <c r="E934" i="1"/>
  <c r="E935" i="1"/>
  <c r="E936" i="1"/>
  <c r="E937" i="1"/>
  <c r="E938" i="1"/>
  <c r="E939" i="1"/>
  <c r="E940" i="1"/>
  <c r="E941" i="1"/>
  <c r="E942" i="1"/>
  <c r="E943" i="1"/>
  <c r="E944" i="1"/>
  <c r="E945" i="1"/>
  <c r="E946" i="1"/>
  <c r="E947" i="1"/>
  <c r="E948" i="1"/>
  <c r="E949" i="1"/>
  <c r="E950" i="1"/>
  <c r="E951" i="1"/>
  <c r="E952" i="1"/>
  <c r="E953" i="1"/>
  <c r="E954" i="1"/>
  <c r="E955" i="1"/>
  <c r="E956" i="1"/>
  <c r="E957" i="1"/>
  <c r="E958" i="1"/>
  <c r="E959" i="1"/>
  <c r="E960" i="1"/>
  <c r="E961" i="1"/>
  <c r="E962" i="1"/>
  <c r="E963" i="1"/>
  <c r="E964" i="1"/>
  <c r="E965" i="1"/>
  <c r="E966" i="1"/>
  <c r="E967" i="1"/>
  <c r="E968" i="1"/>
  <c r="E969" i="1"/>
  <c r="E970" i="1"/>
  <c r="E971" i="1"/>
  <c r="E972" i="1"/>
  <c r="E973" i="1"/>
  <c r="E974" i="1"/>
  <c r="E975" i="1"/>
  <c r="E976" i="1"/>
  <c r="E977" i="1"/>
  <c r="E978" i="1"/>
  <c r="E979" i="1"/>
  <c r="E980" i="1"/>
  <c r="E981" i="1"/>
  <c r="E982" i="1"/>
  <c r="E983" i="1"/>
  <c r="E984" i="1"/>
  <c r="E985" i="1"/>
  <c r="E986" i="1"/>
  <c r="E987" i="1"/>
  <c r="E988" i="1"/>
  <c r="E989" i="1"/>
  <c r="E990" i="1"/>
  <c r="E991" i="1"/>
  <c r="E992" i="1"/>
  <c r="E993" i="1"/>
  <c r="E994" i="1"/>
  <c r="E995" i="1"/>
  <c r="E996" i="1"/>
  <c r="E997" i="1"/>
  <c r="E998" i="1"/>
  <c r="E999" i="1"/>
  <c r="E1000" i="1"/>
  <c r="E1001" i="1"/>
  <c r="E1002" i="1"/>
  <c r="E1003" i="1"/>
  <c r="E1004" i="1"/>
  <c r="E1005" i="1"/>
  <c r="E1006" i="1"/>
  <c r="E1007" i="1"/>
  <c r="E1008" i="1"/>
  <c r="E1009" i="1"/>
  <c r="E1010" i="1"/>
  <c r="E1011" i="1"/>
  <c r="E1012" i="1"/>
  <c r="E1013" i="1"/>
  <c r="E1014" i="1"/>
  <c r="E1015" i="1"/>
  <c r="E1016" i="1"/>
  <c r="E1017" i="1"/>
  <c r="E1018" i="1"/>
  <c r="E1019" i="1"/>
  <c r="E1020" i="1"/>
  <c r="E1021" i="1"/>
  <c r="E1022" i="1"/>
  <c r="E1023" i="1"/>
  <c r="E1024" i="1"/>
  <c r="E1025" i="1"/>
  <c r="E1026" i="1"/>
  <c r="E1027" i="1"/>
  <c r="E1028" i="1"/>
  <c r="E1029" i="1"/>
  <c r="E1030" i="1"/>
  <c r="E1031" i="1"/>
  <c r="E1032" i="1"/>
  <c r="E1033" i="1"/>
  <c r="E1034" i="1"/>
  <c r="E1035" i="1"/>
  <c r="E1036" i="1"/>
  <c r="E1037" i="1"/>
  <c r="E1038" i="1"/>
  <c r="E1039" i="1"/>
  <c r="E1040" i="1"/>
  <c r="E1041" i="1"/>
  <c r="E1042" i="1"/>
  <c r="E1043" i="1"/>
  <c r="E1044" i="1"/>
  <c r="E1045" i="1"/>
  <c r="E1046" i="1"/>
  <c r="E1047" i="1"/>
  <c r="E1048" i="1"/>
  <c r="E1049" i="1"/>
  <c r="E1050" i="1"/>
  <c r="E1051" i="1"/>
  <c r="E1052" i="1"/>
  <c r="E1053" i="1"/>
  <c r="E1054" i="1"/>
  <c r="E1055" i="1"/>
  <c r="E1056" i="1"/>
  <c r="E1057" i="1"/>
  <c r="E1058" i="1"/>
  <c r="E1059" i="1"/>
  <c r="E1060" i="1"/>
  <c r="E1061" i="1"/>
  <c r="E1062" i="1"/>
  <c r="E1063" i="1"/>
  <c r="E1064" i="1"/>
  <c r="E1065" i="1"/>
  <c r="E1066" i="1"/>
  <c r="E1067" i="1"/>
  <c r="E1068" i="1"/>
  <c r="E1069" i="1"/>
  <c r="E1070" i="1"/>
  <c r="E1071" i="1"/>
  <c r="E1072" i="1"/>
  <c r="E1073" i="1"/>
  <c r="E1074" i="1"/>
  <c r="E1075" i="1"/>
  <c r="E1076" i="1"/>
  <c r="E1077" i="1"/>
  <c r="E1078" i="1"/>
  <c r="E1079" i="1"/>
  <c r="E1080" i="1"/>
  <c r="E1081" i="1"/>
  <c r="E1082" i="1"/>
  <c r="E1083" i="1"/>
  <c r="E1084" i="1"/>
  <c r="E1085" i="1"/>
  <c r="E1086" i="1"/>
  <c r="E1087" i="1"/>
  <c r="E1088" i="1"/>
  <c r="E1089" i="1"/>
  <c r="E1090" i="1"/>
  <c r="E1091" i="1"/>
  <c r="E1092" i="1"/>
  <c r="E1093" i="1"/>
  <c r="E1094" i="1"/>
  <c r="E1095" i="1"/>
  <c r="E1096" i="1"/>
  <c r="E1097" i="1"/>
  <c r="E1098" i="1"/>
  <c r="E1099" i="1"/>
  <c r="E1100" i="1"/>
  <c r="E1101" i="1"/>
  <c r="E1102" i="1"/>
  <c r="E1103" i="1"/>
  <c r="E1104" i="1"/>
  <c r="E1105" i="1"/>
  <c r="E1106" i="1"/>
  <c r="E1107" i="1"/>
  <c r="E1108" i="1"/>
  <c r="E1109" i="1"/>
  <c r="E1110" i="1"/>
  <c r="E1111" i="1"/>
  <c r="E1112" i="1"/>
  <c r="E1113" i="1"/>
  <c r="E1114" i="1"/>
  <c r="E1115" i="1"/>
  <c r="E1116" i="1"/>
  <c r="E1117" i="1"/>
  <c r="E1118" i="1"/>
  <c r="E1119" i="1"/>
  <c r="E1120" i="1"/>
  <c r="E1121" i="1"/>
  <c r="E1122" i="1"/>
  <c r="E1123" i="1"/>
  <c r="E1124" i="1"/>
  <c r="E1125" i="1"/>
  <c r="E1126" i="1"/>
  <c r="E1127" i="1"/>
  <c r="E1128" i="1"/>
  <c r="E1129" i="1"/>
  <c r="E1130" i="1"/>
  <c r="E1131" i="1"/>
  <c r="E1132" i="1"/>
  <c r="E1133" i="1"/>
  <c r="E1134" i="1"/>
  <c r="E1135" i="1"/>
  <c r="E1136" i="1"/>
  <c r="E1137" i="1"/>
  <c r="E1138" i="1"/>
  <c r="E1139" i="1"/>
  <c r="E1140" i="1"/>
  <c r="E1141" i="1"/>
  <c r="E1142" i="1"/>
  <c r="E1143" i="1"/>
  <c r="E1144" i="1"/>
  <c r="E1145" i="1"/>
  <c r="E1146" i="1"/>
  <c r="E1147" i="1"/>
  <c r="E1148" i="1"/>
  <c r="E1149" i="1"/>
  <c r="E1150" i="1"/>
  <c r="E1151" i="1"/>
  <c r="E1152" i="1"/>
  <c r="E1153" i="1"/>
  <c r="E1154" i="1"/>
  <c r="E1155" i="1"/>
  <c r="E1156" i="1"/>
  <c r="E1157" i="1"/>
  <c r="E1158" i="1"/>
  <c r="E1159" i="1"/>
  <c r="E1160" i="1"/>
  <c r="E1161" i="1"/>
  <c r="E1162" i="1"/>
  <c r="E1163" i="1"/>
  <c r="E1164" i="1"/>
  <c r="E1165" i="1"/>
  <c r="E1166" i="1"/>
  <c r="E1167" i="1"/>
  <c r="E1168" i="1"/>
  <c r="E1169" i="1"/>
  <c r="E1170" i="1"/>
  <c r="E1171" i="1"/>
  <c r="E1172" i="1"/>
  <c r="E1173" i="1"/>
  <c r="E1174" i="1"/>
  <c r="E1175" i="1"/>
  <c r="E1176" i="1"/>
  <c r="E1177" i="1"/>
  <c r="E1178" i="1"/>
  <c r="E1179" i="1"/>
  <c r="E1180" i="1"/>
  <c r="E1181" i="1"/>
  <c r="E1182" i="1"/>
  <c r="E1183" i="1"/>
  <c r="E1184" i="1"/>
  <c r="E1185" i="1"/>
  <c r="E1186" i="1"/>
  <c r="E1187" i="1"/>
  <c r="E1188" i="1"/>
  <c r="E1189" i="1"/>
  <c r="E1190" i="1"/>
  <c r="E1191" i="1"/>
  <c r="E1192" i="1"/>
  <c r="E1193" i="1"/>
  <c r="E1194" i="1"/>
  <c r="E1195" i="1"/>
  <c r="E1196" i="1"/>
  <c r="E1197" i="1"/>
  <c r="E1198" i="1"/>
  <c r="E1199" i="1"/>
  <c r="E1200" i="1"/>
  <c r="E1201" i="1"/>
  <c r="E1202" i="1"/>
  <c r="E1203" i="1"/>
  <c r="E1204" i="1"/>
  <c r="E1205" i="1"/>
  <c r="E1206" i="1"/>
  <c r="E1207" i="1"/>
  <c r="E1208" i="1"/>
  <c r="E1209" i="1"/>
  <c r="E1210" i="1"/>
  <c r="E1211" i="1"/>
  <c r="E1212" i="1"/>
  <c r="E1213" i="1"/>
  <c r="E1214" i="1"/>
  <c r="E1215" i="1"/>
  <c r="E1216" i="1"/>
  <c r="E1217" i="1"/>
  <c r="E1218" i="1"/>
  <c r="E1219" i="1"/>
  <c r="E1220" i="1"/>
  <c r="E1221" i="1"/>
  <c r="E1222" i="1"/>
  <c r="E1223" i="1"/>
  <c r="E1224" i="1"/>
  <c r="E1225" i="1"/>
  <c r="E1226" i="1"/>
  <c r="E1227" i="1"/>
  <c r="E1228" i="1"/>
  <c r="E1229" i="1"/>
  <c r="E1230" i="1"/>
  <c r="E1231" i="1"/>
  <c r="E1232" i="1"/>
  <c r="E1233" i="1"/>
  <c r="E1234" i="1"/>
  <c r="E1235" i="1"/>
  <c r="E1236" i="1"/>
  <c r="E1237" i="1"/>
  <c r="E1238" i="1"/>
  <c r="E1239" i="1"/>
  <c r="E1240" i="1"/>
  <c r="E1241" i="1"/>
  <c r="E1242" i="1"/>
  <c r="E1243" i="1"/>
  <c r="E1244" i="1"/>
  <c r="E1245" i="1"/>
  <c r="E1246" i="1"/>
  <c r="E1247" i="1"/>
  <c r="E1248" i="1"/>
  <c r="E1249" i="1"/>
  <c r="E1250" i="1"/>
  <c r="E1251" i="1"/>
  <c r="E1252" i="1"/>
  <c r="E1253" i="1"/>
  <c r="E1254" i="1"/>
  <c r="E1255" i="1"/>
  <c r="E1256" i="1"/>
  <c r="D4" i="1"/>
  <c r="E3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2" i="1"/>
  <c r="D663" i="1"/>
  <c r="D664" i="1"/>
  <c r="D665" i="1"/>
  <c r="D666" i="1"/>
  <c r="D667" i="1"/>
  <c r="D668" i="1"/>
  <c r="D669" i="1"/>
  <c r="D670" i="1"/>
  <c r="D671" i="1"/>
  <c r="D672" i="1"/>
  <c r="D673" i="1"/>
  <c r="D674" i="1"/>
  <c r="D675" i="1"/>
  <c r="D676" i="1"/>
  <c r="D677" i="1"/>
  <c r="D678" i="1"/>
  <c r="D679" i="1"/>
  <c r="D680" i="1"/>
  <c r="D681" i="1"/>
  <c r="D682" i="1"/>
  <c r="D683" i="1"/>
  <c r="D684" i="1"/>
  <c r="D685" i="1"/>
  <c r="D686" i="1"/>
  <c r="D687" i="1"/>
  <c r="D688" i="1"/>
  <c r="D689" i="1"/>
  <c r="D690" i="1"/>
  <c r="D691" i="1"/>
  <c r="D692" i="1"/>
  <c r="D693" i="1"/>
  <c r="D694" i="1"/>
  <c r="D695" i="1"/>
  <c r="D696" i="1"/>
  <c r="D697" i="1"/>
  <c r="D698" i="1"/>
  <c r="D699" i="1"/>
  <c r="D700" i="1"/>
  <c r="D701" i="1"/>
  <c r="D702" i="1"/>
  <c r="D703" i="1"/>
  <c r="D704" i="1"/>
  <c r="D705" i="1"/>
  <c r="D706" i="1"/>
  <c r="D707" i="1"/>
  <c r="D708" i="1"/>
  <c r="D709" i="1"/>
  <c r="D710" i="1"/>
  <c r="D711" i="1"/>
  <c r="D712" i="1"/>
  <c r="D713" i="1"/>
  <c r="D714" i="1"/>
  <c r="D715" i="1"/>
  <c r="D716" i="1"/>
  <c r="D717" i="1"/>
  <c r="D718" i="1"/>
  <c r="D719" i="1"/>
  <c r="D720" i="1"/>
  <c r="D721" i="1"/>
  <c r="D722" i="1"/>
  <c r="D723" i="1"/>
  <c r="D724" i="1"/>
  <c r="D725" i="1"/>
  <c r="D726" i="1"/>
  <c r="D727" i="1"/>
  <c r="D728" i="1"/>
  <c r="D729" i="1"/>
  <c r="D730" i="1"/>
  <c r="D731" i="1"/>
  <c r="D732" i="1"/>
  <c r="D733" i="1"/>
  <c r="D734" i="1"/>
  <c r="D735" i="1"/>
  <c r="D736" i="1"/>
  <c r="D737" i="1"/>
  <c r="D738" i="1"/>
  <c r="D739" i="1"/>
  <c r="D740" i="1"/>
  <c r="D741" i="1"/>
  <c r="D742" i="1"/>
  <c r="D743" i="1"/>
  <c r="D744" i="1"/>
  <c r="D745" i="1"/>
  <c r="D746" i="1"/>
  <c r="D747" i="1"/>
  <c r="D748" i="1"/>
  <c r="D749" i="1"/>
  <c r="D750" i="1"/>
  <c r="D751" i="1"/>
  <c r="D752" i="1"/>
  <c r="D753" i="1"/>
  <c r="D754" i="1"/>
  <c r="D755" i="1"/>
  <c r="D756" i="1"/>
  <c r="D757" i="1"/>
  <c r="D758" i="1"/>
  <c r="D759" i="1"/>
  <c r="D760" i="1"/>
  <c r="D761" i="1"/>
  <c r="D762" i="1"/>
  <c r="D763" i="1"/>
  <c r="D764" i="1"/>
  <c r="D765" i="1"/>
  <c r="D766" i="1"/>
  <c r="D767" i="1"/>
  <c r="D768" i="1"/>
  <c r="D769" i="1"/>
  <c r="D770" i="1"/>
  <c r="D771" i="1"/>
  <c r="D772" i="1"/>
  <c r="D773" i="1"/>
  <c r="D774" i="1"/>
  <c r="D775" i="1"/>
  <c r="D776" i="1"/>
  <c r="D777" i="1"/>
  <c r="D778" i="1"/>
  <c r="D779" i="1"/>
  <c r="D780" i="1"/>
  <c r="D781" i="1"/>
  <c r="D782" i="1"/>
  <c r="D783" i="1"/>
  <c r="D784" i="1"/>
  <c r="D785" i="1"/>
  <c r="D786" i="1"/>
  <c r="D787" i="1"/>
  <c r="D788" i="1"/>
  <c r="D789" i="1"/>
  <c r="D790" i="1"/>
  <c r="D791" i="1"/>
  <c r="D792" i="1"/>
  <c r="D793" i="1"/>
  <c r="D794" i="1"/>
  <c r="D795" i="1"/>
  <c r="D796" i="1"/>
  <c r="D797" i="1"/>
  <c r="D798" i="1"/>
  <c r="D799" i="1"/>
  <c r="D800" i="1"/>
  <c r="D801" i="1"/>
  <c r="D802" i="1"/>
  <c r="D803" i="1"/>
  <c r="D804" i="1"/>
  <c r="D805" i="1"/>
  <c r="D806" i="1"/>
  <c r="D807" i="1"/>
  <c r="D808" i="1"/>
  <c r="D809" i="1"/>
  <c r="D810" i="1"/>
  <c r="D811" i="1"/>
  <c r="D812" i="1"/>
  <c r="D813" i="1"/>
  <c r="D814" i="1"/>
  <c r="D815" i="1"/>
  <c r="D816" i="1"/>
  <c r="D817" i="1"/>
  <c r="D818" i="1"/>
  <c r="D819" i="1"/>
  <c r="D820" i="1"/>
  <c r="D821" i="1"/>
  <c r="D822" i="1"/>
  <c r="D823" i="1"/>
  <c r="D824" i="1"/>
  <c r="D825" i="1"/>
  <c r="D826" i="1"/>
  <c r="D827" i="1"/>
  <c r="D828" i="1"/>
  <c r="D829" i="1"/>
  <c r="D830" i="1"/>
  <c r="D831" i="1"/>
  <c r="D832" i="1"/>
  <c r="D833" i="1"/>
  <c r="D834" i="1"/>
  <c r="D835" i="1"/>
  <c r="D836" i="1"/>
  <c r="D837" i="1"/>
  <c r="D838" i="1"/>
  <c r="D839" i="1"/>
  <c r="D840" i="1"/>
  <c r="D841" i="1"/>
  <c r="D842" i="1"/>
  <c r="D843" i="1"/>
  <c r="D844" i="1"/>
  <c r="D845" i="1"/>
  <c r="D846" i="1"/>
  <c r="D847" i="1"/>
  <c r="D848" i="1"/>
  <c r="D849" i="1"/>
  <c r="D850" i="1"/>
  <c r="D851" i="1"/>
  <c r="D852" i="1"/>
  <c r="D853" i="1"/>
  <c r="D854" i="1"/>
  <c r="D855" i="1"/>
  <c r="D856" i="1"/>
  <c r="D857" i="1"/>
  <c r="D858" i="1"/>
  <c r="D859" i="1"/>
  <c r="D860" i="1"/>
  <c r="D861" i="1"/>
  <c r="D862" i="1"/>
  <c r="D863" i="1"/>
  <c r="D864" i="1"/>
  <c r="D865" i="1"/>
  <c r="D866" i="1"/>
  <c r="D867" i="1"/>
  <c r="D868" i="1"/>
  <c r="D869" i="1"/>
  <c r="D870" i="1"/>
  <c r="D871" i="1"/>
  <c r="D872" i="1"/>
  <c r="D873" i="1"/>
  <c r="D874" i="1"/>
  <c r="D875" i="1"/>
  <c r="D876" i="1"/>
  <c r="D877" i="1"/>
  <c r="D878" i="1"/>
  <c r="D879" i="1"/>
  <c r="D880" i="1"/>
  <c r="D881" i="1"/>
  <c r="D882" i="1"/>
  <c r="D883" i="1"/>
  <c r="D884" i="1"/>
  <c r="D885" i="1"/>
  <c r="D886" i="1"/>
  <c r="D887" i="1"/>
  <c r="D888" i="1"/>
  <c r="D889" i="1"/>
  <c r="D890" i="1"/>
  <c r="D891" i="1"/>
  <c r="D892" i="1"/>
  <c r="D893" i="1"/>
  <c r="D894" i="1"/>
  <c r="D895" i="1"/>
  <c r="D896" i="1"/>
  <c r="D897" i="1"/>
  <c r="D898" i="1"/>
  <c r="D899" i="1"/>
  <c r="D900" i="1"/>
  <c r="D901" i="1"/>
  <c r="D902" i="1"/>
  <c r="D903" i="1"/>
  <c r="D904" i="1"/>
  <c r="D905" i="1"/>
  <c r="D906" i="1"/>
  <c r="D907" i="1"/>
  <c r="D908" i="1"/>
  <c r="D909" i="1"/>
  <c r="D910" i="1"/>
  <c r="D911" i="1"/>
  <c r="D912" i="1"/>
  <c r="D913" i="1"/>
  <c r="D914" i="1"/>
  <c r="D915" i="1"/>
  <c r="D916" i="1"/>
  <c r="D917" i="1"/>
  <c r="D918" i="1"/>
  <c r="D919" i="1"/>
  <c r="D920" i="1"/>
  <c r="D921" i="1"/>
  <c r="D922" i="1"/>
  <c r="D923" i="1"/>
  <c r="D924" i="1"/>
  <c r="D925" i="1"/>
  <c r="D926" i="1"/>
  <c r="D927" i="1"/>
  <c r="D928" i="1"/>
  <c r="D929" i="1"/>
  <c r="D930" i="1"/>
  <c r="D931" i="1"/>
  <c r="D932" i="1"/>
  <c r="D933" i="1"/>
  <c r="D934" i="1"/>
  <c r="D935" i="1"/>
  <c r="D936" i="1"/>
  <c r="D937" i="1"/>
  <c r="D938" i="1"/>
  <c r="D939" i="1"/>
  <c r="D940" i="1"/>
  <c r="D941" i="1"/>
  <c r="D942" i="1"/>
  <c r="D943" i="1"/>
  <c r="D944" i="1"/>
  <c r="D945" i="1"/>
  <c r="D946" i="1"/>
  <c r="D947" i="1"/>
  <c r="D948" i="1"/>
  <c r="D949" i="1"/>
  <c r="D950" i="1"/>
  <c r="D951" i="1"/>
  <c r="D952" i="1"/>
  <c r="D953" i="1"/>
  <c r="D954" i="1"/>
  <c r="D955" i="1"/>
  <c r="D956" i="1"/>
  <c r="D957" i="1"/>
  <c r="D958" i="1"/>
  <c r="D959" i="1"/>
  <c r="D960" i="1"/>
  <c r="D961" i="1"/>
  <c r="D962" i="1"/>
  <c r="D963" i="1"/>
  <c r="D964" i="1"/>
  <c r="D965" i="1"/>
  <c r="D966" i="1"/>
  <c r="D967" i="1"/>
  <c r="D968" i="1"/>
  <c r="D969" i="1"/>
  <c r="D970" i="1"/>
  <c r="D971" i="1"/>
  <c r="D972" i="1"/>
  <c r="D973" i="1"/>
  <c r="D974" i="1"/>
  <c r="D975" i="1"/>
  <c r="D976" i="1"/>
  <c r="D977" i="1"/>
  <c r="D978" i="1"/>
  <c r="D979" i="1"/>
  <c r="D980" i="1"/>
  <c r="D981" i="1"/>
  <c r="D982" i="1"/>
  <c r="D983" i="1"/>
  <c r="D984" i="1"/>
  <c r="D985" i="1"/>
  <c r="D986" i="1"/>
  <c r="D987" i="1"/>
  <c r="D988" i="1"/>
  <c r="D989" i="1"/>
  <c r="D990" i="1"/>
  <c r="D991" i="1"/>
  <c r="D992" i="1"/>
  <c r="D993" i="1"/>
  <c r="D994" i="1"/>
  <c r="D995" i="1"/>
  <c r="D996" i="1"/>
  <c r="D997" i="1"/>
  <c r="D998" i="1"/>
  <c r="D999" i="1"/>
  <c r="D1000" i="1"/>
  <c r="D1001" i="1"/>
  <c r="D1002" i="1"/>
  <c r="D1003" i="1"/>
  <c r="D1004" i="1"/>
  <c r="D1005" i="1"/>
  <c r="D1006" i="1"/>
  <c r="D1007" i="1"/>
  <c r="D1008" i="1"/>
  <c r="D1009" i="1"/>
  <c r="D1010" i="1"/>
  <c r="D1011" i="1"/>
  <c r="D1012" i="1"/>
  <c r="D1013" i="1"/>
  <c r="D1014" i="1"/>
  <c r="D1015" i="1"/>
  <c r="D1016" i="1"/>
  <c r="D1017" i="1"/>
  <c r="D1018" i="1"/>
  <c r="D1019" i="1"/>
  <c r="D1020" i="1"/>
  <c r="D1021" i="1"/>
  <c r="D1022" i="1"/>
  <c r="D1023" i="1"/>
  <c r="D1024" i="1"/>
  <c r="D1025" i="1"/>
  <c r="D1026" i="1"/>
  <c r="D1027" i="1"/>
  <c r="D1028" i="1"/>
  <c r="D1029" i="1"/>
  <c r="D1030" i="1"/>
  <c r="D1031" i="1"/>
  <c r="D1032" i="1"/>
  <c r="D1033" i="1"/>
  <c r="D1034" i="1"/>
  <c r="D1035" i="1"/>
  <c r="D1036" i="1"/>
  <c r="D1037" i="1"/>
  <c r="D1038" i="1"/>
  <c r="D1039" i="1"/>
  <c r="D1040" i="1"/>
  <c r="D1041" i="1"/>
  <c r="D1042" i="1"/>
  <c r="D1043" i="1"/>
  <c r="D1044" i="1"/>
  <c r="D1045" i="1"/>
  <c r="D1046" i="1"/>
  <c r="D1047" i="1"/>
  <c r="D1048" i="1"/>
  <c r="D1049" i="1"/>
  <c r="D1050" i="1"/>
  <c r="D1051" i="1"/>
  <c r="D1052" i="1"/>
  <c r="D1053" i="1"/>
  <c r="D1054" i="1"/>
  <c r="D1055" i="1"/>
  <c r="D1056" i="1"/>
  <c r="D1057" i="1"/>
  <c r="D1058" i="1"/>
  <c r="D1059" i="1"/>
  <c r="D1060" i="1"/>
  <c r="D1061" i="1"/>
  <c r="D1062" i="1"/>
  <c r="D1063" i="1"/>
  <c r="D1064" i="1"/>
  <c r="D1065" i="1"/>
  <c r="D1066" i="1"/>
  <c r="D1067" i="1"/>
  <c r="D1068" i="1"/>
  <c r="D1069" i="1"/>
  <c r="D1070" i="1"/>
  <c r="D1071" i="1"/>
  <c r="D1072" i="1"/>
  <c r="D1073" i="1"/>
  <c r="D1074" i="1"/>
  <c r="D1075" i="1"/>
  <c r="D1076" i="1"/>
  <c r="D1077" i="1"/>
  <c r="D1078" i="1"/>
  <c r="D1079" i="1"/>
  <c r="D1080" i="1"/>
  <c r="D1081" i="1"/>
  <c r="D1082" i="1"/>
  <c r="D1083" i="1"/>
  <c r="D1084" i="1"/>
  <c r="D1085" i="1"/>
  <c r="D1086" i="1"/>
  <c r="D1087" i="1"/>
  <c r="D1088" i="1"/>
  <c r="D1089" i="1"/>
  <c r="D1090" i="1"/>
  <c r="D1091" i="1"/>
  <c r="D1092" i="1"/>
  <c r="D1093" i="1"/>
  <c r="D1094" i="1"/>
  <c r="D1095" i="1"/>
  <c r="D1096" i="1"/>
  <c r="D1097" i="1"/>
  <c r="D1098" i="1"/>
  <c r="D1099" i="1"/>
  <c r="D1100" i="1"/>
  <c r="D1101" i="1"/>
  <c r="D1102" i="1"/>
  <c r="D1103" i="1"/>
  <c r="D1104" i="1"/>
  <c r="D1105" i="1"/>
  <c r="D1106" i="1"/>
  <c r="D1107" i="1"/>
  <c r="D1108" i="1"/>
  <c r="D1109" i="1"/>
  <c r="D1110" i="1"/>
  <c r="D1111" i="1"/>
  <c r="D1112" i="1"/>
  <c r="D1113" i="1"/>
  <c r="D1114" i="1"/>
  <c r="D1115" i="1"/>
  <c r="D1116" i="1"/>
  <c r="D1117" i="1"/>
  <c r="D1118" i="1"/>
  <c r="D1119" i="1"/>
  <c r="D1120" i="1"/>
  <c r="D1121" i="1"/>
  <c r="D1122" i="1"/>
  <c r="D1123" i="1"/>
  <c r="D1124" i="1"/>
  <c r="D1125" i="1"/>
  <c r="D1126" i="1"/>
  <c r="D1127" i="1"/>
  <c r="D1128" i="1"/>
  <c r="D1129" i="1"/>
  <c r="D1130" i="1"/>
  <c r="D1131" i="1"/>
  <c r="D1132" i="1"/>
  <c r="D1133" i="1"/>
  <c r="D1134" i="1"/>
  <c r="D1135" i="1"/>
  <c r="D1136" i="1"/>
  <c r="D1137" i="1"/>
  <c r="D1138" i="1"/>
  <c r="D1139" i="1"/>
  <c r="D1140" i="1"/>
  <c r="D1141" i="1"/>
  <c r="D1142" i="1"/>
  <c r="D1143" i="1"/>
  <c r="D1144" i="1"/>
  <c r="D1145" i="1"/>
  <c r="D1146" i="1"/>
  <c r="D1147" i="1"/>
  <c r="D1148" i="1"/>
  <c r="D1149" i="1"/>
  <c r="D1150" i="1"/>
  <c r="D1151" i="1"/>
  <c r="D1152" i="1"/>
  <c r="D1153" i="1"/>
  <c r="D1154" i="1"/>
  <c r="D1155" i="1"/>
  <c r="D1156" i="1"/>
  <c r="D1157" i="1"/>
  <c r="D1158" i="1"/>
  <c r="D1159" i="1"/>
  <c r="D1160" i="1"/>
  <c r="D1161" i="1"/>
  <c r="D1162" i="1"/>
  <c r="D1163" i="1"/>
  <c r="D1164" i="1"/>
  <c r="D1165" i="1"/>
  <c r="D1166" i="1"/>
  <c r="D1167" i="1"/>
  <c r="D1168" i="1"/>
  <c r="D1169" i="1"/>
  <c r="D1170" i="1"/>
  <c r="D1171" i="1"/>
  <c r="D1172" i="1"/>
  <c r="D1173" i="1"/>
  <c r="D1174" i="1"/>
  <c r="D1175" i="1"/>
  <c r="D1176" i="1"/>
  <c r="D1177" i="1"/>
  <c r="D1178" i="1"/>
  <c r="D1179" i="1"/>
  <c r="D1180" i="1"/>
  <c r="D1181" i="1"/>
  <c r="D1182" i="1"/>
  <c r="D1183" i="1"/>
  <c r="D1184" i="1"/>
  <c r="D1185" i="1"/>
  <c r="D1186" i="1"/>
  <c r="D1187" i="1"/>
  <c r="D1188" i="1"/>
  <c r="D1189" i="1"/>
  <c r="D1190" i="1"/>
  <c r="D1191" i="1"/>
  <c r="D1192" i="1"/>
  <c r="D1193" i="1"/>
  <c r="D1194" i="1"/>
  <c r="D1195" i="1"/>
  <c r="D1196" i="1"/>
  <c r="D1197" i="1"/>
  <c r="D1198" i="1"/>
  <c r="D1199" i="1"/>
  <c r="D1200" i="1"/>
  <c r="D1201" i="1"/>
  <c r="D1202" i="1"/>
  <c r="D1203" i="1"/>
  <c r="D1204" i="1"/>
  <c r="D1205" i="1"/>
  <c r="D1206" i="1"/>
  <c r="D1207" i="1"/>
  <c r="D1208" i="1"/>
  <c r="D1209" i="1"/>
  <c r="D1210" i="1"/>
  <c r="D1211" i="1"/>
  <c r="D1212" i="1"/>
  <c r="D1213" i="1"/>
  <c r="D1214" i="1"/>
  <c r="D1215" i="1"/>
  <c r="D1216" i="1"/>
  <c r="D1217" i="1"/>
  <c r="D1218" i="1"/>
  <c r="D1219" i="1"/>
  <c r="D1220" i="1"/>
  <c r="D1221" i="1"/>
  <c r="D1222" i="1"/>
  <c r="D1223" i="1"/>
  <c r="D1224" i="1"/>
  <c r="D1225" i="1"/>
  <c r="D1226" i="1"/>
  <c r="D1227" i="1"/>
  <c r="D1228" i="1"/>
  <c r="D1229" i="1"/>
  <c r="D1230" i="1"/>
  <c r="D1231" i="1"/>
  <c r="D1232" i="1"/>
  <c r="D1233" i="1"/>
  <c r="D1234" i="1"/>
  <c r="D1235" i="1"/>
  <c r="D1236" i="1"/>
  <c r="D1237" i="1"/>
  <c r="D1238" i="1"/>
  <c r="D1239" i="1"/>
  <c r="D1240" i="1"/>
  <c r="D1241" i="1"/>
  <c r="D1242" i="1"/>
  <c r="D1243" i="1"/>
  <c r="D1244" i="1"/>
  <c r="D1245" i="1"/>
  <c r="D1246" i="1"/>
  <c r="D1247" i="1"/>
  <c r="D1248" i="1"/>
  <c r="D1249" i="1"/>
  <c r="D1250" i="1"/>
  <c r="D1251" i="1"/>
  <c r="D1252" i="1"/>
  <c r="D1253" i="1"/>
  <c r="D1254" i="1"/>
  <c r="D1255" i="1"/>
  <c r="D1256" i="1"/>
  <c r="M5" i="1"/>
  <c r="H3" i="1" l="1"/>
  <c r="H7" i="1" s="1"/>
  <c r="I4" i="1"/>
  <c r="I5" i="1" s="1"/>
  <c r="H4" i="1"/>
  <c r="H5" i="1" s="1"/>
  <c r="I3" i="1"/>
  <c r="I7" i="1" s="1"/>
  <c r="H6" i="1"/>
  <c r="M8" i="1" l="1"/>
  <c r="M7" i="1"/>
  <c r="M9" i="1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0AB71D4-2621-4967-BADF-E950AFE78A85}" keepAlive="1" name="Query - SPY_Historical_Data" description="Connection to the 'SPY_Historical_Data' query in the workbook." type="5" refreshedVersion="8" background="1" saveData="1">
    <dbPr connection="Provider=Microsoft.Mashup.OleDb.1;Data Source=$Workbook$;Location=SPY_Historical_Data;Extended Properties=&quot;&quot;" command="SELECT * FROM [SPY_Historical_Data]"/>
  </connection>
  <connection id="2" xr16:uid="{66D99CCD-44D2-4047-BA7C-307A407133EB}" keepAlive="1" name="Query - XLU_Historical_Data" description="Connection to the 'XLU_Historical_Data' query in the workbook." type="5" refreshedVersion="8" background="1" saveData="1">
    <dbPr connection="Provider=Microsoft.Mashup.OleDb.1;Data Source=$Workbook$;Location=XLU_Historical_Data;Extended Properties=&quot;&quot;" command="SELECT * FROM [XLU_Historical_Data]"/>
  </connection>
</connections>
</file>

<file path=xl/sharedStrings.xml><?xml version="1.0" encoding="utf-8"?>
<sst xmlns="http://schemas.openxmlformats.org/spreadsheetml/2006/main" count="51" uniqueCount="38">
  <si>
    <t>Date</t>
  </si>
  <si>
    <t>SPY Price</t>
  </si>
  <si>
    <t>XLU Price</t>
  </si>
  <si>
    <t>SPY Return</t>
  </si>
  <si>
    <t>XLU Return</t>
  </si>
  <si>
    <t>Close/Last</t>
  </si>
  <si>
    <t>Volume</t>
  </si>
  <si>
    <t>Open</t>
  </si>
  <si>
    <t>High</t>
  </si>
  <si>
    <t>Low</t>
  </si>
  <si>
    <t>STATISTICS</t>
  </si>
  <si>
    <t>Metrics</t>
  </si>
  <si>
    <t>SPY</t>
  </si>
  <si>
    <t>XLU</t>
  </si>
  <si>
    <t>Daily Volatility (StDev)</t>
  </si>
  <si>
    <t>Daily Average Return</t>
  </si>
  <si>
    <t>Annualized Volatility</t>
  </si>
  <si>
    <t>Annualized Average Return</t>
  </si>
  <si>
    <t>Correlation (SPY &amp; XLU)</t>
  </si>
  <si>
    <t>PORTFOLIO MODEL</t>
  </si>
  <si>
    <t>SPY Weight</t>
  </si>
  <si>
    <t>XLU Weight</t>
  </si>
  <si>
    <t>Weight Total Check</t>
  </si>
  <si>
    <t>Portfolio Annual Return</t>
  </si>
  <si>
    <t>Portfolio Annual Volatility</t>
  </si>
  <si>
    <t>Sharpe Ratio</t>
  </si>
  <si>
    <t>SPY ($1)</t>
  </si>
  <si>
    <t>XLU ($1)</t>
  </si>
  <si>
    <t>Exp. Return</t>
  </si>
  <si>
    <t>Exp. Risk</t>
  </si>
  <si>
    <t>Opt. Risk</t>
  </si>
  <si>
    <t>Opt. Return</t>
  </si>
  <si>
    <t>Annualized Return:</t>
  </si>
  <si>
    <t>Sharpe Ratio:</t>
  </si>
  <si>
    <t>SPY Allocation:</t>
  </si>
  <si>
    <t>XLU Allocation:</t>
  </si>
  <si>
    <t>Correlation (SPY/XLU):</t>
  </si>
  <si>
    <t>Portfolio Summary (daily data, annualized)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</si>
</sst>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b/>
      <sz val="20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6">
    <xf numFmtId="0" fontId="0" fillId="0" borderId="0" xfId="0"/>
    <xf numFmtId="14" fontId="0" fillId="0" borderId="0" xfId="0" applyNumberFormat="1"/>
    <xf numFmtId="9" fontId="0" fillId="0" borderId="0" xfId="2" applyFont="1"/>
    <xf numFmtId="10" fontId="0" fillId="0" borderId="0" xfId="2" applyNumberFormat="1" applyFont="1"/>
    <xf numFmtId="44" fontId="0" fillId="0" borderId="0" xfId="1" applyFont="1"/>
    <xf numFmtId="0" fontId="2" fillId="0" borderId="0" xfId="0" applyFont="1"/>
    <xf numFmtId="10" fontId="2" fillId="0" borderId="0" xfId="0" applyNumberFormat="1" applyFont="1"/>
    <xf numFmtId="0" fontId="2" fillId="0" borderId="0" xfId="0" applyFont="1" applyAlignment="1">
      <alignment horizontal="left"/>
    </xf>
    <xf numFmtId="2" fontId="2" fillId="0" borderId="0" xfId="0" applyNumberFormat="1" applyFont="1"/>
    <xf numFmtId="2" fontId="0" fillId="0" borderId="0" xfId="0" applyNumberFormat="1"/>
    <xf numFmtId="0" fontId="3" fillId="0" borderId="0" xfId="0" applyFont="1" applyAlignment="1">
      <alignment horizontal="left"/>
    </xf>
    <xf numFmtId="0" fontId="3" fillId="0" borderId="0" xfId="0" applyFont="1" applyAlignment="1"/>
    <xf numFmtId="0" fontId="2" fillId="0" borderId="0" xfId="0" applyFont="1" applyAlignment="1"/>
    <xf numFmtId="0" fontId="3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</cellXfs>
  <cellStyles count="3">
    <cellStyle name="Currency" xfId="1" builtinId="4"/>
    <cellStyle name="Normal" xfId="0" builtinId="0"/>
    <cellStyle name="Percent" xfId="2" builtinId="5"/>
  </cellStyles>
  <dxfs count="8">
    <dxf>
      <numFmt numFmtId="19" formatCode="m/d/yyyy"/>
    </dxf>
    <dxf>
      <numFmt numFmtId="14" formatCode="0.00%"/>
    </dxf>
    <dxf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9" tint="0.79998168889431442"/>
          <bgColor theme="9" tint="0.79998168889431442"/>
        </patternFill>
      </fill>
      <border diagonalUp="0" diagonalDown="0" outline="0">
        <left/>
        <right/>
        <top style="thin">
          <color theme="9" tint="0.39997558519241921"/>
        </top>
        <bottom style="thin">
          <color theme="9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9" formatCode="m/d/yyyy"/>
      <fill>
        <patternFill patternType="solid">
          <fgColor theme="9" tint="0.79998168889431442"/>
          <bgColor theme="9" tint="0.79998168889431442"/>
        </patternFill>
      </fill>
      <border diagonalUp="0" diagonalDown="0" outline="0">
        <left style="thin">
          <color theme="9" tint="0.39997558519241921"/>
        </left>
        <right/>
        <top style="thin">
          <color theme="9" tint="0.39997558519241921"/>
        </top>
        <bottom style="thin">
          <color theme="9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numFmt numFmtId="19" formatCode="m/d/yyyy"/>
    </dxf>
    <dxf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US" sz="1400" b="0"/>
              <a:t>Indexed Growth of $1 Investment (SPY vs XLU)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Indexed_Performance_Data!$B$1</c:f>
              <c:strCache>
                <c:ptCount val="1"/>
                <c:pt idx="0">
                  <c:v> SPY ($1)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Indexed_Performance_Data!$A$2:$A$1256</c:f>
              <c:numCache>
                <c:formatCode>m/d/yyyy</c:formatCode>
                <c:ptCount val="1255"/>
                <c:pt idx="0">
                  <c:v>44181</c:v>
                </c:pt>
                <c:pt idx="1">
                  <c:v>44182</c:v>
                </c:pt>
                <c:pt idx="2">
                  <c:v>44183</c:v>
                </c:pt>
                <c:pt idx="3">
                  <c:v>44186</c:v>
                </c:pt>
                <c:pt idx="4">
                  <c:v>44187</c:v>
                </c:pt>
                <c:pt idx="5">
                  <c:v>44188</c:v>
                </c:pt>
                <c:pt idx="6">
                  <c:v>44189</c:v>
                </c:pt>
                <c:pt idx="7">
                  <c:v>44193</c:v>
                </c:pt>
                <c:pt idx="8">
                  <c:v>44194</c:v>
                </c:pt>
                <c:pt idx="9">
                  <c:v>44195</c:v>
                </c:pt>
                <c:pt idx="10">
                  <c:v>44196</c:v>
                </c:pt>
                <c:pt idx="11">
                  <c:v>44200</c:v>
                </c:pt>
                <c:pt idx="12">
                  <c:v>44201</c:v>
                </c:pt>
                <c:pt idx="13">
                  <c:v>44202</c:v>
                </c:pt>
                <c:pt idx="14">
                  <c:v>44203</c:v>
                </c:pt>
                <c:pt idx="15">
                  <c:v>44204</c:v>
                </c:pt>
                <c:pt idx="16">
                  <c:v>44207</c:v>
                </c:pt>
                <c:pt idx="17">
                  <c:v>44208</c:v>
                </c:pt>
                <c:pt idx="18">
                  <c:v>44209</c:v>
                </c:pt>
                <c:pt idx="19">
                  <c:v>44210</c:v>
                </c:pt>
                <c:pt idx="20">
                  <c:v>44211</c:v>
                </c:pt>
                <c:pt idx="21">
                  <c:v>44215</c:v>
                </c:pt>
                <c:pt idx="22">
                  <c:v>44216</c:v>
                </c:pt>
                <c:pt idx="23">
                  <c:v>44217</c:v>
                </c:pt>
                <c:pt idx="24">
                  <c:v>44218</c:v>
                </c:pt>
                <c:pt idx="25">
                  <c:v>44221</c:v>
                </c:pt>
                <c:pt idx="26">
                  <c:v>44222</c:v>
                </c:pt>
                <c:pt idx="27">
                  <c:v>44223</c:v>
                </c:pt>
                <c:pt idx="28">
                  <c:v>44224</c:v>
                </c:pt>
                <c:pt idx="29">
                  <c:v>44225</c:v>
                </c:pt>
                <c:pt idx="30">
                  <c:v>44228</c:v>
                </c:pt>
                <c:pt idx="31">
                  <c:v>44229</c:v>
                </c:pt>
                <c:pt idx="32">
                  <c:v>44230</c:v>
                </c:pt>
                <c:pt idx="33">
                  <c:v>44231</c:v>
                </c:pt>
                <c:pt idx="34">
                  <c:v>44232</c:v>
                </c:pt>
                <c:pt idx="35">
                  <c:v>44235</c:v>
                </c:pt>
                <c:pt idx="36">
                  <c:v>44236</c:v>
                </c:pt>
                <c:pt idx="37">
                  <c:v>44237</c:v>
                </c:pt>
                <c:pt idx="38">
                  <c:v>44238</c:v>
                </c:pt>
                <c:pt idx="39">
                  <c:v>44239</c:v>
                </c:pt>
                <c:pt idx="40">
                  <c:v>44243</c:v>
                </c:pt>
                <c:pt idx="41">
                  <c:v>44244</c:v>
                </c:pt>
                <c:pt idx="42">
                  <c:v>44245</c:v>
                </c:pt>
                <c:pt idx="43">
                  <c:v>44246</c:v>
                </c:pt>
                <c:pt idx="44">
                  <c:v>44249</c:v>
                </c:pt>
                <c:pt idx="45">
                  <c:v>44250</c:v>
                </c:pt>
                <c:pt idx="46">
                  <c:v>44251</c:v>
                </c:pt>
                <c:pt idx="47">
                  <c:v>44252</c:v>
                </c:pt>
                <c:pt idx="48">
                  <c:v>44253</c:v>
                </c:pt>
                <c:pt idx="49">
                  <c:v>44256</c:v>
                </c:pt>
                <c:pt idx="50">
                  <c:v>44257</c:v>
                </c:pt>
                <c:pt idx="51">
                  <c:v>44258</c:v>
                </c:pt>
                <c:pt idx="52">
                  <c:v>44259</c:v>
                </c:pt>
                <c:pt idx="53">
                  <c:v>44260</c:v>
                </c:pt>
                <c:pt idx="54">
                  <c:v>44263</c:v>
                </c:pt>
                <c:pt idx="55">
                  <c:v>44264</c:v>
                </c:pt>
                <c:pt idx="56">
                  <c:v>44265</c:v>
                </c:pt>
                <c:pt idx="57">
                  <c:v>44266</c:v>
                </c:pt>
                <c:pt idx="58">
                  <c:v>44267</c:v>
                </c:pt>
                <c:pt idx="59">
                  <c:v>44270</c:v>
                </c:pt>
                <c:pt idx="60">
                  <c:v>44271</c:v>
                </c:pt>
                <c:pt idx="61">
                  <c:v>44272</c:v>
                </c:pt>
                <c:pt idx="62">
                  <c:v>44273</c:v>
                </c:pt>
                <c:pt idx="63">
                  <c:v>44274</c:v>
                </c:pt>
                <c:pt idx="64">
                  <c:v>44277</c:v>
                </c:pt>
                <c:pt idx="65">
                  <c:v>44278</c:v>
                </c:pt>
                <c:pt idx="66">
                  <c:v>44279</c:v>
                </c:pt>
                <c:pt idx="67">
                  <c:v>44280</c:v>
                </c:pt>
                <c:pt idx="68">
                  <c:v>44281</c:v>
                </c:pt>
                <c:pt idx="69">
                  <c:v>44284</c:v>
                </c:pt>
                <c:pt idx="70">
                  <c:v>44285</c:v>
                </c:pt>
                <c:pt idx="71">
                  <c:v>44286</c:v>
                </c:pt>
                <c:pt idx="72">
                  <c:v>44287</c:v>
                </c:pt>
                <c:pt idx="73">
                  <c:v>44291</c:v>
                </c:pt>
                <c:pt idx="74">
                  <c:v>44292</c:v>
                </c:pt>
                <c:pt idx="75">
                  <c:v>44293</c:v>
                </c:pt>
                <c:pt idx="76">
                  <c:v>44294</c:v>
                </c:pt>
                <c:pt idx="77">
                  <c:v>44295</c:v>
                </c:pt>
                <c:pt idx="78">
                  <c:v>44298</c:v>
                </c:pt>
                <c:pt idx="79">
                  <c:v>44299</c:v>
                </c:pt>
                <c:pt idx="80">
                  <c:v>44300</c:v>
                </c:pt>
                <c:pt idx="81">
                  <c:v>44301</c:v>
                </c:pt>
                <c:pt idx="82">
                  <c:v>44302</c:v>
                </c:pt>
                <c:pt idx="83">
                  <c:v>44305</c:v>
                </c:pt>
                <c:pt idx="84">
                  <c:v>44306</c:v>
                </c:pt>
                <c:pt idx="85">
                  <c:v>44307</c:v>
                </c:pt>
                <c:pt idx="86">
                  <c:v>44308</c:v>
                </c:pt>
                <c:pt idx="87">
                  <c:v>44309</c:v>
                </c:pt>
                <c:pt idx="88">
                  <c:v>44312</c:v>
                </c:pt>
                <c:pt idx="89">
                  <c:v>44313</c:v>
                </c:pt>
                <c:pt idx="90">
                  <c:v>44314</c:v>
                </c:pt>
                <c:pt idx="91">
                  <c:v>44315</c:v>
                </c:pt>
                <c:pt idx="92">
                  <c:v>44316</c:v>
                </c:pt>
                <c:pt idx="93">
                  <c:v>44319</c:v>
                </c:pt>
                <c:pt idx="94">
                  <c:v>44320</c:v>
                </c:pt>
                <c:pt idx="95">
                  <c:v>44321</c:v>
                </c:pt>
                <c:pt idx="96">
                  <c:v>44322</c:v>
                </c:pt>
                <c:pt idx="97">
                  <c:v>44323</c:v>
                </c:pt>
                <c:pt idx="98">
                  <c:v>44326</c:v>
                </c:pt>
                <c:pt idx="99">
                  <c:v>44327</c:v>
                </c:pt>
                <c:pt idx="100">
                  <c:v>44328</c:v>
                </c:pt>
                <c:pt idx="101">
                  <c:v>44329</c:v>
                </c:pt>
                <c:pt idx="102">
                  <c:v>44330</c:v>
                </c:pt>
                <c:pt idx="103">
                  <c:v>44333</c:v>
                </c:pt>
                <c:pt idx="104">
                  <c:v>44334</c:v>
                </c:pt>
                <c:pt idx="105">
                  <c:v>44335</c:v>
                </c:pt>
                <c:pt idx="106">
                  <c:v>44336</c:v>
                </c:pt>
                <c:pt idx="107">
                  <c:v>44337</c:v>
                </c:pt>
                <c:pt idx="108">
                  <c:v>44340</c:v>
                </c:pt>
                <c:pt idx="109">
                  <c:v>44341</c:v>
                </c:pt>
                <c:pt idx="110">
                  <c:v>44342</c:v>
                </c:pt>
                <c:pt idx="111">
                  <c:v>44343</c:v>
                </c:pt>
                <c:pt idx="112">
                  <c:v>44344</c:v>
                </c:pt>
                <c:pt idx="113">
                  <c:v>44348</c:v>
                </c:pt>
                <c:pt idx="114">
                  <c:v>44349</c:v>
                </c:pt>
                <c:pt idx="115">
                  <c:v>44350</c:v>
                </c:pt>
                <c:pt idx="116">
                  <c:v>44351</c:v>
                </c:pt>
                <c:pt idx="117">
                  <c:v>44354</c:v>
                </c:pt>
                <c:pt idx="118">
                  <c:v>44355</c:v>
                </c:pt>
                <c:pt idx="119">
                  <c:v>44356</c:v>
                </c:pt>
                <c:pt idx="120">
                  <c:v>44357</c:v>
                </c:pt>
                <c:pt idx="121">
                  <c:v>44358</c:v>
                </c:pt>
                <c:pt idx="122">
                  <c:v>44361</c:v>
                </c:pt>
                <c:pt idx="123">
                  <c:v>44362</c:v>
                </c:pt>
                <c:pt idx="124">
                  <c:v>44363</c:v>
                </c:pt>
                <c:pt idx="125">
                  <c:v>44364</c:v>
                </c:pt>
                <c:pt idx="126">
                  <c:v>44365</c:v>
                </c:pt>
                <c:pt idx="127">
                  <c:v>44368</c:v>
                </c:pt>
                <c:pt idx="128">
                  <c:v>44369</c:v>
                </c:pt>
                <c:pt idx="129">
                  <c:v>44370</c:v>
                </c:pt>
                <c:pt idx="130">
                  <c:v>44371</c:v>
                </c:pt>
                <c:pt idx="131">
                  <c:v>44372</c:v>
                </c:pt>
                <c:pt idx="132">
                  <c:v>44375</c:v>
                </c:pt>
                <c:pt idx="133">
                  <c:v>44376</c:v>
                </c:pt>
                <c:pt idx="134">
                  <c:v>44377</c:v>
                </c:pt>
                <c:pt idx="135">
                  <c:v>44378</c:v>
                </c:pt>
                <c:pt idx="136">
                  <c:v>44379</c:v>
                </c:pt>
                <c:pt idx="137">
                  <c:v>44383</c:v>
                </c:pt>
                <c:pt idx="138">
                  <c:v>44384</c:v>
                </c:pt>
                <c:pt idx="139">
                  <c:v>44385</c:v>
                </c:pt>
                <c:pt idx="140">
                  <c:v>44386</c:v>
                </c:pt>
                <c:pt idx="141">
                  <c:v>44389</c:v>
                </c:pt>
                <c:pt idx="142">
                  <c:v>44390</c:v>
                </c:pt>
                <c:pt idx="143">
                  <c:v>44391</c:v>
                </c:pt>
                <c:pt idx="144">
                  <c:v>44392</c:v>
                </c:pt>
                <c:pt idx="145">
                  <c:v>44393</c:v>
                </c:pt>
                <c:pt idx="146">
                  <c:v>44396</c:v>
                </c:pt>
                <c:pt idx="147">
                  <c:v>44397</c:v>
                </c:pt>
                <c:pt idx="148">
                  <c:v>44398</c:v>
                </c:pt>
                <c:pt idx="149">
                  <c:v>44399</c:v>
                </c:pt>
                <c:pt idx="150">
                  <c:v>44400</c:v>
                </c:pt>
                <c:pt idx="151">
                  <c:v>44403</c:v>
                </c:pt>
                <c:pt idx="152">
                  <c:v>44404</c:v>
                </c:pt>
                <c:pt idx="153">
                  <c:v>44405</c:v>
                </c:pt>
                <c:pt idx="154">
                  <c:v>44406</c:v>
                </c:pt>
                <c:pt idx="155">
                  <c:v>44407</c:v>
                </c:pt>
                <c:pt idx="156">
                  <c:v>44410</c:v>
                </c:pt>
                <c:pt idx="157">
                  <c:v>44411</c:v>
                </c:pt>
                <c:pt idx="158">
                  <c:v>44412</c:v>
                </c:pt>
                <c:pt idx="159">
                  <c:v>44413</c:v>
                </c:pt>
                <c:pt idx="160">
                  <c:v>44414</c:v>
                </c:pt>
                <c:pt idx="161">
                  <c:v>44417</c:v>
                </c:pt>
                <c:pt idx="162">
                  <c:v>44418</c:v>
                </c:pt>
                <c:pt idx="163">
                  <c:v>44419</c:v>
                </c:pt>
                <c:pt idx="164">
                  <c:v>44420</c:v>
                </c:pt>
                <c:pt idx="165">
                  <c:v>44421</c:v>
                </c:pt>
                <c:pt idx="166">
                  <c:v>44424</c:v>
                </c:pt>
                <c:pt idx="167">
                  <c:v>44425</c:v>
                </c:pt>
                <c:pt idx="168">
                  <c:v>44426</c:v>
                </c:pt>
                <c:pt idx="169">
                  <c:v>44427</c:v>
                </c:pt>
                <c:pt idx="170">
                  <c:v>44428</c:v>
                </c:pt>
                <c:pt idx="171">
                  <c:v>44431</c:v>
                </c:pt>
                <c:pt idx="172">
                  <c:v>44432</c:v>
                </c:pt>
                <c:pt idx="173">
                  <c:v>44433</c:v>
                </c:pt>
                <c:pt idx="174">
                  <c:v>44434</c:v>
                </c:pt>
                <c:pt idx="175">
                  <c:v>44435</c:v>
                </c:pt>
                <c:pt idx="176">
                  <c:v>44438</c:v>
                </c:pt>
                <c:pt idx="177">
                  <c:v>44439</c:v>
                </c:pt>
                <c:pt idx="178">
                  <c:v>44440</c:v>
                </c:pt>
                <c:pt idx="179">
                  <c:v>44441</c:v>
                </c:pt>
                <c:pt idx="180">
                  <c:v>44442</c:v>
                </c:pt>
                <c:pt idx="181">
                  <c:v>44446</c:v>
                </c:pt>
                <c:pt idx="182">
                  <c:v>44447</c:v>
                </c:pt>
                <c:pt idx="183">
                  <c:v>44448</c:v>
                </c:pt>
                <c:pt idx="184">
                  <c:v>44449</c:v>
                </c:pt>
                <c:pt idx="185">
                  <c:v>44452</c:v>
                </c:pt>
                <c:pt idx="186">
                  <c:v>44453</c:v>
                </c:pt>
                <c:pt idx="187">
                  <c:v>44454</c:v>
                </c:pt>
                <c:pt idx="188">
                  <c:v>44455</c:v>
                </c:pt>
                <c:pt idx="189">
                  <c:v>44456</c:v>
                </c:pt>
                <c:pt idx="190">
                  <c:v>44459</c:v>
                </c:pt>
                <c:pt idx="191">
                  <c:v>44460</c:v>
                </c:pt>
                <c:pt idx="192">
                  <c:v>44461</c:v>
                </c:pt>
                <c:pt idx="193">
                  <c:v>44462</c:v>
                </c:pt>
                <c:pt idx="194">
                  <c:v>44463</c:v>
                </c:pt>
                <c:pt idx="195">
                  <c:v>44466</c:v>
                </c:pt>
                <c:pt idx="196">
                  <c:v>44467</c:v>
                </c:pt>
                <c:pt idx="197">
                  <c:v>44468</c:v>
                </c:pt>
                <c:pt idx="198">
                  <c:v>44469</c:v>
                </c:pt>
                <c:pt idx="199">
                  <c:v>44470</c:v>
                </c:pt>
                <c:pt idx="200">
                  <c:v>44473</c:v>
                </c:pt>
                <c:pt idx="201">
                  <c:v>44474</c:v>
                </c:pt>
                <c:pt idx="202">
                  <c:v>44475</c:v>
                </c:pt>
                <c:pt idx="203">
                  <c:v>44476</c:v>
                </c:pt>
                <c:pt idx="204">
                  <c:v>44477</c:v>
                </c:pt>
                <c:pt idx="205">
                  <c:v>44480</c:v>
                </c:pt>
                <c:pt idx="206">
                  <c:v>44481</c:v>
                </c:pt>
                <c:pt idx="207">
                  <c:v>44482</c:v>
                </c:pt>
                <c:pt idx="208">
                  <c:v>44483</c:v>
                </c:pt>
                <c:pt idx="209">
                  <c:v>44484</c:v>
                </c:pt>
                <c:pt idx="210">
                  <c:v>44487</c:v>
                </c:pt>
                <c:pt idx="211">
                  <c:v>44488</c:v>
                </c:pt>
                <c:pt idx="212">
                  <c:v>44489</c:v>
                </c:pt>
                <c:pt idx="213">
                  <c:v>44490</c:v>
                </c:pt>
                <c:pt idx="214">
                  <c:v>44491</c:v>
                </c:pt>
                <c:pt idx="215">
                  <c:v>44494</c:v>
                </c:pt>
                <c:pt idx="216">
                  <c:v>44495</c:v>
                </c:pt>
                <c:pt idx="217">
                  <c:v>44496</c:v>
                </c:pt>
                <c:pt idx="218">
                  <c:v>44497</c:v>
                </c:pt>
                <c:pt idx="219">
                  <c:v>44498</c:v>
                </c:pt>
                <c:pt idx="220">
                  <c:v>44501</c:v>
                </c:pt>
                <c:pt idx="221">
                  <c:v>44502</c:v>
                </c:pt>
                <c:pt idx="222">
                  <c:v>44503</c:v>
                </c:pt>
                <c:pt idx="223">
                  <c:v>44504</c:v>
                </c:pt>
                <c:pt idx="224">
                  <c:v>44505</c:v>
                </c:pt>
                <c:pt idx="225">
                  <c:v>44508</c:v>
                </c:pt>
                <c:pt idx="226">
                  <c:v>44509</c:v>
                </c:pt>
                <c:pt idx="227">
                  <c:v>44510</c:v>
                </c:pt>
                <c:pt idx="228">
                  <c:v>44511</c:v>
                </c:pt>
                <c:pt idx="229">
                  <c:v>44512</c:v>
                </c:pt>
                <c:pt idx="230">
                  <c:v>44515</c:v>
                </c:pt>
                <c:pt idx="231">
                  <c:v>44516</c:v>
                </c:pt>
                <c:pt idx="232">
                  <c:v>44517</c:v>
                </c:pt>
                <c:pt idx="233">
                  <c:v>44518</c:v>
                </c:pt>
                <c:pt idx="234">
                  <c:v>44519</c:v>
                </c:pt>
                <c:pt idx="235">
                  <c:v>44522</c:v>
                </c:pt>
                <c:pt idx="236">
                  <c:v>44523</c:v>
                </c:pt>
                <c:pt idx="237">
                  <c:v>44524</c:v>
                </c:pt>
                <c:pt idx="238">
                  <c:v>44526</c:v>
                </c:pt>
                <c:pt idx="239">
                  <c:v>44529</c:v>
                </c:pt>
                <c:pt idx="240">
                  <c:v>44530</c:v>
                </c:pt>
                <c:pt idx="241">
                  <c:v>44531</c:v>
                </c:pt>
                <c:pt idx="242">
                  <c:v>44532</c:v>
                </c:pt>
                <c:pt idx="243">
                  <c:v>44533</c:v>
                </c:pt>
                <c:pt idx="244">
                  <c:v>44536</c:v>
                </c:pt>
                <c:pt idx="245">
                  <c:v>44537</c:v>
                </c:pt>
                <c:pt idx="246">
                  <c:v>44538</c:v>
                </c:pt>
                <c:pt idx="247">
                  <c:v>44539</c:v>
                </c:pt>
                <c:pt idx="248">
                  <c:v>44540</c:v>
                </c:pt>
                <c:pt idx="249">
                  <c:v>44543</c:v>
                </c:pt>
                <c:pt idx="250">
                  <c:v>44544</c:v>
                </c:pt>
                <c:pt idx="251">
                  <c:v>44545</c:v>
                </c:pt>
                <c:pt idx="252">
                  <c:v>44546</c:v>
                </c:pt>
                <c:pt idx="253">
                  <c:v>44547</c:v>
                </c:pt>
                <c:pt idx="254">
                  <c:v>44550</c:v>
                </c:pt>
                <c:pt idx="255">
                  <c:v>44551</c:v>
                </c:pt>
                <c:pt idx="256">
                  <c:v>44552</c:v>
                </c:pt>
                <c:pt idx="257">
                  <c:v>44553</c:v>
                </c:pt>
                <c:pt idx="258">
                  <c:v>44557</c:v>
                </c:pt>
                <c:pt idx="259">
                  <c:v>44558</c:v>
                </c:pt>
                <c:pt idx="260">
                  <c:v>44559</c:v>
                </c:pt>
                <c:pt idx="261">
                  <c:v>44560</c:v>
                </c:pt>
                <c:pt idx="262">
                  <c:v>44561</c:v>
                </c:pt>
                <c:pt idx="263">
                  <c:v>44564</c:v>
                </c:pt>
                <c:pt idx="264">
                  <c:v>44565</c:v>
                </c:pt>
                <c:pt idx="265">
                  <c:v>44566</c:v>
                </c:pt>
                <c:pt idx="266">
                  <c:v>44567</c:v>
                </c:pt>
                <c:pt idx="267">
                  <c:v>44568</c:v>
                </c:pt>
                <c:pt idx="268">
                  <c:v>44571</c:v>
                </c:pt>
                <c:pt idx="269">
                  <c:v>44572</c:v>
                </c:pt>
                <c:pt idx="270">
                  <c:v>44573</c:v>
                </c:pt>
                <c:pt idx="271">
                  <c:v>44574</c:v>
                </c:pt>
                <c:pt idx="272">
                  <c:v>44575</c:v>
                </c:pt>
                <c:pt idx="273">
                  <c:v>44579</c:v>
                </c:pt>
                <c:pt idx="274">
                  <c:v>44580</c:v>
                </c:pt>
                <c:pt idx="275">
                  <c:v>44581</c:v>
                </c:pt>
                <c:pt idx="276">
                  <c:v>44582</c:v>
                </c:pt>
                <c:pt idx="277">
                  <c:v>44585</c:v>
                </c:pt>
                <c:pt idx="278">
                  <c:v>44586</c:v>
                </c:pt>
                <c:pt idx="279">
                  <c:v>44587</c:v>
                </c:pt>
                <c:pt idx="280">
                  <c:v>44588</c:v>
                </c:pt>
                <c:pt idx="281">
                  <c:v>44589</c:v>
                </c:pt>
                <c:pt idx="282">
                  <c:v>44592</c:v>
                </c:pt>
                <c:pt idx="283">
                  <c:v>44593</c:v>
                </c:pt>
                <c:pt idx="284">
                  <c:v>44594</c:v>
                </c:pt>
                <c:pt idx="285">
                  <c:v>44595</c:v>
                </c:pt>
                <c:pt idx="286">
                  <c:v>44596</c:v>
                </c:pt>
                <c:pt idx="287">
                  <c:v>44599</c:v>
                </c:pt>
                <c:pt idx="288">
                  <c:v>44600</c:v>
                </c:pt>
                <c:pt idx="289">
                  <c:v>44601</c:v>
                </c:pt>
                <c:pt idx="290">
                  <c:v>44602</c:v>
                </c:pt>
                <c:pt idx="291">
                  <c:v>44603</c:v>
                </c:pt>
                <c:pt idx="292">
                  <c:v>44606</c:v>
                </c:pt>
                <c:pt idx="293">
                  <c:v>44607</c:v>
                </c:pt>
                <c:pt idx="294">
                  <c:v>44608</c:v>
                </c:pt>
                <c:pt idx="295">
                  <c:v>44609</c:v>
                </c:pt>
                <c:pt idx="296">
                  <c:v>44610</c:v>
                </c:pt>
                <c:pt idx="297">
                  <c:v>44614</c:v>
                </c:pt>
                <c:pt idx="298">
                  <c:v>44615</c:v>
                </c:pt>
                <c:pt idx="299">
                  <c:v>44616</c:v>
                </c:pt>
                <c:pt idx="300">
                  <c:v>44617</c:v>
                </c:pt>
                <c:pt idx="301">
                  <c:v>44620</c:v>
                </c:pt>
                <c:pt idx="302">
                  <c:v>44621</c:v>
                </c:pt>
                <c:pt idx="303">
                  <c:v>44622</c:v>
                </c:pt>
                <c:pt idx="304">
                  <c:v>44623</c:v>
                </c:pt>
                <c:pt idx="305">
                  <c:v>44624</c:v>
                </c:pt>
                <c:pt idx="306">
                  <c:v>44627</c:v>
                </c:pt>
                <c:pt idx="307">
                  <c:v>44628</c:v>
                </c:pt>
                <c:pt idx="308">
                  <c:v>44629</c:v>
                </c:pt>
                <c:pt idx="309">
                  <c:v>44630</c:v>
                </c:pt>
                <c:pt idx="310">
                  <c:v>44631</c:v>
                </c:pt>
                <c:pt idx="311">
                  <c:v>44634</c:v>
                </c:pt>
                <c:pt idx="312">
                  <c:v>44635</c:v>
                </c:pt>
                <c:pt idx="313">
                  <c:v>44636</c:v>
                </c:pt>
                <c:pt idx="314">
                  <c:v>44637</c:v>
                </c:pt>
                <c:pt idx="315">
                  <c:v>44638</c:v>
                </c:pt>
                <c:pt idx="316">
                  <c:v>44641</c:v>
                </c:pt>
                <c:pt idx="317">
                  <c:v>44642</c:v>
                </c:pt>
                <c:pt idx="318">
                  <c:v>44643</c:v>
                </c:pt>
                <c:pt idx="319">
                  <c:v>44644</c:v>
                </c:pt>
                <c:pt idx="320">
                  <c:v>44645</c:v>
                </c:pt>
                <c:pt idx="321">
                  <c:v>44648</c:v>
                </c:pt>
                <c:pt idx="322">
                  <c:v>44649</c:v>
                </c:pt>
                <c:pt idx="323">
                  <c:v>44650</c:v>
                </c:pt>
                <c:pt idx="324">
                  <c:v>44651</c:v>
                </c:pt>
                <c:pt idx="325">
                  <c:v>44652</c:v>
                </c:pt>
                <c:pt idx="326">
                  <c:v>44655</c:v>
                </c:pt>
                <c:pt idx="327">
                  <c:v>44656</c:v>
                </c:pt>
                <c:pt idx="328">
                  <c:v>44657</c:v>
                </c:pt>
                <c:pt idx="329">
                  <c:v>44658</c:v>
                </c:pt>
                <c:pt idx="330">
                  <c:v>44659</c:v>
                </c:pt>
                <c:pt idx="331">
                  <c:v>44662</c:v>
                </c:pt>
                <c:pt idx="332">
                  <c:v>44663</c:v>
                </c:pt>
                <c:pt idx="333">
                  <c:v>44664</c:v>
                </c:pt>
                <c:pt idx="334">
                  <c:v>44665</c:v>
                </c:pt>
                <c:pt idx="335">
                  <c:v>44669</c:v>
                </c:pt>
                <c:pt idx="336">
                  <c:v>44670</c:v>
                </c:pt>
                <c:pt idx="337">
                  <c:v>44671</c:v>
                </c:pt>
                <c:pt idx="338">
                  <c:v>44672</c:v>
                </c:pt>
                <c:pt idx="339">
                  <c:v>44673</c:v>
                </c:pt>
                <c:pt idx="340">
                  <c:v>44676</c:v>
                </c:pt>
                <c:pt idx="341">
                  <c:v>44677</c:v>
                </c:pt>
                <c:pt idx="342">
                  <c:v>44678</c:v>
                </c:pt>
                <c:pt idx="343">
                  <c:v>44679</c:v>
                </c:pt>
                <c:pt idx="344">
                  <c:v>44680</c:v>
                </c:pt>
                <c:pt idx="345">
                  <c:v>44683</c:v>
                </c:pt>
                <c:pt idx="346">
                  <c:v>44684</c:v>
                </c:pt>
                <c:pt idx="347">
                  <c:v>44685</c:v>
                </c:pt>
                <c:pt idx="348">
                  <c:v>44686</c:v>
                </c:pt>
                <c:pt idx="349">
                  <c:v>44687</c:v>
                </c:pt>
                <c:pt idx="350">
                  <c:v>44690</c:v>
                </c:pt>
                <c:pt idx="351">
                  <c:v>44691</c:v>
                </c:pt>
                <c:pt idx="352">
                  <c:v>44692</c:v>
                </c:pt>
                <c:pt idx="353">
                  <c:v>44693</c:v>
                </c:pt>
                <c:pt idx="354">
                  <c:v>44694</c:v>
                </c:pt>
                <c:pt idx="355">
                  <c:v>44697</c:v>
                </c:pt>
                <c:pt idx="356">
                  <c:v>44698</c:v>
                </c:pt>
                <c:pt idx="357">
                  <c:v>44699</c:v>
                </c:pt>
                <c:pt idx="358">
                  <c:v>44700</c:v>
                </c:pt>
                <c:pt idx="359">
                  <c:v>44701</c:v>
                </c:pt>
                <c:pt idx="360">
                  <c:v>44704</c:v>
                </c:pt>
                <c:pt idx="361">
                  <c:v>44705</c:v>
                </c:pt>
                <c:pt idx="362">
                  <c:v>44706</c:v>
                </c:pt>
                <c:pt idx="363">
                  <c:v>44707</c:v>
                </c:pt>
                <c:pt idx="364">
                  <c:v>44708</c:v>
                </c:pt>
                <c:pt idx="365">
                  <c:v>44712</c:v>
                </c:pt>
                <c:pt idx="366">
                  <c:v>44713</c:v>
                </c:pt>
                <c:pt idx="367">
                  <c:v>44714</c:v>
                </c:pt>
                <c:pt idx="368">
                  <c:v>44715</c:v>
                </c:pt>
                <c:pt idx="369">
                  <c:v>44718</c:v>
                </c:pt>
                <c:pt idx="370">
                  <c:v>44719</c:v>
                </c:pt>
                <c:pt idx="371">
                  <c:v>44720</c:v>
                </c:pt>
                <c:pt idx="372">
                  <c:v>44721</c:v>
                </c:pt>
                <c:pt idx="373">
                  <c:v>44722</c:v>
                </c:pt>
                <c:pt idx="374">
                  <c:v>44725</c:v>
                </c:pt>
                <c:pt idx="375">
                  <c:v>44726</c:v>
                </c:pt>
                <c:pt idx="376">
                  <c:v>44727</c:v>
                </c:pt>
                <c:pt idx="377">
                  <c:v>44728</c:v>
                </c:pt>
                <c:pt idx="378">
                  <c:v>44729</c:v>
                </c:pt>
                <c:pt idx="379">
                  <c:v>44733</c:v>
                </c:pt>
                <c:pt idx="380">
                  <c:v>44734</c:v>
                </c:pt>
                <c:pt idx="381">
                  <c:v>44735</c:v>
                </c:pt>
                <c:pt idx="382">
                  <c:v>44736</c:v>
                </c:pt>
                <c:pt idx="383">
                  <c:v>44739</c:v>
                </c:pt>
                <c:pt idx="384">
                  <c:v>44740</c:v>
                </c:pt>
                <c:pt idx="385">
                  <c:v>44741</c:v>
                </c:pt>
                <c:pt idx="386">
                  <c:v>44742</c:v>
                </c:pt>
                <c:pt idx="387">
                  <c:v>44743</c:v>
                </c:pt>
                <c:pt idx="388">
                  <c:v>44747</c:v>
                </c:pt>
                <c:pt idx="389">
                  <c:v>44748</c:v>
                </c:pt>
                <c:pt idx="390">
                  <c:v>44749</c:v>
                </c:pt>
                <c:pt idx="391">
                  <c:v>44750</c:v>
                </c:pt>
                <c:pt idx="392">
                  <c:v>44753</c:v>
                </c:pt>
                <c:pt idx="393">
                  <c:v>44754</c:v>
                </c:pt>
                <c:pt idx="394">
                  <c:v>44755</c:v>
                </c:pt>
                <c:pt idx="395">
                  <c:v>44756</c:v>
                </c:pt>
                <c:pt idx="396">
                  <c:v>44757</c:v>
                </c:pt>
                <c:pt idx="397">
                  <c:v>44760</c:v>
                </c:pt>
                <c:pt idx="398">
                  <c:v>44761</c:v>
                </c:pt>
                <c:pt idx="399">
                  <c:v>44762</c:v>
                </c:pt>
                <c:pt idx="400">
                  <c:v>44763</c:v>
                </c:pt>
                <c:pt idx="401">
                  <c:v>44764</c:v>
                </c:pt>
                <c:pt idx="402">
                  <c:v>44767</c:v>
                </c:pt>
                <c:pt idx="403">
                  <c:v>44768</c:v>
                </c:pt>
                <c:pt idx="404">
                  <c:v>44769</c:v>
                </c:pt>
                <c:pt idx="405">
                  <c:v>44770</c:v>
                </c:pt>
                <c:pt idx="406">
                  <c:v>44771</c:v>
                </c:pt>
                <c:pt idx="407">
                  <c:v>44774</c:v>
                </c:pt>
                <c:pt idx="408">
                  <c:v>44775</c:v>
                </c:pt>
                <c:pt idx="409">
                  <c:v>44776</c:v>
                </c:pt>
                <c:pt idx="410">
                  <c:v>44777</c:v>
                </c:pt>
                <c:pt idx="411">
                  <c:v>44778</c:v>
                </c:pt>
                <c:pt idx="412">
                  <c:v>44781</c:v>
                </c:pt>
                <c:pt idx="413">
                  <c:v>44782</c:v>
                </c:pt>
                <c:pt idx="414">
                  <c:v>44783</c:v>
                </c:pt>
                <c:pt idx="415">
                  <c:v>44784</c:v>
                </c:pt>
                <c:pt idx="416">
                  <c:v>44785</c:v>
                </c:pt>
                <c:pt idx="417">
                  <c:v>44788</c:v>
                </c:pt>
                <c:pt idx="418">
                  <c:v>44789</c:v>
                </c:pt>
                <c:pt idx="419">
                  <c:v>44790</c:v>
                </c:pt>
                <c:pt idx="420">
                  <c:v>44791</c:v>
                </c:pt>
                <c:pt idx="421">
                  <c:v>44792</c:v>
                </c:pt>
                <c:pt idx="422">
                  <c:v>44795</c:v>
                </c:pt>
                <c:pt idx="423">
                  <c:v>44796</c:v>
                </c:pt>
                <c:pt idx="424">
                  <c:v>44797</c:v>
                </c:pt>
                <c:pt idx="425">
                  <c:v>44798</c:v>
                </c:pt>
                <c:pt idx="426">
                  <c:v>44799</c:v>
                </c:pt>
                <c:pt idx="427">
                  <c:v>44802</c:v>
                </c:pt>
                <c:pt idx="428">
                  <c:v>44803</c:v>
                </c:pt>
                <c:pt idx="429">
                  <c:v>44804</c:v>
                </c:pt>
                <c:pt idx="430">
                  <c:v>44805</c:v>
                </c:pt>
                <c:pt idx="431">
                  <c:v>44806</c:v>
                </c:pt>
                <c:pt idx="432">
                  <c:v>44810</c:v>
                </c:pt>
                <c:pt idx="433">
                  <c:v>44811</c:v>
                </c:pt>
                <c:pt idx="434">
                  <c:v>44812</c:v>
                </c:pt>
                <c:pt idx="435">
                  <c:v>44813</c:v>
                </c:pt>
                <c:pt idx="436">
                  <c:v>44816</c:v>
                </c:pt>
                <c:pt idx="437">
                  <c:v>44817</c:v>
                </c:pt>
                <c:pt idx="438">
                  <c:v>44818</c:v>
                </c:pt>
                <c:pt idx="439">
                  <c:v>44819</c:v>
                </c:pt>
                <c:pt idx="440">
                  <c:v>44820</c:v>
                </c:pt>
                <c:pt idx="441">
                  <c:v>44823</c:v>
                </c:pt>
                <c:pt idx="442">
                  <c:v>44824</c:v>
                </c:pt>
                <c:pt idx="443">
                  <c:v>44825</c:v>
                </c:pt>
                <c:pt idx="444">
                  <c:v>44826</c:v>
                </c:pt>
                <c:pt idx="445">
                  <c:v>44827</c:v>
                </c:pt>
                <c:pt idx="446">
                  <c:v>44830</c:v>
                </c:pt>
                <c:pt idx="447">
                  <c:v>44831</c:v>
                </c:pt>
                <c:pt idx="448">
                  <c:v>44832</c:v>
                </c:pt>
                <c:pt idx="449">
                  <c:v>44833</c:v>
                </c:pt>
                <c:pt idx="450">
                  <c:v>44834</c:v>
                </c:pt>
                <c:pt idx="451">
                  <c:v>44837</c:v>
                </c:pt>
                <c:pt idx="452">
                  <c:v>44838</c:v>
                </c:pt>
                <c:pt idx="453">
                  <c:v>44839</c:v>
                </c:pt>
                <c:pt idx="454">
                  <c:v>44840</c:v>
                </c:pt>
                <c:pt idx="455">
                  <c:v>44841</c:v>
                </c:pt>
                <c:pt idx="456">
                  <c:v>44844</c:v>
                </c:pt>
                <c:pt idx="457">
                  <c:v>44845</c:v>
                </c:pt>
                <c:pt idx="458">
                  <c:v>44846</c:v>
                </c:pt>
                <c:pt idx="459">
                  <c:v>44847</c:v>
                </c:pt>
                <c:pt idx="460">
                  <c:v>44848</c:v>
                </c:pt>
                <c:pt idx="461">
                  <c:v>44851</c:v>
                </c:pt>
                <c:pt idx="462">
                  <c:v>44852</c:v>
                </c:pt>
                <c:pt idx="463">
                  <c:v>44853</c:v>
                </c:pt>
                <c:pt idx="464">
                  <c:v>44854</c:v>
                </c:pt>
                <c:pt idx="465">
                  <c:v>44855</c:v>
                </c:pt>
                <c:pt idx="466">
                  <c:v>44858</c:v>
                </c:pt>
                <c:pt idx="467">
                  <c:v>44859</c:v>
                </c:pt>
                <c:pt idx="468">
                  <c:v>44860</c:v>
                </c:pt>
                <c:pt idx="469">
                  <c:v>44861</c:v>
                </c:pt>
                <c:pt idx="470">
                  <c:v>44862</c:v>
                </c:pt>
                <c:pt idx="471">
                  <c:v>44865</c:v>
                </c:pt>
                <c:pt idx="472">
                  <c:v>44866</c:v>
                </c:pt>
                <c:pt idx="473">
                  <c:v>44867</c:v>
                </c:pt>
                <c:pt idx="474">
                  <c:v>44868</c:v>
                </c:pt>
                <c:pt idx="475">
                  <c:v>44869</c:v>
                </c:pt>
                <c:pt idx="476">
                  <c:v>44872</c:v>
                </c:pt>
                <c:pt idx="477">
                  <c:v>44873</c:v>
                </c:pt>
                <c:pt idx="478">
                  <c:v>44874</c:v>
                </c:pt>
                <c:pt idx="479">
                  <c:v>44875</c:v>
                </c:pt>
                <c:pt idx="480">
                  <c:v>44876</c:v>
                </c:pt>
                <c:pt idx="481">
                  <c:v>44879</c:v>
                </c:pt>
                <c:pt idx="482">
                  <c:v>44880</c:v>
                </c:pt>
                <c:pt idx="483">
                  <c:v>44881</c:v>
                </c:pt>
                <c:pt idx="484">
                  <c:v>44882</c:v>
                </c:pt>
                <c:pt idx="485">
                  <c:v>44883</c:v>
                </c:pt>
                <c:pt idx="486">
                  <c:v>44886</c:v>
                </c:pt>
                <c:pt idx="487">
                  <c:v>44887</c:v>
                </c:pt>
                <c:pt idx="488">
                  <c:v>44888</c:v>
                </c:pt>
                <c:pt idx="489">
                  <c:v>44890</c:v>
                </c:pt>
                <c:pt idx="490">
                  <c:v>44893</c:v>
                </c:pt>
                <c:pt idx="491">
                  <c:v>44894</c:v>
                </c:pt>
                <c:pt idx="492">
                  <c:v>44895</c:v>
                </c:pt>
                <c:pt idx="493">
                  <c:v>44896</c:v>
                </c:pt>
                <c:pt idx="494">
                  <c:v>44897</c:v>
                </c:pt>
                <c:pt idx="495">
                  <c:v>44900</c:v>
                </c:pt>
                <c:pt idx="496">
                  <c:v>44901</c:v>
                </c:pt>
                <c:pt idx="497">
                  <c:v>44902</c:v>
                </c:pt>
                <c:pt idx="498">
                  <c:v>44903</c:v>
                </c:pt>
                <c:pt idx="499">
                  <c:v>44904</c:v>
                </c:pt>
                <c:pt idx="500">
                  <c:v>44907</c:v>
                </c:pt>
                <c:pt idx="501">
                  <c:v>44908</c:v>
                </c:pt>
                <c:pt idx="502">
                  <c:v>44909</c:v>
                </c:pt>
                <c:pt idx="503">
                  <c:v>44910</c:v>
                </c:pt>
                <c:pt idx="504">
                  <c:v>44911</c:v>
                </c:pt>
                <c:pt idx="505">
                  <c:v>44914</c:v>
                </c:pt>
                <c:pt idx="506">
                  <c:v>44915</c:v>
                </c:pt>
                <c:pt idx="507">
                  <c:v>44916</c:v>
                </c:pt>
                <c:pt idx="508">
                  <c:v>44917</c:v>
                </c:pt>
                <c:pt idx="509">
                  <c:v>44918</c:v>
                </c:pt>
                <c:pt idx="510">
                  <c:v>44922</c:v>
                </c:pt>
                <c:pt idx="511">
                  <c:v>44923</c:v>
                </c:pt>
                <c:pt idx="512">
                  <c:v>44924</c:v>
                </c:pt>
                <c:pt idx="513">
                  <c:v>44925</c:v>
                </c:pt>
                <c:pt idx="514">
                  <c:v>44929</c:v>
                </c:pt>
                <c:pt idx="515">
                  <c:v>44930</c:v>
                </c:pt>
                <c:pt idx="516">
                  <c:v>44931</c:v>
                </c:pt>
                <c:pt idx="517">
                  <c:v>44932</c:v>
                </c:pt>
                <c:pt idx="518">
                  <c:v>44935</c:v>
                </c:pt>
                <c:pt idx="519">
                  <c:v>44936</c:v>
                </c:pt>
                <c:pt idx="520">
                  <c:v>44937</c:v>
                </c:pt>
                <c:pt idx="521">
                  <c:v>44938</c:v>
                </c:pt>
                <c:pt idx="522">
                  <c:v>44939</c:v>
                </c:pt>
                <c:pt idx="523">
                  <c:v>44943</c:v>
                </c:pt>
                <c:pt idx="524">
                  <c:v>44944</c:v>
                </c:pt>
                <c:pt idx="525">
                  <c:v>44945</c:v>
                </c:pt>
                <c:pt idx="526">
                  <c:v>44946</c:v>
                </c:pt>
                <c:pt idx="527">
                  <c:v>44949</c:v>
                </c:pt>
                <c:pt idx="528">
                  <c:v>44950</c:v>
                </c:pt>
                <c:pt idx="529">
                  <c:v>44951</c:v>
                </c:pt>
                <c:pt idx="530">
                  <c:v>44952</c:v>
                </c:pt>
                <c:pt idx="531">
                  <c:v>44953</c:v>
                </c:pt>
                <c:pt idx="532">
                  <c:v>44956</c:v>
                </c:pt>
                <c:pt idx="533">
                  <c:v>44957</c:v>
                </c:pt>
                <c:pt idx="534">
                  <c:v>44958</c:v>
                </c:pt>
                <c:pt idx="535">
                  <c:v>44959</c:v>
                </c:pt>
                <c:pt idx="536">
                  <c:v>44960</c:v>
                </c:pt>
                <c:pt idx="537">
                  <c:v>44963</c:v>
                </c:pt>
                <c:pt idx="538">
                  <c:v>44964</c:v>
                </c:pt>
                <c:pt idx="539">
                  <c:v>44965</c:v>
                </c:pt>
                <c:pt idx="540">
                  <c:v>44966</c:v>
                </c:pt>
                <c:pt idx="541">
                  <c:v>44967</c:v>
                </c:pt>
                <c:pt idx="542">
                  <c:v>44970</c:v>
                </c:pt>
                <c:pt idx="543">
                  <c:v>44971</c:v>
                </c:pt>
                <c:pt idx="544">
                  <c:v>44972</c:v>
                </c:pt>
                <c:pt idx="545">
                  <c:v>44973</c:v>
                </c:pt>
                <c:pt idx="546">
                  <c:v>44974</c:v>
                </c:pt>
                <c:pt idx="547">
                  <c:v>44978</c:v>
                </c:pt>
                <c:pt idx="548">
                  <c:v>44979</c:v>
                </c:pt>
                <c:pt idx="549">
                  <c:v>44980</c:v>
                </c:pt>
                <c:pt idx="550">
                  <c:v>44981</c:v>
                </c:pt>
                <c:pt idx="551">
                  <c:v>44984</c:v>
                </c:pt>
                <c:pt idx="552">
                  <c:v>44985</c:v>
                </c:pt>
                <c:pt idx="553">
                  <c:v>44986</c:v>
                </c:pt>
                <c:pt idx="554">
                  <c:v>44987</c:v>
                </c:pt>
                <c:pt idx="555">
                  <c:v>44988</c:v>
                </c:pt>
                <c:pt idx="556">
                  <c:v>44991</c:v>
                </c:pt>
                <c:pt idx="557">
                  <c:v>44992</c:v>
                </c:pt>
                <c:pt idx="558">
                  <c:v>44993</c:v>
                </c:pt>
                <c:pt idx="559">
                  <c:v>44994</c:v>
                </c:pt>
                <c:pt idx="560">
                  <c:v>44995</c:v>
                </c:pt>
                <c:pt idx="561">
                  <c:v>44998</c:v>
                </c:pt>
                <c:pt idx="562">
                  <c:v>44999</c:v>
                </c:pt>
                <c:pt idx="563">
                  <c:v>45000</c:v>
                </c:pt>
                <c:pt idx="564">
                  <c:v>45001</c:v>
                </c:pt>
                <c:pt idx="565">
                  <c:v>45002</c:v>
                </c:pt>
                <c:pt idx="566">
                  <c:v>45005</c:v>
                </c:pt>
                <c:pt idx="567">
                  <c:v>45006</c:v>
                </c:pt>
                <c:pt idx="568">
                  <c:v>45007</c:v>
                </c:pt>
                <c:pt idx="569">
                  <c:v>45008</c:v>
                </c:pt>
                <c:pt idx="570">
                  <c:v>45009</c:v>
                </c:pt>
                <c:pt idx="571">
                  <c:v>45012</c:v>
                </c:pt>
                <c:pt idx="572">
                  <c:v>45013</c:v>
                </c:pt>
                <c:pt idx="573">
                  <c:v>45014</c:v>
                </c:pt>
                <c:pt idx="574">
                  <c:v>45015</c:v>
                </c:pt>
                <c:pt idx="575">
                  <c:v>45016</c:v>
                </c:pt>
                <c:pt idx="576">
                  <c:v>45019</c:v>
                </c:pt>
                <c:pt idx="577">
                  <c:v>45020</c:v>
                </c:pt>
                <c:pt idx="578">
                  <c:v>45021</c:v>
                </c:pt>
                <c:pt idx="579">
                  <c:v>45022</c:v>
                </c:pt>
                <c:pt idx="580">
                  <c:v>45026</c:v>
                </c:pt>
                <c:pt idx="581">
                  <c:v>45027</c:v>
                </c:pt>
                <c:pt idx="582">
                  <c:v>45028</c:v>
                </c:pt>
                <c:pt idx="583">
                  <c:v>45029</c:v>
                </c:pt>
                <c:pt idx="584">
                  <c:v>45030</c:v>
                </c:pt>
                <c:pt idx="585">
                  <c:v>45033</c:v>
                </c:pt>
                <c:pt idx="586">
                  <c:v>45034</c:v>
                </c:pt>
                <c:pt idx="587">
                  <c:v>45035</c:v>
                </c:pt>
                <c:pt idx="588">
                  <c:v>45036</c:v>
                </c:pt>
                <c:pt idx="589">
                  <c:v>45037</c:v>
                </c:pt>
                <c:pt idx="590">
                  <c:v>45040</c:v>
                </c:pt>
                <c:pt idx="591">
                  <c:v>45041</c:v>
                </c:pt>
                <c:pt idx="592">
                  <c:v>45042</c:v>
                </c:pt>
                <c:pt idx="593">
                  <c:v>45043</c:v>
                </c:pt>
                <c:pt idx="594">
                  <c:v>45044</c:v>
                </c:pt>
                <c:pt idx="595">
                  <c:v>45047</c:v>
                </c:pt>
                <c:pt idx="596">
                  <c:v>45048</c:v>
                </c:pt>
                <c:pt idx="597">
                  <c:v>45049</c:v>
                </c:pt>
                <c:pt idx="598">
                  <c:v>45050</c:v>
                </c:pt>
                <c:pt idx="599">
                  <c:v>45051</c:v>
                </c:pt>
                <c:pt idx="600">
                  <c:v>45054</c:v>
                </c:pt>
                <c:pt idx="601">
                  <c:v>45055</c:v>
                </c:pt>
                <c:pt idx="602">
                  <c:v>45056</c:v>
                </c:pt>
                <c:pt idx="603">
                  <c:v>45057</c:v>
                </c:pt>
                <c:pt idx="604">
                  <c:v>45058</c:v>
                </c:pt>
                <c:pt idx="605">
                  <c:v>45061</c:v>
                </c:pt>
                <c:pt idx="606">
                  <c:v>45062</c:v>
                </c:pt>
                <c:pt idx="607">
                  <c:v>45063</c:v>
                </c:pt>
                <c:pt idx="608">
                  <c:v>45064</c:v>
                </c:pt>
                <c:pt idx="609">
                  <c:v>45065</c:v>
                </c:pt>
                <c:pt idx="610">
                  <c:v>45068</c:v>
                </c:pt>
                <c:pt idx="611">
                  <c:v>45069</c:v>
                </c:pt>
                <c:pt idx="612">
                  <c:v>45070</c:v>
                </c:pt>
                <c:pt idx="613">
                  <c:v>45071</c:v>
                </c:pt>
                <c:pt idx="614">
                  <c:v>45072</c:v>
                </c:pt>
                <c:pt idx="615">
                  <c:v>45076</c:v>
                </c:pt>
                <c:pt idx="616">
                  <c:v>45077</c:v>
                </c:pt>
                <c:pt idx="617">
                  <c:v>45078</c:v>
                </c:pt>
                <c:pt idx="618">
                  <c:v>45079</c:v>
                </c:pt>
                <c:pt idx="619">
                  <c:v>45082</c:v>
                </c:pt>
                <c:pt idx="620">
                  <c:v>45083</c:v>
                </c:pt>
                <c:pt idx="621">
                  <c:v>45084</c:v>
                </c:pt>
                <c:pt idx="622">
                  <c:v>45085</c:v>
                </c:pt>
                <c:pt idx="623">
                  <c:v>45086</c:v>
                </c:pt>
                <c:pt idx="624">
                  <c:v>45089</c:v>
                </c:pt>
                <c:pt idx="625">
                  <c:v>45090</c:v>
                </c:pt>
                <c:pt idx="626">
                  <c:v>45091</c:v>
                </c:pt>
                <c:pt idx="627">
                  <c:v>45092</c:v>
                </c:pt>
                <c:pt idx="628">
                  <c:v>45093</c:v>
                </c:pt>
                <c:pt idx="629">
                  <c:v>45097</c:v>
                </c:pt>
                <c:pt idx="630">
                  <c:v>45098</c:v>
                </c:pt>
                <c:pt idx="631">
                  <c:v>45099</c:v>
                </c:pt>
                <c:pt idx="632">
                  <c:v>45100</c:v>
                </c:pt>
                <c:pt idx="633">
                  <c:v>45103</c:v>
                </c:pt>
                <c:pt idx="634">
                  <c:v>45104</c:v>
                </c:pt>
                <c:pt idx="635">
                  <c:v>45105</c:v>
                </c:pt>
                <c:pt idx="636">
                  <c:v>45106</c:v>
                </c:pt>
                <c:pt idx="637">
                  <c:v>45107</c:v>
                </c:pt>
                <c:pt idx="638">
                  <c:v>45110</c:v>
                </c:pt>
                <c:pt idx="639">
                  <c:v>45112</c:v>
                </c:pt>
                <c:pt idx="640">
                  <c:v>45113</c:v>
                </c:pt>
                <c:pt idx="641">
                  <c:v>45114</c:v>
                </c:pt>
                <c:pt idx="642">
                  <c:v>45117</c:v>
                </c:pt>
                <c:pt idx="643">
                  <c:v>45118</c:v>
                </c:pt>
                <c:pt idx="644">
                  <c:v>45119</c:v>
                </c:pt>
                <c:pt idx="645">
                  <c:v>45120</c:v>
                </c:pt>
                <c:pt idx="646">
                  <c:v>45121</c:v>
                </c:pt>
                <c:pt idx="647">
                  <c:v>45124</c:v>
                </c:pt>
                <c:pt idx="648">
                  <c:v>45125</c:v>
                </c:pt>
                <c:pt idx="649">
                  <c:v>45126</c:v>
                </c:pt>
                <c:pt idx="650">
                  <c:v>45127</c:v>
                </c:pt>
                <c:pt idx="651">
                  <c:v>45128</c:v>
                </c:pt>
                <c:pt idx="652">
                  <c:v>45131</c:v>
                </c:pt>
                <c:pt idx="653">
                  <c:v>45132</c:v>
                </c:pt>
                <c:pt idx="654">
                  <c:v>45133</c:v>
                </c:pt>
                <c:pt idx="655">
                  <c:v>45134</c:v>
                </c:pt>
                <c:pt idx="656">
                  <c:v>45135</c:v>
                </c:pt>
                <c:pt idx="657">
                  <c:v>45138</c:v>
                </c:pt>
                <c:pt idx="658">
                  <c:v>45139</c:v>
                </c:pt>
                <c:pt idx="659">
                  <c:v>45140</c:v>
                </c:pt>
                <c:pt idx="660">
                  <c:v>45141</c:v>
                </c:pt>
                <c:pt idx="661">
                  <c:v>45142</c:v>
                </c:pt>
                <c:pt idx="662">
                  <c:v>45145</c:v>
                </c:pt>
                <c:pt idx="663">
                  <c:v>45146</c:v>
                </c:pt>
                <c:pt idx="664">
                  <c:v>45147</c:v>
                </c:pt>
                <c:pt idx="665">
                  <c:v>45148</c:v>
                </c:pt>
                <c:pt idx="666">
                  <c:v>45149</c:v>
                </c:pt>
                <c:pt idx="667">
                  <c:v>45152</c:v>
                </c:pt>
                <c:pt idx="668">
                  <c:v>45153</c:v>
                </c:pt>
                <c:pt idx="669">
                  <c:v>45154</c:v>
                </c:pt>
                <c:pt idx="670">
                  <c:v>45155</c:v>
                </c:pt>
                <c:pt idx="671">
                  <c:v>45156</c:v>
                </c:pt>
                <c:pt idx="672">
                  <c:v>45159</c:v>
                </c:pt>
                <c:pt idx="673">
                  <c:v>45160</c:v>
                </c:pt>
                <c:pt idx="674">
                  <c:v>45161</c:v>
                </c:pt>
                <c:pt idx="675">
                  <c:v>45162</c:v>
                </c:pt>
                <c:pt idx="676">
                  <c:v>45163</c:v>
                </c:pt>
                <c:pt idx="677">
                  <c:v>45166</c:v>
                </c:pt>
                <c:pt idx="678">
                  <c:v>45167</c:v>
                </c:pt>
                <c:pt idx="679">
                  <c:v>45168</c:v>
                </c:pt>
                <c:pt idx="680">
                  <c:v>45169</c:v>
                </c:pt>
                <c:pt idx="681">
                  <c:v>45170</c:v>
                </c:pt>
                <c:pt idx="682">
                  <c:v>45174</c:v>
                </c:pt>
                <c:pt idx="683">
                  <c:v>45175</c:v>
                </c:pt>
                <c:pt idx="684">
                  <c:v>45176</c:v>
                </c:pt>
                <c:pt idx="685">
                  <c:v>45177</c:v>
                </c:pt>
                <c:pt idx="686">
                  <c:v>45180</c:v>
                </c:pt>
                <c:pt idx="687">
                  <c:v>45181</c:v>
                </c:pt>
                <c:pt idx="688">
                  <c:v>45182</c:v>
                </c:pt>
                <c:pt idx="689">
                  <c:v>45183</c:v>
                </c:pt>
                <c:pt idx="690">
                  <c:v>45184</c:v>
                </c:pt>
                <c:pt idx="691">
                  <c:v>45187</c:v>
                </c:pt>
                <c:pt idx="692">
                  <c:v>45188</c:v>
                </c:pt>
                <c:pt idx="693">
                  <c:v>45189</c:v>
                </c:pt>
                <c:pt idx="694">
                  <c:v>45190</c:v>
                </c:pt>
                <c:pt idx="695">
                  <c:v>45191</c:v>
                </c:pt>
                <c:pt idx="696">
                  <c:v>45194</c:v>
                </c:pt>
                <c:pt idx="697">
                  <c:v>45195</c:v>
                </c:pt>
                <c:pt idx="698">
                  <c:v>45196</c:v>
                </c:pt>
                <c:pt idx="699">
                  <c:v>45197</c:v>
                </c:pt>
                <c:pt idx="700">
                  <c:v>45198</c:v>
                </c:pt>
                <c:pt idx="701">
                  <c:v>45201</c:v>
                </c:pt>
                <c:pt idx="702">
                  <c:v>45202</c:v>
                </c:pt>
                <c:pt idx="703">
                  <c:v>45203</c:v>
                </c:pt>
                <c:pt idx="704">
                  <c:v>45204</c:v>
                </c:pt>
                <c:pt idx="705">
                  <c:v>45205</c:v>
                </c:pt>
                <c:pt idx="706">
                  <c:v>45208</c:v>
                </c:pt>
                <c:pt idx="707">
                  <c:v>45209</c:v>
                </c:pt>
                <c:pt idx="708">
                  <c:v>45210</c:v>
                </c:pt>
                <c:pt idx="709">
                  <c:v>45211</c:v>
                </c:pt>
                <c:pt idx="710">
                  <c:v>45212</c:v>
                </c:pt>
                <c:pt idx="711">
                  <c:v>45215</c:v>
                </c:pt>
                <c:pt idx="712">
                  <c:v>45216</c:v>
                </c:pt>
                <c:pt idx="713">
                  <c:v>45217</c:v>
                </c:pt>
                <c:pt idx="714">
                  <c:v>45218</c:v>
                </c:pt>
                <c:pt idx="715">
                  <c:v>45219</c:v>
                </c:pt>
                <c:pt idx="716">
                  <c:v>45222</c:v>
                </c:pt>
                <c:pt idx="717">
                  <c:v>45223</c:v>
                </c:pt>
                <c:pt idx="718">
                  <c:v>45224</c:v>
                </c:pt>
                <c:pt idx="719">
                  <c:v>45225</c:v>
                </c:pt>
                <c:pt idx="720">
                  <c:v>45226</c:v>
                </c:pt>
                <c:pt idx="721">
                  <c:v>45229</c:v>
                </c:pt>
                <c:pt idx="722">
                  <c:v>45230</c:v>
                </c:pt>
                <c:pt idx="723">
                  <c:v>45231</c:v>
                </c:pt>
                <c:pt idx="724">
                  <c:v>45232</c:v>
                </c:pt>
                <c:pt idx="725">
                  <c:v>45233</c:v>
                </c:pt>
                <c:pt idx="726">
                  <c:v>45236</c:v>
                </c:pt>
                <c:pt idx="727">
                  <c:v>45237</c:v>
                </c:pt>
                <c:pt idx="728">
                  <c:v>45238</c:v>
                </c:pt>
                <c:pt idx="729">
                  <c:v>45239</c:v>
                </c:pt>
                <c:pt idx="730">
                  <c:v>45240</c:v>
                </c:pt>
                <c:pt idx="731">
                  <c:v>45243</c:v>
                </c:pt>
                <c:pt idx="732">
                  <c:v>45244</c:v>
                </c:pt>
                <c:pt idx="733">
                  <c:v>45245</c:v>
                </c:pt>
                <c:pt idx="734">
                  <c:v>45246</c:v>
                </c:pt>
                <c:pt idx="735">
                  <c:v>45247</c:v>
                </c:pt>
                <c:pt idx="736">
                  <c:v>45250</c:v>
                </c:pt>
                <c:pt idx="737">
                  <c:v>45251</c:v>
                </c:pt>
                <c:pt idx="738">
                  <c:v>45252</c:v>
                </c:pt>
                <c:pt idx="739">
                  <c:v>45254</c:v>
                </c:pt>
                <c:pt idx="740">
                  <c:v>45257</c:v>
                </c:pt>
                <c:pt idx="741">
                  <c:v>45258</c:v>
                </c:pt>
                <c:pt idx="742">
                  <c:v>45259</c:v>
                </c:pt>
                <c:pt idx="743">
                  <c:v>45260</c:v>
                </c:pt>
                <c:pt idx="744">
                  <c:v>45261</c:v>
                </c:pt>
                <c:pt idx="745">
                  <c:v>45264</c:v>
                </c:pt>
                <c:pt idx="746">
                  <c:v>45265</c:v>
                </c:pt>
                <c:pt idx="747">
                  <c:v>45266</c:v>
                </c:pt>
                <c:pt idx="748">
                  <c:v>45267</c:v>
                </c:pt>
                <c:pt idx="749">
                  <c:v>45268</c:v>
                </c:pt>
                <c:pt idx="750">
                  <c:v>45271</c:v>
                </c:pt>
                <c:pt idx="751">
                  <c:v>45272</c:v>
                </c:pt>
                <c:pt idx="752">
                  <c:v>45273</c:v>
                </c:pt>
                <c:pt idx="753">
                  <c:v>45274</c:v>
                </c:pt>
                <c:pt idx="754">
                  <c:v>45275</c:v>
                </c:pt>
                <c:pt idx="755">
                  <c:v>45278</c:v>
                </c:pt>
                <c:pt idx="756">
                  <c:v>45279</c:v>
                </c:pt>
                <c:pt idx="757">
                  <c:v>45280</c:v>
                </c:pt>
                <c:pt idx="758">
                  <c:v>45281</c:v>
                </c:pt>
                <c:pt idx="759">
                  <c:v>45282</c:v>
                </c:pt>
                <c:pt idx="760">
                  <c:v>45286</c:v>
                </c:pt>
                <c:pt idx="761">
                  <c:v>45287</c:v>
                </c:pt>
                <c:pt idx="762">
                  <c:v>45288</c:v>
                </c:pt>
                <c:pt idx="763">
                  <c:v>45289</c:v>
                </c:pt>
                <c:pt idx="764">
                  <c:v>45293</c:v>
                </c:pt>
                <c:pt idx="765">
                  <c:v>45294</c:v>
                </c:pt>
                <c:pt idx="766">
                  <c:v>45295</c:v>
                </c:pt>
                <c:pt idx="767">
                  <c:v>45296</c:v>
                </c:pt>
                <c:pt idx="768">
                  <c:v>45299</c:v>
                </c:pt>
                <c:pt idx="769">
                  <c:v>45300</c:v>
                </c:pt>
                <c:pt idx="770">
                  <c:v>45301</c:v>
                </c:pt>
                <c:pt idx="771">
                  <c:v>45302</c:v>
                </c:pt>
                <c:pt idx="772">
                  <c:v>45303</c:v>
                </c:pt>
                <c:pt idx="773">
                  <c:v>45307</c:v>
                </c:pt>
                <c:pt idx="774">
                  <c:v>45308</c:v>
                </c:pt>
                <c:pt idx="775">
                  <c:v>45309</c:v>
                </c:pt>
                <c:pt idx="776">
                  <c:v>45310</c:v>
                </c:pt>
                <c:pt idx="777">
                  <c:v>45313</c:v>
                </c:pt>
                <c:pt idx="778">
                  <c:v>45314</c:v>
                </c:pt>
                <c:pt idx="779">
                  <c:v>45315</c:v>
                </c:pt>
                <c:pt idx="780">
                  <c:v>45316</c:v>
                </c:pt>
                <c:pt idx="781">
                  <c:v>45317</c:v>
                </c:pt>
                <c:pt idx="782">
                  <c:v>45320</c:v>
                </c:pt>
                <c:pt idx="783">
                  <c:v>45321</c:v>
                </c:pt>
                <c:pt idx="784">
                  <c:v>45322</c:v>
                </c:pt>
                <c:pt idx="785">
                  <c:v>45323</c:v>
                </c:pt>
                <c:pt idx="786">
                  <c:v>45324</c:v>
                </c:pt>
                <c:pt idx="787">
                  <c:v>45327</c:v>
                </c:pt>
                <c:pt idx="788">
                  <c:v>45328</c:v>
                </c:pt>
                <c:pt idx="789">
                  <c:v>45329</c:v>
                </c:pt>
                <c:pt idx="790">
                  <c:v>45330</c:v>
                </c:pt>
                <c:pt idx="791">
                  <c:v>45331</c:v>
                </c:pt>
                <c:pt idx="792">
                  <c:v>45334</c:v>
                </c:pt>
                <c:pt idx="793">
                  <c:v>45335</c:v>
                </c:pt>
                <c:pt idx="794">
                  <c:v>45336</c:v>
                </c:pt>
                <c:pt idx="795">
                  <c:v>45337</c:v>
                </c:pt>
                <c:pt idx="796">
                  <c:v>45338</c:v>
                </c:pt>
                <c:pt idx="797">
                  <c:v>45342</c:v>
                </c:pt>
                <c:pt idx="798">
                  <c:v>45343</c:v>
                </c:pt>
                <c:pt idx="799">
                  <c:v>45344</c:v>
                </c:pt>
                <c:pt idx="800">
                  <c:v>45345</c:v>
                </c:pt>
                <c:pt idx="801">
                  <c:v>45348</c:v>
                </c:pt>
                <c:pt idx="802">
                  <c:v>45349</c:v>
                </c:pt>
                <c:pt idx="803">
                  <c:v>45350</c:v>
                </c:pt>
                <c:pt idx="804">
                  <c:v>45351</c:v>
                </c:pt>
                <c:pt idx="805">
                  <c:v>45352</c:v>
                </c:pt>
                <c:pt idx="806">
                  <c:v>45355</c:v>
                </c:pt>
                <c:pt idx="807">
                  <c:v>45356</c:v>
                </c:pt>
                <c:pt idx="808">
                  <c:v>45357</c:v>
                </c:pt>
                <c:pt idx="809">
                  <c:v>45358</c:v>
                </c:pt>
                <c:pt idx="810">
                  <c:v>45359</c:v>
                </c:pt>
                <c:pt idx="811">
                  <c:v>45362</c:v>
                </c:pt>
                <c:pt idx="812">
                  <c:v>45363</c:v>
                </c:pt>
                <c:pt idx="813">
                  <c:v>45364</c:v>
                </c:pt>
                <c:pt idx="814">
                  <c:v>45365</c:v>
                </c:pt>
                <c:pt idx="815">
                  <c:v>45366</c:v>
                </c:pt>
                <c:pt idx="816">
                  <c:v>45369</c:v>
                </c:pt>
                <c:pt idx="817">
                  <c:v>45370</c:v>
                </c:pt>
                <c:pt idx="818">
                  <c:v>45371</c:v>
                </c:pt>
                <c:pt idx="819">
                  <c:v>45372</c:v>
                </c:pt>
                <c:pt idx="820">
                  <c:v>45373</c:v>
                </c:pt>
                <c:pt idx="821">
                  <c:v>45376</c:v>
                </c:pt>
                <c:pt idx="822">
                  <c:v>45377</c:v>
                </c:pt>
                <c:pt idx="823">
                  <c:v>45378</c:v>
                </c:pt>
                <c:pt idx="824">
                  <c:v>45379</c:v>
                </c:pt>
                <c:pt idx="825">
                  <c:v>45383</c:v>
                </c:pt>
                <c:pt idx="826">
                  <c:v>45384</c:v>
                </c:pt>
                <c:pt idx="827">
                  <c:v>45385</c:v>
                </c:pt>
                <c:pt idx="828">
                  <c:v>45386</c:v>
                </c:pt>
                <c:pt idx="829">
                  <c:v>45387</c:v>
                </c:pt>
                <c:pt idx="830">
                  <c:v>45390</c:v>
                </c:pt>
                <c:pt idx="831">
                  <c:v>45391</c:v>
                </c:pt>
                <c:pt idx="832">
                  <c:v>45392</c:v>
                </c:pt>
                <c:pt idx="833">
                  <c:v>45393</c:v>
                </c:pt>
                <c:pt idx="834">
                  <c:v>45394</c:v>
                </c:pt>
                <c:pt idx="835">
                  <c:v>45397</c:v>
                </c:pt>
                <c:pt idx="836">
                  <c:v>45398</c:v>
                </c:pt>
                <c:pt idx="837">
                  <c:v>45399</c:v>
                </c:pt>
                <c:pt idx="838">
                  <c:v>45400</c:v>
                </c:pt>
                <c:pt idx="839">
                  <c:v>45401</c:v>
                </c:pt>
                <c:pt idx="840">
                  <c:v>45404</c:v>
                </c:pt>
                <c:pt idx="841">
                  <c:v>45405</c:v>
                </c:pt>
                <c:pt idx="842">
                  <c:v>45406</c:v>
                </c:pt>
                <c:pt idx="843">
                  <c:v>45407</c:v>
                </c:pt>
                <c:pt idx="844">
                  <c:v>45408</c:v>
                </c:pt>
                <c:pt idx="845">
                  <c:v>45411</c:v>
                </c:pt>
                <c:pt idx="846">
                  <c:v>45412</c:v>
                </c:pt>
                <c:pt idx="847">
                  <c:v>45413</c:v>
                </c:pt>
                <c:pt idx="848">
                  <c:v>45414</c:v>
                </c:pt>
                <c:pt idx="849">
                  <c:v>45415</c:v>
                </c:pt>
                <c:pt idx="850">
                  <c:v>45418</c:v>
                </c:pt>
                <c:pt idx="851">
                  <c:v>45419</c:v>
                </c:pt>
                <c:pt idx="852">
                  <c:v>45420</c:v>
                </c:pt>
                <c:pt idx="853">
                  <c:v>45421</c:v>
                </c:pt>
                <c:pt idx="854">
                  <c:v>45422</c:v>
                </c:pt>
                <c:pt idx="855">
                  <c:v>45425</c:v>
                </c:pt>
                <c:pt idx="856">
                  <c:v>45426</c:v>
                </c:pt>
                <c:pt idx="857">
                  <c:v>45427</c:v>
                </c:pt>
                <c:pt idx="858">
                  <c:v>45428</c:v>
                </c:pt>
                <c:pt idx="859">
                  <c:v>45429</c:v>
                </c:pt>
                <c:pt idx="860">
                  <c:v>45432</c:v>
                </c:pt>
                <c:pt idx="861">
                  <c:v>45433</c:v>
                </c:pt>
                <c:pt idx="862">
                  <c:v>45434</c:v>
                </c:pt>
                <c:pt idx="863">
                  <c:v>45435</c:v>
                </c:pt>
                <c:pt idx="864">
                  <c:v>45436</c:v>
                </c:pt>
                <c:pt idx="865">
                  <c:v>45440</c:v>
                </c:pt>
                <c:pt idx="866">
                  <c:v>45441</c:v>
                </c:pt>
                <c:pt idx="867">
                  <c:v>45442</c:v>
                </c:pt>
                <c:pt idx="868">
                  <c:v>45443</c:v>
                </c:pt>
                <c:pt idx="869">
                  <c:v>45446</c:v>
                </c:pt>
                <c:pt idx="870">
                  <c:v>45447</c:v>
                </c:pt>
                <c:pt idx="871">
                  <c:v>45448</c:v>
                </c:pt>
                <c:pt idx="872">
                  <c:v>45449</c:v>
                </c:pt>
                <c:pt idx="873">
                  <c:v>45450</c:v>
                </c:pt>
                <c:pt idx="874">
                  <c:v>45453</c:v>
                </c:pt>
                <c:pt idx="875">
                  <c:v>45454</c:v>
                </c:pt>
                <c:pt idx="876">
                  <c:v>45455</c:v>
                </c:pt>
                <c:pt idx="877">
                  <c:v>45456</c:v>
                </c:pt>
                <c:pt idx="878">
                  <c:v>45457</c:v>
                </c:pt>
                <c:pt idx="879">
                  <c:v>45460</c:v>
                </c:pt>
                <c:pt idx="880">
                  <c:v>45461</c:v>
                </c:pt>
                <c:pt idx="881">
                  <c:v>45463</c:v>
                </c:pt>
                <c:pt idx="882">
                  <c:v>45464</c:v>
                </c:pt>
                <c:pt idx="883">
                  <c:v>45467</c:v>
                </c:pt>
                <c:pt idx="884">
                  <c:v>45468</c:v>
                </c:pt>
                <c:pt idx="885">
                  <c:v>45469</c:v>
                </c:pt>
                <c:pt idx="886">
                  <c:v>45470</c:v>
                </c:pt>
                <c:pt idx="887">
                  <c:v>45471</c:v>
                </c:pt>
                <c:pt idx="888">
                  <c:v>45474</c:v>
                </c:pt>
                <c:pt idx="889">
                  <c:v>45475</c:v>
                </c:pt>
                <c:pt idx="890">
                  <c:v>45476</c:v>
                </c:pt>
                <c:pt idx="891">
                  <c:v>45478</c:v>
                </c:pt>
                <c:pt idx="892">
                  <c:v>45481</c:v>
                </c:pt>
                <c:pt idx="893">
                  <c:v>45482</c:v>
                </c:pt>
                <c:pt idx="894">
                  <c:v>45483</c:v>
                </c:pt>
                <c:pt idx="895">
                  <c:v>45484</c:v>
                </c:pt>
                <c:pt idx="896">
                  <c:v>45485</c:v>
                </c:pt>
                <c:pt idx="897">
                  <c:v>45488</c:v>
                </c:pt>
                <c:pt idx="898">
                  <c:v>45489</c:v>
                </c:pt>
                <c:pt idx="899">
                  <c:v>45490</c:v>
                </c:pt>
                <c:pt idx="900">
                  <c:v>45491</c:v>
                </c:pt>
                <c:pt idx="901">
                  <c:v>45492</c:v>
                </c:pt>
                <c:pt idx="902">
                  <c:v>45495</c:v>
                </c:pt>
                <c:pt idx="903">
                  <c:v>45496</c:v>
                </c:pt>
                <c:pt idx="904">
                  <c:v>45497</c:v>
                </c:pt>
                <c:pt idx="905">
                  <c:v>45498</c:v>
                </c:pt>
                <c:pt idx="906">
                  <c:v>45499</c:v>
                </c:pt>
                <c:pt idx="907">
                  <c:v>45502</c:v>
                </c:pt>
                <c:pt idx="908">
                  <c:v>45503</c:v>
                </c:pt>
                <c:pt idx="909">
                  <c:v>45504</c:v>
                </c:pt>
                <c:pt idx="910">
                  <c:v>45505</c:v>
                </c:pt>
                <c:pt idx="911">
                  <c:v>45506</c:v>
                </c:pt>
                <c:pt idx="912">
                  <c:v>45509</c:v>
                </c:pt>
                <c:pt idx="913">
                  <c:v>45510</c:v>
                </c:pt>
                <c:pt idx="914">
                  <c:v>45511</c:v>
                </c:pt>
                <c:pt idx="915">
                  <c:v>45512</c:v>
                </c:pt>
                <c:pt idx="916">
                  <c:v>45513</c:v>
                </c:pt>
                <c:pt idx="917">
                  <c:v>45516</c:v>
                </c:pt>
                <c:pt idx="918">
                  <c:v>45517</c:v>
                </c:pt>
                <c:pt idx="919">
                  <c:v>45518</c:v>
                </c:pt>
                <c:pt idx="920">
                  <c:v>45519</c:v>
                </c:pt>
                <c:pt idx="921">
                  <c:v>45520</c:v>
                </c:pt>
                <c:pt idx="922">
                  <c:v>45523</c:v>
                </c:pt>
                <c:pt idx="923">
                  <c:v>45524</c:v>
                </c:pt>
                <c:pt idx="924">
                  <c:v>45525</c:v>
                </c:pt>
                <c:pt idx="925">
                  <c:v>45526</c:v>
                </c:pt>
                <c:pt idx="926">
                  <c:v>45527</c:v>
                </c:pt>
                <c:pt idx="927">
                  <c:v>45530</c:v>
                </c:pt>
                <c:pt idx="928">
                  <c:v>45531</c:v>
                </c:pt>
                <c:pt idx="929">
                  <c:v>45532</c:v>
                </c:pt>
                <c:pt idx="930">
                  <c:v>45533</c:v>
                </c:pt>
                <c:pt idx="931">
                  <c:v>45534</c:v>
                </c:pt>
                <c:pt idx="932">
                  <c:v>45538</c:v>
                </c:pt>
                <c:pt idx="933">
                  <c:v>45539</c:v>
                </c:pt>
                <c:pt idx="934">
                  <c:v>45540</c:v>
                </c:pt>
                <c:pt idx="935">
                  <c:v>45541</c:v>
                </c:pt>
                <c:pt idx="936">
                  <c:v>45544</c:v>
                </c:pt>
                <c:pt idx="937">
                  <c:v>45545</c:v>
                </c:pt>
                <c:pt idx="938">
                  <c:v>45546</c:v>
                </c:pt>
                <c:pt idx="939">
                  <c:v>45547</c:v>
                </c:pt>
                <c:pt idx="940">
                  <c:v>45548</c:v>
                </c:pt>
                <c:pt idx="941">
                  <c:v>45551</c:v>
                </c:pt>
                <c:pt idx="942">
                  <c:v>45552</c:v>
                </c:pt>
                <c:pt idx="943">
                  <c:v>45553</c:v>
                </c:pt>
                <c:pt idx="944">
                  <c:v>45554</c:v>
                </c:pt>
                <c:pt idx="945">
                  <c:v>45555</c:v>
                </c:pt>
                <c:pt idx="946">
                  <c:v>45558</c:v>
                </c:pt>
                <c:pt idx="947">
                  <c:v>45559</c:v>
                </c:pt>
                <c:pt idx="948">
                  <c:v>45560</c:v>
                </c:pt>
                <c:pt idx="949">
                  <c:v>45561</c:v>
                </c:pt>
                <c:pt idx="950">
                  <c:v>45562</c:v>
                </c:pt>
                <c:pt idx="951">
                  <c:v>45565</c:v>
                </c:pt>
                <c:pt idx="952">
                  <c:v>45566</c:v>
                </c:pt>
                <c:pt idx="953">
                  <c:v>45567</c:v>
                </c:pt>
                <c:pt idx="954">
                  <c:v>45568</c:v>
                </c:pt>
                <c:pt idx="955">
                  <c:v>45569</c:v>
                </c:pt>
                <c:pt idx="956">
                  <c:v>45572</c:v>
                </c:pt>
                <c:pt idx="957">
                  <c:v>45573</c:v>
                </c:pt>
                <c:pt idx="958">
                  <c:v>45574</c:v>
                </c:pt>
                <c:pt idx="959">
                  <c:v>45575</c:v>
                </c:pt>
                <c:pt idx="960">
                  <c:v>45576</c:v>
                </c:pt>
                <c:pt idx="961">
                  <c:v>45579</c:v>
                </c:pt>
                <c:pt idx="962">
                  <c:v>45580</c:v>
                </c:pt>
                <c:pt idx="963">
                  <c:v>45581</c:v>
                </c:pt>
                <c:pt idx="964">
                  <c:v>45582</c:v>
                </c:pt>
                <c:pt idx="965">
                  <c:v>45583</c:v>
                </c:pt>
                <c:pt idx="966">
                  <c:v>45586</c:v>
                </c:pt>
                <c:pt idx="967">
                  <c:v>45587</c:v>
                </c:pt>
                <c:pt idx="968">
                  <c:v>45588</c:v>
                </c:pt>
                <c:pt idx="969">
                  <c:v>45589</c:v>
                </c:pt>
                <c:pt idx="970">
                  <c:v>45590</c:v>
                </c:pt>
                <c:pt idx="971">
                  <c:v>45593</c:v>
                </c:pt>
                <c:pt idx="972">
                  <c:v>45594</c:v>
                </c:pt>
                <c:pt idx="973">
                  <c:v>45595</c:v>
                </c:pt>
                <c:pt idx="974">
                  <c:v>45596</c:v>
                </c:pt>
                <c:pt idx="975">
                  <c:v>45597</c:v>
                </c:pt>
                <c:pt idx="976">
                  <c:v>45600</c:v>
                </c:pt>
                <c:pt idx="977">
                  <c:v>45601</c:v>
                </c:pt>
                <c:pt idx="978">
                  <c:v>45602</c:v>
                </c:pt>
                <c:pt idx="979">
                  <c:v>45603</c:v>
                </c:pt>
                <c:pt idx="980">
                  <c:v>45604</c:v>
                </c:pt>
                <c:pt idx="981">
                  <c:v>45607</c:v>
                </c:pt>
                <c:pt idx="982">
                  <c:v>45608</c:v>
                </c:pt>
                <c:pt idx="983">
                  <c:v>45609</c:v>
                </c:pt>
                <c:pt idx="984">
                  <c:v>45610</c:v>
                </c:pt>
                <c:pt idx="985">
                  <c:v>45611</c:v>
                </c:pt>
                <c:pt idx="986">
                  <c:v>45614</c:v>
                </c:pt>
                <c:pt idx="987">
                  <c:v>45615</c:v>
                </c:pt>
                <c:pt idx="988">
                  <c:v>45616</c:v>
                </c:pt>
                <c:pt idx="989">
                  <c:v>45617</c:v>
                </c:pt>
                <c:pt idx="990">
                  <c:v>45618</c:v>
                </c:pt>
                <c:pt idx="991">
                  <c:v>45621</c:v>
                </c:pt>
                <c:pt idx="992">
                  <c:v>45622</c:v>
                </c:pt>
                <c:pt idx="993">
                  <c:v>45623</c:v>
                </c:pt>
                <c:pt idx="994">
                  <c:v>45625</c:v>
                </c:pt>
                <c:pt idx="995">
                  <c:v>45628</c:v>
                </c:pt>
                <c:pt idx="996">
                  <c:v>45629</c:v>
                </c:pt>
                <c:pt idx="997">
                  <c:v>45630</c:v>
                </c:pt>
                <c:pt idx="998">
                  <c:v>45631</c:v>
                </c:pt>
                <c:pt idx="999">
                  <c:v>45632</c:v>
                </c:pt>
                <c:pt idx="1000">
                  <c:v>45635</c:v>
                </c:pt>
                <c:pt idx="1001">
                  <c:v>45636</c:v>
                </c:pt>
                <c:pt idx="1002">
                  <c:v>45637</c:v>
                </c:pt>
                <c:pt idx="1003">
                  <c:v>45638</c:v>
                </c:pt>
                <c:pt idx="1004">
                  <c:v>45639</c:v>
                </c:pt>
                <c:pt idx="1005">
                  <c:v>45642</c:v>
                </c:pt>
                <c:pt idx="1006">
                  <c:v>45643</c:v>
                </c:pt>
                <c:pt idx="1007">
                  <c:v>45644</c:v>
                </c:pt>
                <c:pt idx="1008">
                  <c:v>45645</c:v>
                </c:pt>
                <c:pt idx="1009">
                  <c:v>45646</c:v>
                </c:pt>
                <c:pt idx="1010">
                  <c:v>45649</c:v>
                </c:pt>
                <c:pt idx="1011">
                  <c:v>45650</c:v>
                </c:pt>
                <c:pt idx="1012">
                  <c:v>45652</c:v>
                </c:pt>
                <c:pt idx="1013">
                  <c:v>45653</c:v>
                </c:pt>
                <c:pt idx="1014">
                  <c:v>45656</c:v>
                </c:pt>
                <c:pt idx="1015">
                  <c:v>45657</c:v>
                </c:pt>
                <c:pt idx="1016">
                  <c:v>45659</c:v>
                </c:pt>
                <c:pt idx="1017">
                  <c:v>45660</c:v>
                </c:pt>
                <c:pt idx="1018">
                  <c:v>45663</c:v>
                </c:pt>
                <c:pt idx="1019">
                  <c:v>45664</c:v>
                </c:pt>
                <c:pt idx="1020">
                  <c:v>45665</c:v>
                </c:pt>
                <c:pt idx="1021">
                  <c:v>45667</c:v>
                </c:pt>
                <c:pt idx="1022">
                  <c:v>45670</c:v>
                </c:pt>
                <c:pt idx="1023">
                  <c:v>45671</c:v>
                </c:pt>
                <c:pt idx="1024">
                  <c:v>45672</c:v>
                </c:pt>
                <c:pt idx="1025">
                  <c:v>45673</c:v>
                </c:pt>
                <c:pt idx="1026">
                  <c:v>45674</c:v>
                </c:pt>
                <c:pt idx="1027">
                  <c:v>45678</c:v>
                </c:pt>
                <c:pt idx="1028">
                  <c:v>45679</c:v>
                </c:pt>
                <c:pt idx="1029">
                  <c:v>45680</c:v>
                </c:pt>
                <c:pt idx="1030">
                  <c:v>45681</c:v>
                </c:pt>
                <c:pt idx="1031">
                  <c:v>45684</c:v>
                </c:pt>
                <c:pt idx="1032">
                  <c:v>45685</c:v>
                </c:pt>
                <c:pt idx="1033">
                  <c:v>45686</c:v>
                </c:pt>
                <c:pt idx="1034">
                  <c:v>45687</c:v>
                </c:pt>
                <c:pt idx="1035">
                  <c:v>45688</c:v>
                </c:pt>
                <c:pt idx="1036">
                  <c:v>45691</c:v>
                </c:pt>
                <c:pt idx="1037">
                  <c:v>45692</c:v>
                </c:pt>
                <c:pt idx="1038">
                  <c:v>45693</c:v>
                </c:pt>
                <c:pt idx="1039">
                  <c:v>45694</c:v>
                </c:pt>
                <c:pt idx="1040">
                  <c:v>45695</c:v>
                </c:pt>
                <c:pt idx="1041">
                  <c:v>45698</c:v>
                </c:pt>
                <c:pt idx="1042">
                  <c:v>45699</c:v>
                </c:pt>
                <c:pt idx="1043">
                  <c:v>45700</c:v>
                </c:pt>
                <c:pt idx="1044">
                  <c:v>45701</c:v>
                </c:pt>
                <c:pt idx="1045">
                  <c:v>45702</c:v>
                </c:pt>
                <c:pt idx="1046">
                  <c:v>45706</c:v>
                </c:pt>
                <c:pt idx="1047">
                  <c:v>45707</c:v>
                </c:pt>
                <c:pt idx="1048">
                  <c:v>45708</c:v>
                </c:pt>
                <c:pt idx="1049">
                  <c:v>45709</c:v>
                </c:pt>
                <c:pt idx="1050">
                  <c:v>45712</c:v>
                </c:pt>
                <c:pt idx="1051">
                  <c:v>45713</c:v>
                </c:pt>
                <c:pt idx="1052">
                  <c:v>45714</c:v>
                </c:pt>
                <c:pt idx="1053">
                  <c:v>45715</c:v>
                </c:pt>
                <c:pt idx="1054">
                  <c:v>45716</c:v>
                </c:pt>
                <c:pt idx="1055">
                  <c:v>45719</c:v>
                </c:pt>
                <c:pt idx="1056">
                  <c:v>45720</c:v>
                </c:pt>
                <c:pt idx="1057">
                  <c:v>45721</c:v>
                </c:pt>
                <c:pt idx="1058">
                  <c:v>45722</c:v>
                </c:pt>
                <c:pt idx="1059">
                  <c:v>45723</c:v>
                </c:pt>
                <c:pt idx="1060">
                  <c:v>45726</c:v>
                </c:pt>
                <c:pt idx="1061">
                  <c:v>45727</c:v>
                </c:pt>
                <c:pt idx="1062">
                  <c:v>45728</c:v>
                </c:pt>
                <c:pt idx="1063">
                  <c:v>45729</c:v>
                </c:pt>
                <c:pt idx="1064">
                  <c:v>45730</c:v>
                </c:pt>
                <c:pt idx="1065">
                  <c:v>45733</c:v>
                </c:pt>
                <c:pt idx="1066">
                  <c:v>45734</c:v>
                </c:pt>
                <c:pt idx="1067">
                  <c:v>45735</c:v>
                </c:pt>
                <c:pt idx="1068">
                  <c:v>45736</c:v>
                </c:pt>
                <c:pt idx="1069">
                  <c:v>45737</c:v>
                </c:pt>
                <c:pt idx="1070">
                  <c:v>45740</c:v>
                </c:pt>
                <c:pt idx="1071">
                  <c:v>45741</c:v>
                </c:pt>
                <c:pt idx="1072">
                  <c:v>45742</c:v>
                </c:pt>
                <c:pt idx="1073">
                  <c:v>45743</c:v>
                </c:pt>
                <c:pt idx="1074">
                  <c:v>45744</c:v>
                </c:pt>
                <c:pt idx="1075">
                  <c:v>45747</c:v>
                </c:pt>
                <c:pt idx="1076">
                  <c:v>45748</c:v>
                </c:pt>
                <c:pt idx="1077">
                  <c:v>45749</c:v>
                </c:pt>
                <c:pt idx="1078">
                  <c:v>45750</c:v>
                </c:pt>
                <c:pt idx="1079">
                  <c:v>45751</c:v>
                </c:pt>
                <c:pt idx="1080">
                  <c:v>45754</c:v>
                </c:pt>
                <c:pt idx="1081">
                  <c:v>45755</c:v>
                </c:pt>
                <c:pt idx="1082">
                  <c:v>45756</c:v>
                </c:pt>
                <c:pt idx="1083">
                  <c:v>45757</c:v>
                </c:pt>
                <c:pt idx="1084">
                  <c:v>45758</c:v>
                </c:pt>
                <c:pt idx="1085">
                  <c:v>45761</c:v>
                </c:pt>
                <c:pt idx="1086">
                  <c:v>45762</c:v>
                </c:pt>
                <c:pt idx="1087">
                  <c:v>45763</c:v>
                </c:pt>
                <c:pt idx="1088">
                  <c:v>45764</c:v>
                </c:pt>
                <c:pt idx="1089">
                  <c:v>45768</c:v>
                </c:pt>
                <c:pt idx="1090">
                  <c:v>45769</c:v>
                </c:pt>
                <c:pt idx="1091">
                  <c:v>45770</c:v>
                </c:pt>
                <c:pt idx="1092">
                  <c:v>45771</c:v>
                </c:pt>
                <c:pt idx="1093">
                  <c:v>45772</c:v>
                </c:pt>
                <c:pt idx="1094">
                  <c:v>45775</c:v>
                </c:pt>
                <c:pt idx="1095">
                  <c:v>45776</c:v>
                </c:pt>
                <c:pt idx="1096">
                  <c:v>45777</c:v>
                </c:pt>
                <c:pt idx="1097">
                  <c:v>45778</c:v>
                </c:pt>
                <c:pt idx="1098">
                  <c:v>45779</c:v>
                </c:pt>
                <c:pt idx="1099">
                  <c:v>45782</c:v>
                </c:pt>
                <c:pt idx="1100">
                  <c:v>45783</c:v>
                </c:pt>
                <c:pt idx="1101">
                  <c:v>45784</c:v>
                </c:pt>
                <c:pt idx="1102">
                  <c:v>45785</c:v>
                </c:pt>
                <c:pt idx="1103">
                  <c:v>45786</c:v>
                </c:pt>
                <c:pt idx="1104">
                  <c:v>45789</c:v>
                </c:pt>
                <c:pt idx="1105">
                  <c:v>45790</c:v>
                </c:pt>
                <c:pt idx="1106">
                  <c:v>45791</c:v>
                </c:pt>
                <c:pt idx="1107">
                  <c:v>45792</c:v>
                </c:pt>
                <c:pt idx="1108">
                  <c:v>45793</c:v>
                </c:pt>
                <c:pt idx="1109">
                  <c:v>45796</c:v>
                </c:pt>
                <c:pt idx="1110">
                  <c:v>45797</c:v>
                </c:pt>
                <c:pt idx="1111">
                  <c:v>45798</c:v>
                </c:pt>
                <c:pt idx="1112">
                  <c:v>45799</c:v>
                </c:pt>
                <c:pt idx="1113">
                  <c:v>45800</c:v>
                </c:pt>
                <c:pt idx="1114">
                  <c:v>45804</c:v>
                </c:pt>
                <c:pt idx="1115">
                  <c:v>45805</c:v>
                </c:pt>
                <c:pt idx="1116">
                  <c:v>45806</c:v>
                </c:pt>
                <c:pt idx="1117">
                  <c:v>45807</c:v>
                </c:pt>
                <c:pt idx="1118">
                  <c:v>45810</c:v>
                </c:pt>
                <c:pt idx="1119">
                  <c:v>45811</c:v>
                </c:pt>
                <c:pt idx="1120">
                  <c:v>45812</c:v>
                </c:pt>
                <c:pt idx="1121">
                  <c:v>45813</c:v>
                </c:pt>
                <c:pt idx="1122">
                  <c:v>45814</c:v>
                </c:pt>
                <c:pt idx="1123">
                  <c:v>45817</c:v>
                </c:pt>
                <c:pt idx="1124">
                  <c:v>45818</c:v>
                </c:pt>
                <c:pt idx="1125">
                  <c:v>45819</c:v>
                </c:pt>
                <c:pt idx="1126">
                  <c:v>45820</c:v>
                </c:pt>
                <c:pt idx="1127">
                  <c:v>45821</c:v>
                </c:pt>
                <c:pt idx="1128">
                  <c:v>45824</c:v>
                </c:pt>
                <c:pt idx="1129">
                  <c:v>45825</c:v>
                </c:pt>
                <c:pt idx="1130">
                  <c:v>45826</c:v>
                </c:pt>
                <c:pt idx="1131">
                  <c:v>45828</c:v>
                </c:pt>
                <c:pt idx="1132">
                  <c:v>45831</c:v>
                </c:pt>
                <c:pt idx="1133">
                  <c:v>45832</c:v>
                </c:pt>
                <c:pt idx="1134">
                  <c:v>45833</c:v>
                </c:pt>
                <c:pt idx="1135">
                  <c:v>45834</c:v>
                </c:pt>
                <c:pt idx="1136">
                  <c:v>45835</c:v>
                </c:pt>
                <c:pt idx="1137">
                  <c:v>45838</c:v>
                </c:pt>
                <c:pt idx="1138">
                  <c:v>45839</c:v>
                </c:pt>
                <c:pt idx="1139">
                  <c:v>45840</c:v>
                </c:pt>
                <c:pt idx="1140">
                  <c:v>45841</c:v>
                </c:pt>
                <c:pt idx="1141">
                  <c:v>45845</c:v>
                </c:pt>
                <c:pt idx="1142">
                  <c:v>45846</c:v>
                </c:pt>
                <c:pt idx="1143">
                  <c:v>45847</c:v>
                </c:pt>
                <c:pt idx="1144">
                  <c:v>45848</c:v>
                </c:pt>
                <c:pt idx="1145">
                  <c:v>45849</c:v>
                </c:pt>
                <c:pt idx="1146">
                  <c:v>45852</c:v>
                </c:pt>
                <c:pt idx="1147">
                  <c:v>45853</c:v>
                </c:pt>
                <c:pt idx="1148">
                  <c:v>45854</c:v>
                </c:pt>
                <c:pt idx="1149">
                  <c:v>45855</c:v>
                </c:pt>
                <c:pt idx="1150">
                  <c:v>45856</c:v>
                </c:pt>
                <c:pt idx="1151">
                  <c:v>45859</c:v>
                </c:pt>
                <c:pt idx="1152">
                  <c:v>45860</c:v>
                </c:pt>
                <c:pt idx="1153">
                  <c:v>45861</c:v>
                </c:pt>
                <c:pt idx="1154">
                  <c:v>45862</c:v>
                </c:pt>
                <c:pt idx="1155">
                  <c:v>45863</c:v>
                </c:pt>
                <c:pt idx="1156">
                  <c:v>45866</c:v>
                </c:pt>
                <c:pt idx="1157">
                  <c:v>45867</c:v>
                </c:pt>
                <c:pt idx="1158">
                  <c:v>45868</c:v>
                </c:pt>
                <c:pt idx="1159">
                  <c:v>45869</c:v>
                </c:pt>
                <c:pt idx="1160">
                  <c:v>45870</c:v>
                </c:pt>
                <c:pt idx="1161">
                  <c:v>45873</c:v>
                </c:pt>
                <c:pt idx="1162">
                  <c:v>45874</c:v>
                </c:pt>
                <c:pt idx="1163">
                  <c:v>45875</c:v>
                </c:pt>
                <c:pt idx="1164">
                  <c:v>45876</c:v>
                </c:pt>
                <c:pt idx="1165">
                  <c:v>45877</c:v>
                </c:pt>
                <c:pt idx="1166">
                  <c:v>45880</c:v>
                </c:pt>
                <c:pt idx="1167">
                  <c:v>45881</c:v>
                </c:pt>
                <c:pt idx="1168">
                  <c:v>45882</c:v>
                </c:pt>
                <c:pt idx="1169">
                  <c:v>45883</c:v>
                </c:pt>
                <c:pt idx="1170">
                  <c:v>45884</c:v>
                </c:pt>
                <c:pt idx="1171">
                  <c:v>45887</c:v>
                </c:pt>
                <c:pt idx="1172">
                  <c:v>45888</c:v>
                </c:pt>
                <c:pt idx="1173">
                  <c:v>45889</c:v>
                </c:pt>
                <c:pt idx="1174">
                  <c:v>45890</c:v>
                </c:pt>
                <c:pt idx="1175">
                  <c:v>45891</c:v>
                </c:pt>
                <c:pt idx="1176">
                  <c:v>45894</c:v>
                </c:pt>
                <c:pt idx="1177">
                  <c:v>45895</c:v>
                </c:pt>
                <c:pt idx="1178">
                  <c:v>45896</c:v>
                </c:pt>
                <c:pt idx="1179">
                  <c:v>45897</c:v>
                </c:pt>
                <c:pt idx="1180">
                  <c:v>45898</c:v>
                </c:pt>
                <c:pt idx="1181">
                  <c:v>45902</c:v>
                </c:pt>
                <c:pt idx="1182">
                  <c:v>45903</c:v>
                </c:pt>
                <c:pt idx="1183">
                  <c:v>45904</c:v>
                </c:pt>
                <c:pt idx="1184">
                  <c:v>45905</c:v>
                </c:pt>
                <c:pt idx="1185">
                  <c:v>45908</c:v>
                </c:pt>
                <c:pt idx="1186">
                  <c:v>45909</c:v>
                </c:pt>
                <c:pt idx="1187">
                  <c:v>45910</c:v>
                </c:pt>
                <c:pt idx="1188">
                  <c:v>45911</c:v>
                </c:pt>
                <c:pt idx="1189">
                  <c:v>45912</c:v>
                </c:pt>
                <c:pt idx="1190">
                  <c:v>45915</c:v>
                </c:pt>
                <c:pt idx="1191">
                  <c:v>45916</c:v>
                </c:pt>
                <c:pt idx="1192">
                  <c:v>45917</c:v>
                </c:pt>
                <c:pt idx="1193">
                  <c:v>45918</c:v>
                </c:pt>
                <c:pt idx="1194">
                  <c:v>45919</c:v>
                </c:pt>
                <c:pt idx="1195">
                  <c:v>45922</c:v>
                </c:pt>
                <c:pt idx="1196">
                  <c:v>45923</c:v>
                </c:pt>
                <c:pt idx="1197">
                  <c:v>45924</c:v>
                </c:pt>
                <c:pt idx="1198">
                  <c:v>45925</c:v>
                </c:pt>
                <c:pt idx="1199">
                  <c:v>45926</c:v>
                </c:pt>
                <c:pt idx="1200">
                  <c:v>45929</c:v>
                </c:pt>
                <c:pt idx="1201">
                  <c:v>45930</c:v>
                </c:pt>
                <c:pt idx="1202">
                  <c:v>45931</c:v>
                </c:pt>
                <c:pt idx="1203">
                  <c:v>45932</c:v>
                </c:pt>
                <c:pt idx="1204">
                  <c:v>45933</c:v>
                </c:pt>
                <c:pt idx="1205">
                  <c:v>45936</c:v>
                </c:pt>
                <c:pt idx="1206">
                  <c:v>45937</c:v>
                </c:pt>
                <c:pt idx="1207">
                  <c:v>45938</c:v>
                </c:pt>
                <c:pt idx="1208">
                  <c:v>45939</c:v>
                </c:pt>
                <c:pt idx="1209">
                  <c:v>45940</c:v>
                </c:pt>
                <c:pt idx="1210">
                  <c:v>45943</c:v>
                </c:pt>
                <c:pt idx="1211">
                  <c:v>45944</c:v>
                </c:pt>
                <c:pt idx="1212">
                  <c:v>45945</c:v>
                </c:pt>
                <c:pt idx="1213">
                  <c:v>45946</c:v>
                </c:pt>
                <c:pt idx="1214">
                  <c:v>45947</c:v>
                </c:pt>
                <c:pt idx="1215">
                  <c:v>45950</c:v>
                </c:pt>
                <c:pt idx="1216">
                  <c:v>45951</c:v>
                </c:pt>
                <c:pt idx="1217">
                  <c:v>45952</c:v>
                </c:pt>
                <c:pt idx="1218">
                  <c:v>45953</c:v>
                </c:pt>
                <c:pt idx="1219">
                  <c:v>45954</c:v>
                </c:pt>
                <c:pt idx="1220">
                  <c:v>45957</c:v>
                </c:pt>
                <c:pt idx="1221">
                  <c:v>45958</c:v>
                </c:pt>
                <c:pt idx="1222">
                  <c:v>45959</c:v>
                </c:pt>
                <c:pt idx="1223">
                  <c:v>45960</c:v>
                </c:pt>
                <c:pt idx="1224">
                  <c:v>45961</c:v>
                </c:pt>
                <c:pt idx="1225">
                  <c:v>45964</c:v>
                </c:pt>
                <c:pt idx="1226">
                  <c:v>45965</c:v>
                </c:pt>
                <c:pt idx="1227">
                  <c:v>45966</c:v>
                </c:pt>
                <c:pt idx="1228">
                  <c:v>45967</c:v>
                </c:pt>
                <c:pt idx="1229">
                  <c:v>45968</c:v>
                </c:pt>
                <c:pt idx="1230">
                  <c:v>45971</c:v>
                </c:pt>
                <c:pt idx="1231">
                  <c:v>45972</c:v>
                </c:pt>
                <c:pt idx="1232">
                  <c:v>45973</c:v>
                </c:pt>
                <c:pt idx="1233">
                  <c:v>45974</c:v>
                </c:pt>
                <c:pt idx="1234">
                  <c:v>45975</c:v>
                </c:pt>
                <c:pt idx="1235">
                  <c:v>45978</c:v>
                </c:pt>
                <c:pt idx="1236">
                  <c:v>45979</c:v>
                </c:pt>
                <c:pt idx="1237">
                  <c:v>45980</c:v>
                </c:pt>
                <c:pt idx="1238">
                  <c:v>45981</c:v>
                </c:pt>
                <c:pt idx="1239">
                  <c:v>45982</c:v>
                </c:pt>
                <c:pt idx="1240">
                  <c:v>45985</c:v>
                </c:pt>
                <c:pt idx="1241">
                  <c:v>45986</c:v>
                </c:pt>
                <c:pt idx="1242">
                  <c:v>45987</c:v>
                </c:pt>
                <c:pt idx="1243">
                  <c:v>45989</c:v>
                </c:pt>
                <c:pt idx="1244">
                  <c:v>45992</c:v>
                </c:pt>
                <c:pt idx="1245">
                  <c:v>45993</c:v>
                </c:pt>
                <c:pt idx="1246">
                  <c:v>45994</c:v>
                </c:pt>
                <c:pt idx="1247">
                  <c:v>45995</c:v>
                </c:pt>
                <c:pt idx="1248">
                  <c:v>45996</c:v>
                </c:pt>
                <c:pt idx="1249">
                  <c:v>45999</c:v>
                </c:pt>
                <c:pt idx="1250">
                  <c:v>46000</c:v>
                </c:pt>
                <c:pt idx="1251">
                  <c:v>46001</c:v>
                </c:pt>
                <c:pt idx="1252">
                  <c:v>46002</c:v>
                </c:pt>
                <c:pt idx="1253">
                  <c:v>46003</c:v>
                </c:pt>
                <c:pt idx="1254">
                  <c:v>46006</c:v>
                </c:pt>
              </c:numCache>
            </c:numRef>
          </c:cat>
          <c:val>
            <c:numRef>
              <c:f>Indexed_Performance_Data!$B$2:$B$1256</c:f>
              <c:numCache>
                <c:formatCode>_("$"* #,##0.00_);_("$"* \(#,##0.00\);_("$"* "-"??_);_(@_)</c:formatCode>
                <c:ptCount val="1255"/>
                <c:pt idx="0">
                  <c:v>1</c:v>
                </c:pt>
                <c:pt idx="1">
                  <c:v>1.0055920252856796</c:v>
                </c:pt>
                <c:pt idx="2">
                  <c:v>0.9973255531242402</c:v>
                </c:pt>
                <c:pt idx="3">
                  <c:v>0.99375962395656059</c:v>
                </c:pt>
                <c:pt idx="4">
                  <c:v>0.99208471783234742</c:v>
                </c:pt>
                <c:pt idx="5">
                  <c:v>0.99297620012426724</c:v>
                </c:pt>
                <c:pt idx="6">
                  <c:v>0.99683929005592031</c:v>
                </c:pt>
                <c:pt idx="7">
                  <c:v>1.005402922981333</c:v>
                </c:pt>
                <c:pt idx="8">
                  <c:v>1.0034848853229597</c:v>
                </c:pt>
                <c:pt idx="9">
                  <c:v>1.0049166599130128</c:v>
                </c:pt>
                <c:pt idx="10">
                  <c:v>1.0100224221303724</c:v>
                </c:pt>
                <c:pt idx="11">
                  <c:v>0.99627198314288024</c:v>
                </c:pt>
                <c:pt idx="12">
                  <c:v>1.003133695329173</c:v>
                </c:pt>
                <c:pt idx="13">
                  <c:v>1.0091309398384525</c:v>
                </c:pt>
                <c:pt idx="14">
                  <c:v>1.0241240511116514</c:v>
                </c:pt>
                <c:pt idx="15">
                  <c:v>1.029959207931491</c:v>
                </c:pt>
                <c:pt idx="16">
                  <c:v>1.0230164519004783</c:v>
                </c:pt>
                <c:pt idx="17">
                  <c:v>1.0232325688197317</c:v>
                </c:pt>
                <c:pt idx="18">
                  <c:v>1.0259880595402115</c:v>
                </c:pt>
                <c:pt idx="19">
                  <c:v>1.022395115757625</c:v>
                </c:pt>
                <c:pt idx="20">
                  <c:v>1.0149390820433857</c:v>
                </c:pt>
                <c:pt idx="21">
                  <c:v>1.0229083934408516</c:v>
                </c:pt>
                <c:pt idx="22">
                  <c:v>1.0370640516519438</c:v>
                </c:pt>
                <c:pt idx="23">
                  <c:v>1.038009563173677</c:v>
                </c:pt>
                <c:pt idx="24">
                  <c:v>1.0343355755463706</c:v>
                </c:pt>
                <c:pt idx="25">
                  <c:v>1.0384147823972769</c:v>
                </c:pt>
                <c:pt idx="26">
                  <c:v>1.036793905502877</c:v>
                </c:pt>
                <c:pt idx="27">
                  <c:v>1.0114541967204256</c:v>
                </c:pt>
                <c:pt idx="28">
                  <c:v>1.0201529027203713</c:v>
                </c:pt>
                <c:pt idx="29">
                  <c:v>0.99972985385093294</c:v>
                </c:pt>
                <c:pt idx="30">
                  <c:v>1.0163708566334384</c:v>
                </c:pt>
                <c:pt idx="31">
                  <c:v>1.0307426317637838</c:v>
                </c:pt>
                <c:pt idx="32">
                  <c:v>1.0315530702109836</c:v>
                </c:pt>
                <c:pt idx="33">
                  <c:v>1.0432774130804758</c:v>
                </c:pt>
                <c:pt idx="34">
                  <c:v>1.0473836345462888</c:v>
                </c:pt>
                <c:pt idx="35">
                  <c:v>1.0549477267201548</c:v>
                </c:pt>
                <c:pt idx="36">
                  <c:v>1.0542453467325816</c:v>
                </c:pt>
                <c:pt idx="37">
                  <c:v>1.0537860982791682</c:v>
                </c:pt>
                <c:pt idx="38">
                  <c:v>1.055488019018288</c:v>
                </c:pt>
                <c:pt idx="39">
                  <c:v>1.0607018396952743</c:v>
                </c:pt>
                <c:pt idx="40">
                  <c:v>1.0597833427884478</c:v>
                </c:pt>
                <c:pt idx="41">
                  <c:v>1.0600264743226075</c:v>
                </c:pt>
                <c:pt idx="42">
                  <c:v>1.0555150336331947</c:v>
                </c:pt>
                <c:pt idx="43">
                  <c:v>1.0536510252046347</c:v>
                </c:pt>
                <c:pt idx="44">
                  <c:v>1.0455466407326353</c:v>
                </c:pt>
                <c:pt idx="45">
                  <c:v>1.0468163276332485</c:v>
                </c:pt>
                <c:pt idx="46">
                  <c:v>1.0583515681983942</c:v>
                </c:pt>
                <c:pt idx="47">
                  <c:v>1.0328497717265028</c:v>
                </c:pt>
                <c:pt idx="48">
                  <c:v>1.0275278925898901</c:v>
                </c:pt>
                <c:pt idx="49">
                  <c:v>1.0524353675338347</c:v>
                </c:pt>
                <c:pt idx="50">
                  <c:v>1.0442229246022088</c:v>
                </c:pt>
                <c:pt idx="51">
                  <c:v>1.0303914417699964</c:v>
                </c:pt>
                <c:pt idx="52">
                  <c:v>1.0176405435340508</c:v>
                </c:pt>
                <c:pt idx="53">
                  <c:v>1.0363616716643693</c:v>
                </c:pt>
                <c:pt idx="54">
                  <c:v>1.0312018802171965</c:v>
                </c:pt>
                <c:pt idx="55">
                  <c:v>1.0459248453413288</c:v>
                </c:pt>
                <c:pt idx="56">
                  <c:v>1.0524353675338347</c:v>
                </c:pt>
                <c:pt idx="57">
                  <c:v>1.063106140421967</c:v>
                </c:pt>
                <c:pt idx="58">
                  <c:v>1.0645379150120204</c:v>
                </c:pt>
                <c:pt idx="59">
                  <c:v>1.0708863495150869</c:v>
                </c:pt>
                <c:pt idx="60">
                  <c:v>1.0695356187697538</c:v>
                </c:pt>
                <c:pt idx="61">
                  <c:v>1.0731825917821534</c:v>
                </c:pt>
                <c:pt idx="62">
                  <c:v>1.0575681443661014</c:v>
                </c:pt>
                <c:pt idx="63">
                  <c:v>1.0521652213847685</c:v>
                </c:pt>
                <c:pt idx="64">
                  <c:v>1.060566766620741</c:v>
                </c:pt>
                <c:pt idx="65">
                  <c:v>1.0522192506145818</c:v>
                </c:pt>
                <c:pt idx="66">
                  <c:v>1.0468703568630622</c:v>
                </c:pt>
                <c:pt idx="67">
                  <c:v>1.0527595429127152</c:v>
                </c:pt>
                <c:pt idx="68">
                  <c:v>1.0697247210741005</c:v>
                </c:pt>
                <c:pt idx="69">
                  <c:v>1.0691844287759671</c:v>
                </c:pt>
                <c:pt idx="70">
                  <c:v>1.0663478942107674</c:v>
                </c:pt>
                <c:pt idx="71">
                  <c:v>1.0706702325958335</c:v>
                </c:pt>
                <c:pt idx="72">
                  <c:v>1.082232487775886</c:v>
                </c:pt>
                <c:pt idx="73">
                  <c:v>1.0977658913472179</c:v>
                </c:pt>
                <c:pt idx="74">
                  <c:v>1.097117540589458</c:v>
                </c:pt>
                <c:pt idx="75">
                  <c:v>1.098387227490071</c:v>
                </c:pt>
                <c:pt idx="76">
                  <c:v>1.1036010481670573</c:v>
                </c:pt>
                <c:pt idx="77">
                  <c:v>1.1116243887943367</c:v>
                </c:pt>
                <c:pt idx="78">
                  <c:v>1.1120296080179366</c:v>
                </c:pt>
                <c:pt idx="79">
                  <c:v>1.1153253910365497</c:v>
                </c:pt>
                <c:pt idx="80">
                  <c:v>1.11151633033471</c:v>
                </c:pt>
                <c:pt idx="81">
                  <c:v>1.1234567901234556</c:v>
                </c:pt>
                <c:pt idx="82">
                  <c:v>1.1272118215954818</c:v>
                </c:pt>
                <c:pt idx="83">
                  <c:v>1.1216738255396155</c:v>
                </c:pt>
                <c:pt idx="84">
                  <c:v>1.1134613826079895</c:v>
                </c:pt>
                <c:pt idx="85">
                  <c:v>1.1239970824215886</c:v>
                </c:pt>
                <c:pt idx="86">
                  <c:v>1.1137315287570562</c:v>
                </c:pt>
                <c:pt idx="87">
                  <c:v>1.1258070616203353</c:v>
                </c:pt>
                <c:pt idx="88">
                  <c:v>1.1281573331172152</c:v>
                </c:pt>
                <c:pt idx="89">
                  <c:v>1.1279142015830552</c:v>
                </c:pt>
                <c:pt idx="90">
                  <c:v>1.1275900262041754</c:v>
                </c:pt>
                <c:pt idx="91">
                  <c:v>1.1347759137693483</c:v>
                </c:pt>
                <c:pt idx="92">
                  <c:v>1.127319880055109</c:v>
                </c:pt>
                <c:pt idx="93">
                  <c:v>1.1297511953967088</c:v>
                </c:pt>
                <c:pt idx="94">
                  <c:v>1.1227814247507895</c:v>
                </c:pt>
                <c:pt idx="95">
                  <c:v>1.1231326147445762</c:v>
                </c:pt>
                <c:pt idx="96">
                  <c:v>1.1321014668935889</c:v>
                </c:pt>
                <c:pt idx="97">
                  <c:v>1.1403409244401215</c:v>
                </c:pt>
                <c:pt idx="98">
                  <c:v>1.1290488154091358</c:v>
                </c:pt>
                <c:pt idx="99">
                  <c:v>1.11897236404895</c:v>
                </c:pt>
                <c:pt idx="100">
                  <c:v>1.0951995029310855</c:v>
                </c:pt>
                <c:pt idx="101">
                  <c:v>1.1083556203906308</c:v>
                </c:pt>
                <c:pt idx="102">
                  <c:v>1.1253748277818296</c:v>
                </c:pt>
                <c:pt idx="103">
                  <c:v>1.1225112786017233</c:v>
                </c:pt>
                <c:pt idx="104">
                  <c:v>1.1128400464651373</c:v>
                </c:pt>
                <c:pt idx="105">
                  <c:v>1.1099224680552178</c:v>
                </c:pt>
                <c:pt idx="106">
                  <c:v>1.1218629278439634</c:v>
                </c:pt>
                <c:pt idx="107">
                  <c:v>1.1209444309371368</c:v>
                </c:pt>
                <c:pt idx="108">
                  <c:v>1.1323716130426558</c:v>
                </c:pt>
                <c:pt idx="109">
                  <c:v>1.1298592538563359</c:v>
                </c:pt>
                <c:pt idx="110">
                  <c:v>1.1321014668935889</c:v>
                </c:pt>
                <c:pt idx="111">
                  <c:v>1.1326957884215356</c:v>
                </c:pt>
                <c:pt idx="112">
                  <c:v>1.1347218845395355</c:v>
                </c:pt>
                <c:pt idx="113">
                  <c:v>1.1337223437879889</c:v>
                </c:pt>
                <c:pt idx="114">
                  <c:v>1.1355053083718287</c:v>
                </c:pt>
                <c:pt idx="115">
                  <c:v>1.1312910284463891</c:v>
                </c:pt>
                <c:pt idx="116">
                  <c:v>1.1416376259556418</c:v>
                </c:pt>
                <c:pt idx="117">
                  <c:v>1.1405300267444685</c:v>
                </c:pt>
                <c:pt idx="118">
                  <c:v>1.1407731582786285</c:v>
                </c:pt>
                <c:pt idx="119">
                  <c:v>1.1390712375395087</c:v>
                </c:pt>
                <c:pt idx="120">
                  <c:v>1.144366102061215</c:v>
                </c:pt>
                <c:pt idx="121">
                  <c:v>1.1462571251046816</c:v>
                </c:pt>
                <c:pt idx="122">
                  <c:v>1.1488235135208147</c:v>
                </c:pt>
                <c:pt idx="123">
                  <c:v>1.146716373558095</c:v>
                </c:pt>
                <c:pt idx="124">
                  <c:v>1.1403139098252155</c:v>
                </c:pt>
                <c:pt idx="125">
                  <c:v>1.1399357052165222</c:v>
                </c:pt>
                <c:pt idx="126">
                  <c:v>1.1208904017073238</c:v>
                </c:pt>
                <c:pt idx="127">
                  <c:v>1.1369370829618823</c:v>
                </c:pt>
                <c:pt idx="128">
                  <c:v>1.1430153713158819</c:v>
                </c:pt>
                <c:pt idx="129">
                  <c:v>1.141637625955642</c:v>
                </c:pt>
                <c:pt idx="130">
                  <c:v>1.1483912796823081</c:v>
                </c:pt>
                <c:pt idx="131">
                  <c:v>1.1524704865332145</c:v>
                </c:pt>
                <c:pt idx="132">
                  <c:v>1.1547937434151878</c:v>
                </c:pt>
                <c:pt idx="133">
                  <c:v>1.1554150795580411</c:v>
                </c:pt>
                <c:pt idx="134">
                  <c:v>1.1563876056946811</c:v>
                </c:pt>
                <c:pt idx="135">
                  <c:v>1.1627900694275608</c:v>
                </c:pt>
                <c:pt idx="136">
                  <c:v>1.1716778777318535</c:v>
                </c:pt>
                <c:pt idx="137">
                  <c:v>1.1695437231542269</c:v>
                </c:pt>
                <c:pt idx="138">
                  <c:v>1.1736769592349465</c:v>
                </c:pt>
                <c:pt idx="139">
                  <c:v>1.1641137855579875</c:v>
                </c:pt>
                <c:pt idx="140">
                  <c:v>1.1765405084150531</c:v>
                </c:pt>
                <c:pt idx="141">
                  <c:v>1.1807547883404927</c:v>
                </c:pt>
                <c:pt idx="142">
                  <c:v>1.1767296107193996</c:v>
                </c:pt>
                <c:pt idx="143">
                  <c:v>1.1784855606883329</c:v>
                </c:pt>
                <c:pt idx="144">
                  <c:v>1.1744603830672398</c:v>
                </c:pt>
                <c:pt idx="145">
                  <c:v>1.1652483993840672</c:v>
                </c:pt>
                <c:pt idx="146">
                  <c:v>1.1480400896885219</c:v>
                </c:pt>
                <c:pt idx="147">
                  <c:v>1.1644919901666806</c:v>
                </c:pt>
                <c:pt idx="148">
                  <c:v>1.1739200907691065</c:v>
                </c:pt>
                <c:pt idx="149">
                  <c:v>1.1763784207256129</c:v>
                </c:pt>
                <c:pt idx="150">
                  <c:v>1.1884809682037989</c:v>
                </c:pt>
                <c:pt idx="151">
                  <c:v>1.1913985466137187</c:v>
                </c:pt>
                <c:pt idx="152">
                  <c:v>1.185968609017479</c:v>
                </c:pt>
                <c:pt idx="153">
                  <c:v>1.185482345949159</c:v>
                </c:pt>
                <c:pt idx="154">
                  <c:v>1.1903990058621721</c:v>
                </c:pt>
                <c:pt idx="155">
                  <c:v>1.1846178782721459</c:v>
                </c:pt>
                <c:pt idx="156">
                  <c:v>1.1821325337007327</c:v>
                </c:pt>
                <c:pt idx="157">
                  <c:v>1.1917497366075054</c:v>
                </c:pt>
                <c:pt idx="158">
                  <c:v>1.1858875651727594</c:v>
                </c:pt>
                <c:pt idx="159">
                  <c:v>1.1933976281168119</c:v>
                </c:pt>
                <c:pt idx="160">
                  <c:v>1.1953696950049986</c:v>
                </c:pt>
                <c:pt idx="161">
                  <c:v>1.1943971688683586</c:v>
                </c:pt>
                <c:pt idx="162">
                  <c:v>1.1958829726882252</c:v>
                </c:pt>
                <c:pt idx="163">
                  <c:v>1.198854580327958</c:v>
                </c:pt>
                <c:pt idx="164">
                  <c:v>1.2024475241105443</c:v>
                </c:pt>
                <c:pt idx="165">
                  <c:v>1.2046357079179841</c:v>
                </c:pt>
                <c:pt idx="166">
                  <c:v>1.2074722424831841</c:v>
                </c:pt>
                <c:pt idx="167">
                  <c:v>1.1995569603155314</c:v>
                </c:pt>
                <c:pt idx="168">
                  <c:v>1.1864278574708924</c:v>
                </c:pt>
                <c:pt idx="169">
                  <c:v>1.1882648512845455</c:v>
                </c:pt>
                <c:pt idx="170">
                  <c:v>1.1977199665018781</c:v>
                </c:pt>
                <c:pt idx="171">
                  <c:v>1.2082556663154773</c:v>
                </c:pt>
                <c:pt idx="172">
                  <c:v>1.2101737039738505</c:v>
                </c:pt>
                <c:pt idx="173">
                  <c:v>1.212713077775077</c:v>
                </c:pt>
                <c:pt idx="174">
                  <c:v>1.2055542048248107</c:v>
                </c:pt>
                <c:pt idx="175">
                  <c:v>1.2163330361725697</c:v>
                </c:pt>
                <c:pt idx="176">
                  <c:v>1.2216819299240893</c:v>
                </c:pt>
                <c:pt idx="177">
                  <c:v>1.2198719507253428</c:v>
                </c:pt>
                <c:pt idx="178">
                  <c:v>1.220520301483103</c:v>
                </c:pt>
                <c:pt idx="179">
                  <c:v>1.2242753329551295</c:v>
                </c:pt>
                <c:pt idx="180">
                  <c:v>1.223978172191156</c:v>
                </c:pt>
                <c:pt idx="181">
                  <c:v>1.2196018045762764</c:v>
                </c:pt>
                <c:pt idx="182">
                  <c:v>1.21811600075641</c:v>
                </c:pt>
                <c:pt idx="183">
                  <c:v>1.2129021800794237</c:v>
                </c:pt>
                <c:pt idx="184">
                  <c:v>1.2033390064024645</c:v>
                </c:pt>
                <c:pt idx="185">
                  <c:v>1.2064186725018242</c:v>
                </c:pt>
                <c:pt idx="186">
                  <c:v>1.1999081503093181</c:v>
                </c:pt>
                <c:pt idx="187">
                  <c:v>1.2099305724396905</c:v>
                </c:pt>
                <c:pt idx="188">
                  <c:v>1.2080125347813173</c:v>
                </c:pt>
                <c:pt idx="189">
                  <c:v>1.1924251019801717</c:v>
                </c:pt>
                <c:pt idx="190">
                  <c:v>1.1725423454088668</c:v>
                </c:pt>
                <c:pt idx="191">
                  <c:v>1.1714347461976935</c:v>
                </c:pt>
                <c:pt idx="192">
                  <c:v>1.1828619283032127</c:v>
                </c:pt>
                <c:pt idx="193">
                  <c:v>1.1972337034335583</c:v>
                </c:pt>
                <c:pt idx="194">
                  <c:v>1.1992057703217447</c:v>
                </c:pt>
                <c:pt idx="195">
                  <c:v>1.1957749142285983</c:v>
                </c:pt>
                <c:pt idx="196">
                  <c:v>1.1716778777318537</c:v>
                </c:pt>
                <c:pt idx="197">
                  <c:v>1.1736499446200401</c:v>
                </c:pt>
                <c:pt idx="198">
                  <c:v>1.1593051841046014</c:v>
                </c:pt>
                <c:pt idx="199">
                  <c:v>1.1730826377070003</c:v>
                </c:pt>
                <c:pt idx="200">
                  <c:v>1.1579544533592681</c:v>
                </c:pt>
                <c:pt idx="201">
                  <c:v>1.1700029716076406</c:v>
                </c:pt>
                <c:pt idx="202">
                  <c:v>1.1748656022908401</c:v>
                </c:pt>
                <c:pt idx="203">
                  <c:v>1.1850230974957461</c:v>
                </c:pt>
                <c:pt idx="204">
                  <c:v>1.1828619283032129</c:v>
                </c:pt>
                <c:pt idx="205">
                  <c:v>1.1742982953778003</c:v>
                </c:pt>
                <c:pt idx="206">
                  <c:v>1.1714077315827873</c:v>
                </c:pt>
                <c:pt idx="207">
                  <c:v>1.175622011508227</c:v>
                </c:pt>
                <c:pt idx="208">
                  <c:v>1.1953967096199054</c:v>
                </c:pt>
                <c:pt idx="209">
                  <c:v>1.2045006348434515</c:v>
                </c:pt>
                <c:pt idx="210">
                  <c:v>1.2080665640111312</c:v>
                </c:pt>
                <c:pt idx="211">
                  <c:v>1.2173866061539305</c:v>
                </c:pt>
                <c:pt idx="212">
                  <c:v>1.2221681929924102</c:v>
                </c:pt>
                <c:pt idx="213">
                  <c:v>1.2253559175513966</c:v>
                </c:pt>
                <c:pt idx="214">
                  <c:v>1.2240862306507836</c:v>
                </c:pt>
                <c:pt idx="215">
                  <c:v>1.230650782073103</c:v>
                </c:pt>
                <c:pt idx="216">
                  <c:v>1.2317583812842761</c:v>
                </c:pt>
                <c:pt idx="217">
                  <c:v>1.2263014290731298</c:v>
                </c:pt>
                <c:pt idx="218">
                  <c:v>1.2381338304022489</c:v>
                </c:pt>
                <c:pt idx="219">
                  <c:v>1.2406461895885688</c:v>
                </c:pt>
                <c:pt idx="220">
                  <c:v>1.2427803441661953</c:v>
                </c:pt>
                <c:pt idx="221">
                  <c:v>1.2478050625388348</c:v>
                </c:pt>
                <c:pt idx="222">
                  <c:v>1.2554231839425145</c:v>
                </c:pt>
                <c:pt idx="223">
                  <c:v>1.261339384607074</c:v>
                </c:pt>
                <c:pt idx="224">
                  <c:v>1.2657157522219533</c:v>
                </c:pt>
                <c:pt idx="225">
                  <c:v>1.2667963368182198</c:v>
                </c:pt>
                <c:pt idx="226">
                  <c:v>1.2626090715076868</c:v>
                </c:pt>
                <c:pt idx="227">
                  <c:v>1.252451576302781</c:v>
                </c:pt>
                <c:pt idx="228">
                  <c:v>1.252856795526381</c:v>
                </c:pt>
                <c:pt idx="229">
                  <c:v>1.2623119107437135</c:v>
                </c:pt>
                <c:pt idx="230">
                  <c:v>1.2627441445822203</c:v>
                </c:pt>
                <c:pt idx="231">
                  <c:v>1.267741848339953</c:v>
                </c:pt>
                <c:pt idx="232">
                  <c:v>1.2646621822405932</c:v>
                </c:pt>
                <c:pt idx="233">
                  <c:v>1.268957506010753</c:v>
                </c:pt>
                <c:pt idx="234">
                  <c:v>1.2666882783585931</c:v>
                </c:pt>
                <c:pt idx="235">
                  <c:v>1.2631223491909134</c:v>
                </c:pt>
                <c:pt idx="236">
                  <c:v>1.2647972553151265</c:v>
                </c:pt>
                <c:pt idx="237">
                  <c:v>1.2681740821784595</c:v>
                </c:pt>
                <c:pt idx="238">
                  <c:v>1.2398897803711819</c:v>
                </c:pt>
                <c:pt idx="239">
                  <c:v>1.2550990085636342</c:v>
                </c:pt>
                <c:pt idx="240">
                  <c:v>1.2306777966880094</c:v>
                </c:pt>
                <c:pt idx="241">
                  <c:v>1.2170084015452372</c:v>
                </c:pt>
                <c:pt idx="242">
                  <c:v>1.2356484858308354</c:v>
                </c:pt>
                <c:pt idx="243">
                  <c:v>1.224896669097983</c:v>
                </c:pt>
                <c:pt idx="244">
                  <c:v>1.2394035173028619</c:v>
                </c:pt>
                <c:pt idx="245">
                  <c:v>1.2650403868492865</c:v>
                </c:pt>
                <c:pt idx="246">
                  <c:v>1.2683901990977131</c:v>
                </c:pt>
                <c:pt idx="247">
                  <c:v>1.2598265661723005</c:v>
                </c:pt>
                <c:pt idx="248">
                  <c:v>1.2716859821163262</c:v>
                </c:pt>
                <c:pt idx="249">
                  <c:v>1.2604208877002472</c:v>
                </c:pt>
                <c:pt idx="250">
                  <c:v>1.2517491963152079</c:v>
                </c:pt>
                <c:pt idx="251">
                  <c:v>1.2713077775076329</c:v>
                </c:pt>
                <c:pt idx="252">
                  <c:v>1.2600967123213671</c:v>
                </c:pt>
                <c:pt idx="253">
                  <c:v>1.2423210957127819</c:v>
                </c:pt>
                <c:pt idx="254">
                  <c:v>1.2291109490234229</c:v>
                </c:pt>
                <c:pt idx="255">
                  <c:v>1.2509387578680078</c:v>
                </c:pt>
                <c:pt idx="256">
                  <c:v>1.2634465245697932</c:v>
                </c:pt>
                <c:pt idx="257">
                  <c:v>1.2713077775076327</c:v>
                </c:pt>
                <c:pt idx="258">
                  <c:v>1.289299511035471</c:v>
                </c:pt>
                <c:pt idx="259">
                  <c:v>1.2882459410541112</c:v>
                </c:pt>
                <c:pt idx="260">
                  <c:v>1.2898938325634177</c:v>
                </c:pt>
                <c:pt idx="261">
                  <c:v>1.286327903395738</c:v>
                </c:pt>
                <c:pt idx="262">
                  <c:v>1.2830861496069381</c:v>
                </c:pt>
                <c:pt idx="263">
                  <c:v>1.2905151687062708</c:v>
                </c:pt>
                <c:pt idx="264">
                  <c:v>1.2900829348677643</c:v>
                </c:pt>
                <c:pt idx="265">
                  <c:v>1.2653105329983529</c:v>
                </c:pt>
                <c:pt idx="266">
                  <c:v>1.2641218899424598</c:v>
                </c:pt>
                <c:pt idx="267">
                  <c:v>1.2591241861847269</c:v>
                </c:pt>
                <c:pt idx="268">
                  <c:v>1.2575573385201404</c:v>
                </c:pt>
                <c:pt idx="269">
                  <c:v>1.2690115352405662</c:v>
                </c:pt>
                <c:pt idx="270">
                  <c:v>1.2724423913337126</c:v>
                </c:pt>
                <c:pt idx="271">
                  <c:v>1.2549099062592872</c:v>
                </c:pt>
                <c:pt idx="272">
                  <c:v>1.2554231839425141</c:v>
                </c:pt>
                <c:pt idx="273">
                  <c:v>1.233190155874329</c:v>
                </c:pt>
                <c:pt idx="274">
                  <c:v>1.2203852284085699</c:v>
                </c:pt>
                <c:pt idx="275">
                  <c:v>1.2068779209552376</c:v>
                </c:pt>
                <c:pt idx="276">
                  <c:v>1.1831861036820928</c:v>
                </c:pt>
                <c:pt idx="277">
                  <c:v>1.1882108220547323</c:v>
                </c:pt>
                <c:pt idx="278">
                  <c:v>1.1737039738498536</c:v>
                </c:pt>
                <c:pt idx="279">
                  <c:v>1.1707593808250272</c:v>
                </c:pt>
                <c:pt idx="280">
                  <c:v>1.164978253235001</c:v>
                </c:pt>
                <c:pt idx="281">
                  <c:v>1.1939109058000386</c:v>
                </c:pt>
                <c:pt idx="282">
                  <c:v>1.2154145392657436</c:v>
                </c:pt>
                <c:pt idx="283">
                  <c:v>1.2236269821973695</c:v>
                </c:pt>
                <c:pt idx="284">
                  <c:v>1.2355134127563021</c:v>
                </c:pt>
                <c:pt idx="285">
                  <c:v>1.2064727017316377</c:v>
                </c:pt>
                <c:pt idx="286">
                  <c:v>1.2121457708620371</c:v>
                </c:pt>
                <c:pt idx="287">
                  <c:v>1.2082556663154775</c:v>
                </c:pt>
                <c:pt idx="288">
                  <c:v>1.2181970446011301</c:v>
                </c:pt>
                <c:pt idx="289">
                  <c:v>1.2360266904395287</c:v>
                </c:pt>
                <c:pt idx="290">
                  <c:v>1.2138206769862503</c:v>
                </c:pt>
                <c:pt idx="291">
                  <c:v>1.1898857281789454</c:v>
                </c:pt>
                <c:pt idx="292">
                  <c:v>1.1859956236323856</c:v>
                </c:pt>
                <c:pt idx="293">
                  <c:v>1.2051219709863041</c:v>
                </c:pt>
                <c:pt idx="294">
                  <c:v>1.2064727017316375</c:v>
                </c:pt>
                <c:pt idx="295">
                  <c:v>1.1807007591106795</c:v>
                </c:pt>
                <c:pt idx="296">
                  <c:v>1.1730556230920934</c:v>
                </c:pt>
                <c:pt idx="297">
                  <c:v>1.1604668125455877</c:v>
                </c:pt>
                <c:pt idx="298">
                  <c:v>1.1398816759867094</c:v>
                </c:pt>
                <c:pt idx="299">
                  <c:v>1.1570359564524415</c:v>
                </c:pt>
                <c:pt idx="300">
                  <c:v>1.1825647675392394</c:v>
                </c:pt>
                <c:pt idx="301">
                  <c:v>1.179539130669693</c:v>
                </c:pt>
                <c:pt idx="302">
                  <c:v>1.1615744117567612</c:v>
                </c:pt>
                <c:pt idx="303">
                  <c:v>1.1829429721479328</c:v>
                </c:pt>
                <c:pt idx="304">
                  <c:v>1.1770537860982799</c:v>
                </c:pt>
                <c:pt idx="305">
                  <c:v>1.1674906124213209</c:v>
                </c:pt>
                <c:pt idx="306">
                  <c:v>1.1330739930302303</c:v>
                </c:pt>
                <c:pt idx="307">
                  <c:v>1.124483345489911</c:v>
                </c:pt>
                <c:pt idx="308">
                  <c:v>1.1546316557257488</c:v>
                </c:pt>
                <c:pt idx="309">
                  <c:v>1.1494178350487625</c:v>
                </c:pt>
                <c:pt idx="310">
                  <c:v>1.1348029283842569</c:v>
                </c:pt>
                <c:pt idx="311">
                  <c:v>1.1265094416079109</c:v>
                </c:pt>
                <c:pt idx="312">
                  <c:v>1.1512818434773222</c:v>
                </c:pt>
                <c:pt idx="313">
                  <c:v>1.1768106545641204</c:v>
                </c:pt>
                <c:pt idx="314">
                  <c:v>1.1915336196882527</c:v>
                </c:pt>
                <c:pt idx="315">
                  <c:v>1.2008536618310519</c:v>
                </c:pt>
                <c:pt idx="316">
                  <c:v>1.2005024718372652</c:v>
                </c:pt>
                <c:pt idx="317">
                  <c:v>1.214550071588731</c:v>
                </c:pt>
                <c:pt idx="318">
                  <c:v>1.1989086095577723</c:v>
                </c:pt>
                <c:pt idx="319">
                  <c:v>1.2169813869303308</c:v>
                </c:pt>
                <c:pt idx="320">
                  <c:v>1.2229246022097968</c:v>
                </c:pt>
                <c:pt idx="321">
                  <c:v>1.231623308209743</c:v>
                </c:pt>
                <c:pt idx="322">
                  <c:v>1.2468595510171019</c:v>
                </c:pt>
                <c:pt idx="323">
                  <c:v>1.2391603857687026</c:v>
                </c:pt>
                <c:pt idx="324">
                  <c:v>1.2200880676445973</c:v>
                </c:pt>
                <c:pt idx="325">
                  <c:v>1.2235459383526504</c:v>
                </c:pt>
                <c:pt idx="326">
                  <c:v>1.2340276089364361</c:v>
                </c:pt>
                <c:pt idx="327">
                  <c:v>1.2184401761352905</c:v>
                </c:pt>
                <c:pt idx="328">
                  <c:v>1.206256584812385</c:v>
                </c:pt>
                <c:pt idx="329">
                  <c:v>1.2123348731663846</c:v>
                </c:pt>
                <c:pt idx="330">
                  <c:v>1.2090931193775849</c:v>
                </c:pt>
                <c:pt idx="331">
                  <c:v>1.1884269389739865</c:v>
                </c:pt>
                <c:pt idx="332">
                  <c:v>1.1840235567442001</c:v>
                </c:pt>
                <c:pt idx="333">
                  <c:v>1.1975848934273456</c:v>
                </c:pt>
                <c:pt idx="334">
                  <c:v>1.1826728259988668</c:v>
                </c:pt>
                <c:pt idx="335">
                  <c:v>1.1831590890671868</c:v>
                </c:pt>
                <c:pt idx="336">
                  <c:v>1.2022584218061987</c:v>
                </c:pt>
                <c:pt idx="337">
                  <c:v>1.2013669395142785</c:v>
                </c:pt>
                <c:pt idx="338">
                  <c:v>1.1834022206013466</c:v>
                </c:pt>
                <c:pt idx="339">
                  <c:v>1.150930653483536</c:v>
                </c:pt>
                <c:pt idx="340">
                  <c:v>1.157603263365482</c:v>
                </c:pt>
                <c:pt idx="341">
                  <c:v>1.1240781262663115</c:v>
                </c:pt>
                <c:pt idx="342">
                  <c:v>1.1272388362103911</c:v>
                </c:pt>
                <c:pt idx="343">
                  <c:v>1.1557122403220157</c:v>
                </c:pt>
                <c:pt idx="344">
                  <c:v>1.113002134154579</c:v>
                </c:pt>
                <c:pt idx="345">
                  <c:v>1.119701758651432</c:v>
                </c:pt>
                <c:pt idx="346">
                  <c:v>1.1248345354836982</c:v>
                </c:pt>
                <c:pt idx="347">
                  <c:v>1.1590890671853489</c:v>
                </c:pt>
                <c:pt idx="348">
                  <c:v>1.1178917794526855</c:v>
                </c:pt>
                <c:pt idx="349">
                  <c:v>1.1112191695707392</c:v>
                </c:pt>
                <c:pt idx="350">
                  <c:v>1.075640921738662</c:v>
                </c:pt>
                <c:pt idx="351">
                  <c:v>1.078126266310075</c:v>
                </c:pt>
                <c:pt idx="352">
                  <c:v>1.0609990004592498</c:v>
                </c:pt>
                <c:pt idx="353">
                  <c:v>1.0598914012480765</c:v>
                </c:pt>
                <c:pt idx="354">
                  <c:v>1.0852311100305279</c:v>
                </c:pt>
                <c:pt idx="355">
                  <c:v>1.0808277278007414</c:v>
                </c:pt>
                <c:pt idx="356">
                  <c:v>1.1030607558689265</c:v>
                </c:pt>
                <c:pt idx="357">
                  <c:v>1.0585946997325568</c:v>
                </c:pt>
                <c:pt idx="358">
                  <c:v>1.0521111921549573</c:v>
                </c:pt>
                <c:pt idx="359">
                  <c:v>1.0525704406083707</c:v>
                </c:pt>
                <c:pt idx="360">
                  <c:v>1.0722640948753293</c:v>
                </c:pt>
                <c:pt idx="361">
                  <c:v>1.0640786665586099</c:v>
                </c:pt>
                <c:pt idx="362">
                  <c:v>1.0734797525461293</c:v>
                </c:pt>
                <c:pt idx="363">
                  <c:v>1.0949293567820211</c:v>
                </c:pt>
                <c:pt idx="364">
                  <c:v>1.1218088986141523</c:v>
                </c:pt>
                <c:pt idx="365">
                  <c:v>1.1155144933408996</c:v>
                </c:pt>
                <c:pt idx="366">
                  <c:v>1.1064916119620736</c:v>
                </c:pt>
                <c:pt idx="367">
                  <c:v>1.1275630115892719</c:v>
                </c:pt>
                <c:pt idx="368">
                  <c:v>1.1090580003782067</c:v>
                </c:pt>
                <c:pt idx="369">
                  <c:v>1.1124348272415399</c:v>
                </c:pt>
                <c:pt idx="370">
                  <c:v>1.1231056001296722</c:v>
                </c:pt>
                <c:pt idx="371">
                  <c:v>1.11089499419186</c:v>
                </c:pt>
                <c:pt idx="372">
                  <c:v>1.0844747008131419</c:v>
                </c:pt>
                <c:pt idx="373">
                  <c:v>1.0530296890617843</c:v>
                </c:pt>
                <c:pt idx="374">
                  <c:v>1.0130480589999207</c:v>
                </c:pt>
                <c:pt idx="375">
                  <c:v>1.0099954075154676</c:v>
                </c:pt>
                <c:pt idx="376">
                  <c:v>1.0243941972607198</c:v>
                </c:pt>
                <c:pt idx="377">
                  <c:v>0.99049085555285576</c:v>
                </c:pt>
                <c:pt idx="378">
                  <c:v>0.98835670097522932</c:v>
                </c:pt>
                <c:pt idx="379">
                  <c:v>1.0132371613042672</c:v>
                </c:pt>
                <c:pt idx="380">
                  <c:v>1.0114001674906141</c:v>
                </c:pt>
                <c:pt idx="381">
                  <c:v>1.0213145311613601</c:v>
                </c:pt>
                <c:pt idx="382">
                  <c:v>1.0537860982791707</c:v>
                </c:pt>
                <c:pt idx="383">
                  <c:v>1.0497609206580776</c:v>
                </c:pt>
                <c:pt idx="384">
                  <c:v>1.028311316422186</c:v>
                </c:pt>
                <c:pt idx="385">
                  <c:v>1.0274738633600793</c:v>
                </c:pt>
                <c:pt idx="386">
                  <c:v>1.01912634735392</c:v>
                </c:pt>
                <c:pt idx="387">
                  <c:v>1.0299051787016793</c:v>
                </c:pt>
                <c:pt idx="388">
                  <c:v>1.0318502309749591</c:v>
                </c:pt>
                <c:pt idx="389">
                  <c:v>1.0353351162979187</c:v>
                </c:pt>
                <c:pt idx="390">
                  <c:v>1.0508415052543443</c:v>
                </c:pt>
                <c:pt idx="391">
                  <c:v>1.049977037577331</c:v>
                </c:pt>
                <c:pt idx="392">
                  <c:v>1.0379825485587719</c:v>
                </c:pt>
                <c:pt idx="393">
                  <c:v>1.028797579490506</c:v>
                </c:pt>
                <c:pt idx="394">
                  <c:v>1.0233946565091732</c:v>
                </c:pt>
                <c:pt idx="395">
                  <c:v>1.0209093119377601</c:v>
                </c:pt>
                <c:pt idx="396">
                  <c:v>1.0404138639003719</c:v>
                </c:pt>
                <c:pt idx="397">
                  <c:v>1.0318232163600525</c:v>
                </c:pt>
                <c:pt idx="398">
                  <c:v>1.0597022989437301</c:v>
                </c:pt>
                <c:pt idx="399">
                  <c:v>1.0664559526703963</c:v>
                </c:pt>
                <c:pt idx="400">
                  <c:v>1.0773158278628756</c:v>
                </c:pt>
                <c:pt idx="401">
                  <c:v>1.0673204203474096</c:v>
                </c:pt>
                <c:pt idx="402">
                  <c:v>1.0686171218629295</c:v>
                </c:pt>
                <c:pt idx="403">
                  <c:v>1.0559742820866105</c:v>
                </c:pt>
                <c:pt idx="404">
                  <c:v>1.0833941162168752</c:v>
                </c:pt>
                <c:pt idx="405">
                  <c:v>1.0969824675149273</c:v>
                </c:pt>
                <c:pt idx="406">
                  <c:v>1.1129751195396727</c:v>
                </c:pt>
                <c:pt idx="407">
                  <c:v>1.1096793365210595</c:v>
                </c:pt>
                <c:pt idx="408">
                  <c:v>1.1023583758813535</c:v>
                </c:pt>
                <c:pt idx="409">
                  <c:v>1.1196207148067121</c:v>
                </c:pt>
                <c:pt idx="410">
                  <c:v>1.1188643055893255</c:v>
                </c:pt>
                <c:pt idx="411">
                  <c:v>1.1169732825458589</c:v>
                </c:pt>
                <c:pt idx="412">
                  <c:v>1.1156765810303391</c:v>
                </c:pt>
                <c:pt idx="413">
                  <c:v>1.1112461841856462</c:v>
                </c:pt>
                <c:pt idx="414">
                  <c:v>1.1345868114650042</c:v>
                </c:pt>
                <c:pt idx="415">
                  <c:v>1.1345868114650042</c:v>
                </c:pt>
                <c:pt idx="416">
                  <c:v>1.1537942026636425</c:v>
                </c:pt>
                <c:pt idx="417">
                  <c:v>1.1585487748872156</c:v>
                </c:pt>
                <c:pt idx="418">
                  <c:v>1.1608180025393755</c:v>
                </c:pt>
                <c:pt idx="419">
                  <c:v>1.1525785449928427</c:v>
                </c:pt>
                <c:pt idx="420">
                  <c:v>1.1559283572412693</c:v>
                </c:pt>
                <c:pt idx="421">
                  <c:v>1.1403949536699372</c:v>
                </c:pt>
                <c:pt idx="422">
                  <c:v>1.1166491071669791</c:v>
                </c:pt>
                <c:pt idx="423">
                  <c:v>1.1139476456763127</c:v>
                </c:pt>
                <c:pt idx="424">
                  <c:v>1.1175135748439924</c:v>
                </c:pt>
                <c:pt idx="425">
                  <c:v>1.1332901099494843</c:v>
                </c:pt>
                <c:pt idx="426">
                  <c:v>1.0949293567820206</c:v>
                </c:pt>
                <c:pt idx="427">
                  <c:v>1.0876894399870345</c:v>
                </c:pt>
                <c:pt idx="428">
                  <c:v>1.0757489801982887</c:v>
                </c:pt>
                <c:pt idx="429">
                  <c:v>1.0675635518815694</c:v>
                </c:pt>
                <c:pt idx="430">
                  <c:v>1.0709133641299957</c:v>
                </c:pt>
                <c:pt idx="431">
                  <c:v>1.0596212550990098</c:v>
                </c:pt>
                <c:pt idx="432">
                  <c:v>1.0556230920928233</c:v>
                </c:pt>
                <c:pt idx="433">
                  <c:v>1.0745873517573017</c:v>
                </c:pt>
                <c:pt idx="434">
                  <c:v>1.0816111516330345</c:v>
                </c:pt>
                <c:pt idx="435">
                  <c:v>1.0984142421049801</c:v>
                </c:pt>
                <c:pt idx="436">
                  <c:v>1.1102196288191926</c:v>
                </c:pt>
                <c:pt idx="437">
                  <c:v>1.0619445119809829</c:v>
                </c:pt>
                <c:pt idx="438">
                  <c:v>1.0659967042169827</c:v>
                </c:pt>
                <c:pt idx="439">
                  <c:v>1.0538941567387969</c:v>
                </c:pt>
                <c:pt idx="440">
                  <c:v>1.0415754923413578</c:v>
                </c:pt>
                <c:pt idx="441">
                  <c:v>1.0496528621984504</c:v>
                </c:pt>
                <c:pt idx="442">
                  <c:v>1.0376043439500779</c:v>
                </c:pt>
                <c:pt idx="443">
                  <c:v>1.0195045519626127</c:v>
                </c:pt>
                <c:pt idx="444">
                  <c:v>1.0109409190372001</c:v>
                </c:pt>
                <c:pt idx="445">
                  <c:v>0.99400275549072126</c:v>
                </c:pt>
                <c:pt idx="446">
                  <c:v>0.9841694356646955</c:v>
                </c:pt>
                <c:pt idx="447">
                  <c:v>0.98165707647837575</c:v>
                </c:pt>
                <c:pt idx="448">
                  <c:v>1.0009725261366409</c:v>
                </c:pt>
                <c:pt idx="449">
                  <c:v>0.98006321419888276</c:v>
                </c:pt>
                <c:pt idx="450">
                  <c:v>0.96490801523624392</c:v>
                </c:pt>
                <c:pt idx="451">
                  <c:v>0.99038279709322863</c:v>
                </c:pt>
                <c:pt idx="452">
                  <c:v>1.0210713996271996</c:v>
                </c:pt>
                <c:pt idx="453">
                  <c:v>1.0186941135154131</c:v>
                </c:pt>
                <c:pt idx="454">
                  <c:v>1.0081854283167206</c:v>
                </c:pt>
                <c:pt idx="455">
                  <c:v>0.98006321419888298</c:v>
                </c:pt>
                <c:pt idx="456">
                  <c:v>0.97258016586973683</c:v>
                </c:pt>
                <c:pt idx="457">
                  <c:v>0.96642083367101739</c:v>
                </c:pt>
                <c:pt idx="458">
                  <c:v>0.96323310911203097</c:v>
                </c:pt>
                <c:pt idx="459">
                  <c:v>0.98865386173920244</c:v>
                </c:pt>
                <c:pt idx="460">
                  <c:v>0.96612367290704415</c:v>
                </c:pt>
                <c:pt idx="461">
                  <c:v>0.99095010400626882</c:v>
                </c:pt>
                <c:pt idx="462">
                  <c:v>1.0025934030310413</c:v>
                </c:pt>
                <c:pt idx="463">
                  <c:v>0.99548855931058844</c:v>
                </c:pt>
                <c:pt idx="464">
                  <c:v>0.9871410433044292</c:v>
                </c:pt>
                <c:pt idx="465">
                  <c:v>1.0111300213415475</c:v>
                </c:pt>
                <c:pt idx="466">
                  <c:v>1.0235027149687999</c:v>
                </c:pt>
                <c:pt idx="467">
                  <c:v>1.0398465569873319</c:v>
                </c:pt>
                <c:pt idx="468">
                  <c:v>1.032012318664399</c:v>
                </c:pt>
                <c:pt idx="469">
                  <c:v>1.0265013372234395</c:v>
                </c:pt>
                <c:pt idx="470">
                  <c:v>1.0509225490990641</c:v>
                </c:pt>
                <c:pt idx="471">
                  <c:v>1.0433314423102913</c:v>
                </c:pt>
                <c:pt idx="472">
                  <c:v>1.0387659723910649</c:v>
                </c:pt>
                <c:pt idx="473">
                  <c:v>1.0126968690061338</c:v>
                </c:pt>
                <c:pt idx="474">
                  <c:v>1.0022692276521612</c:v>
                </c:pt>
                <c:pt idx="475">
                  <c:v>1.01669503201232</c:v>
                </c:pt>
                <c:pt idx="476">
                  <c:v>1.0264202933787192</c:v>
                </c:pt>
                <c:pt idx="477">
                  <c:v>1.0319582894345856</c:v>
                </c:pt>
                <c:pt idx="478">
                  <c:v>1.0106977875030405</c:v>
                </c:pt>
                <c:pt idx="479">
                  <c:v>1.0662398357511429</c:v>
                </c:pt>
                <c:pt idx="480">
                  <c:v>1.0765594186454888</c:v>
                </c:pt>
                <c:pt idx="481">
                  <c:v>1.0674014641921294</c:v>
                </c:pt>
                <c:pt idx="482">
                  <c:v>1.0765053894156753</c:v>
                </c:pt>
                <c:pt idx="483">
                  <c:v>1.0682929464840492</c:v>
                </c:pt>
                <c:pt idx="484">
                  <c:v>1.0650241780803429</c:v>
                </c:pt>
                <c:pt idx="485">
                  <c:v>1.0698597941486356</c:v>
                </c:pt>
                <c:pt idx="486">
                  <c:v>1.0659696896020758</c:v>
                </c:pt>
                <c:pt idx="487">
                  <c:v>1.0803144501175146</c:v>
                </c:pt>
                <c:pt idx="488">
                  <c:v>1.087122133073994</c:v>
                </c:pt>
                <c:pt idx="489">
                  <c:v>1.086879001539834</c:v>
                </c:pt>
                <c:pt idx="490">
                  <c:v>1.0695356187697553</c:v>
                </c:pt>
                <c:pt idx="491">
                  <c:v>1.0676986249561022</c:v>
                </c:pt>
                <c:pt idx="492">
                  <c:v>1.1013318205148996</c:v>
                </c:pt>
                <c:pt idx="493">
                  <c:v>1.1005213820676998</c:v>
                </c:pt>
                <c:pt idx="494">
                  <c:v>1.0992516951670865</c:v>
                </c:pt>
                <c:pt idx="495">
                  <c:v>1.0794769970554079</c:v>
                </c:pt>
                <c:pt idx="496">
                  <c:v>1.0639165788691691</c:v>
                </c:pt>
                <c:pt idx="497">
                  <c:v>1.0621065996704226</c:v>
                </c:pt>
                <c:pt idx="498">
                  <c:v>1.0704271010616753</c:v>
                </c:pt>
                <c:pt idx="499">
                  <c:v>1.0624307750493025</c:v>
                </c:pt>
                <c:pt idx="500">
                  <c:v>1.0777480617013813</c:v>
                </c:pt>
                <c:pt idx="501">
                  <c:v>1.085906475403194</c:v>
                </c:pt>
                <c:pt idx="502">
                  <c:v>1.0789637193721811</c:v>
                </c:pt>
                <c:pt idx="503">
                  <c:v>1.0525704406083698</c:v>
                </c:pt>
                <c:pt idx="504">
                  <c:v>1.0353891455277311</c:v>
                </c:pt>
                <c:pt idx="505">
                  <c:v>1.0266093956830651</c:v>
                </c:pt>
                <c:pt idx="506">
                  <c:v>1.0280141556582119</c:v>
                </c:pt>
                <c:pt idx="507">
                  <c:v>1.0433854715401041</c:v>
                </c:pt>
                <c:pt idx="508">
                  <c:v>1.0285004187265321</c:v>
                </c:pt>
                <c:pt idx="509">
                  <c:v>1.0344166193910915</c:v>
                </c:pt>
                <c:pt idx="510">
                  <c:v>1.0303374125401852</c:v>
                </c:pt>
                <c:pt idx="511">
                  <c:v>1.0175324850744263</c:v>
                </c:pt>
                <c:pt idx="512">
                  <c:v>1.0358483939811447</c:v>
                </c:pt>
                <c:pt idx="513">
                  <c:v>1.0331199178755717</c:v>
                </c:pt>
                <c:pt idx="514">
                  <c:v>1.0287705648755987</c:v>
                </c:pt>
                <c:pt idx="515">
                  <c:v>1.036712861658158</c:v>
                </c:pt>
                <c:pt idx="516">
                  <c:v>1.0248804603290389</c:v>
                </c:pt>
                <c:pt idx="517">
                  <c:v>1.048383175297837</c:v>
                </c:pt>
                <c:pt idx="518">
                  <c:v>1.0477888537698905</c:v>
                </c:pt>
                <c:pt idx="519">
                  <c:v>1.0551368290245033</c:v>
                </c:pt>
                <c:pt idx="520">
                  <c:v>1.0684820487883957</c:v>
                </c:pt>
                <c:pt idx="521">
                  <c:v>1.0723721533349555</c:v>
                </c:pt>
                <c:pt idx="522">
                  <c:v>1.0765324040305819</c:v>
                </c:pt>
                <c:pt idx="523">
                  <c:v>1.0745603371423953</c:v>
                </c:pt>
                <c:pt idx="524">
                  <c:v>1.05759515898101</c:v>
                </c:pt>
                <c:pt idx="525">
                  <c:v>1.0498959937326104</c:v>
                </c:pt>
                <c:pt idx="526">
                  <c:v>1.0694545749250355</c:v>
                </c:pt>
                <c:pt idx="527">
                  <c:v>1.0822865170057012</c:v>
                </c:pt>
                <c:pt idx="528">
                  <c:v>1.0811248885647147</c:v>
                </c:pt>
                <c:pt idx="529">
                  <c:v>1.0815301077883148</c:v>
                </c:pt>
                <c:pt idx="530">
                  <c:v>1.0934165383472472</c:v>
                </c:pt>
                <c:pt idx="531">
                  <c:v>1.0959288975335668</c:v>
                </c:pt>
                <c:pt idx="532">
                  <c:v>1.0821784585460745</c:v>
                </c:pt>
                <c:pt idx="533">
                  <c:v>1.0980900667261002</c:v>
                </c:pt>
                <c:pt idx="534">
                  <c:v>1.1097603803657792</c:v>
                </c:pt>
                <c:pt idx="535">
                  <c:v>1.1259151200799644</c:v>
                </c:pt>
                <c:pt idx="536">
                  <c:v>1.1139476456763122</c:v>
                </c:pt>
                <c:pt idx="537">
                  <c:v>1.1071399627198326</c:v>
                </c:pt>
                <c:pt idx="538">
                  <c:v>1.1216197963098049</c:v>
                </c:pt>
                <c:pt idx="539">
                  <c:v>1.109355161142179</c:v>
                </c:pt>
                <c:pt idx="540">
                  <c:v>1.0997379582354065</c:v>
                </c:pt>
                <c:pt idx="541">
                  <c:v>1.1023043466515399</c:v>
                </c:pt>
                <c:pt idx="542">
                  <c:v>1.1152443471918321</c:v>
                </c:pt>
                <c:pt idx="543">
                  <c:v>1.1147310695086055</c:v>
                </c:pt>
                <c:pt idx="544">
                  <c:v>1.1183510279060984</c:v>
                </c:pt>
                <c:pt idx="545">
                  <c:v>1.1029526974092996</c:v>
                </c:pt>
                <c:pt idx="546">
                  <c:v>1.1001972066888199</c:v>
                </c:pt>
                <c:pt idx="547">
                  <c:v>1.0781262663100748</c:v>
                </c:pt>
                <c:pt idx="548">
                  <c:v>1.0766404624902084</c:v>
                </c:pt>
                <c:pt idx="549">
                  <c:v>1.0823675608504213</c:v>
                </c:pt>
                <c:pt idx="550">
                  <c:v>1.0708053056703688</c:v>
                </c:pt>
                <c:pt idx="551">
                  <c:v>1.0744522786827686</c:v>
                </c:pt>
                <c:pt idx="552">
                  <c:v>1.0704811302914887</c:v>
                </c:pt>
                <c:pt idx="553">
                  <c:v>1.0663749088256758</c:v>
                </c:pt>
                <c:pt idx="554">
                  <c:v>1.0746683956020218</c:v>
                </c:pt>
                <c:pt idx="555">
                  <c:v>1.0919037199124737</c:v>
                </c:pt>
                <c:pt idx="556">
                  <c:v>1.0926601291298603</c:v>
                </c:pt>
                <c:pt idx="557">
                  <c:v>1.0759110678877282</c:v>
                </c:pt>
                <c:pt idx="558">
                  <c:v>1.0776670178566616</c:v>
                </c:pt>
                <c:pt idx="559">
                  <c:v>1.0577842612853565</c:v>
                </c:pt>
                <c:pt idx="560">
                  <c:v>1.042521003863091</c:v>
                </c:pt>
                <c:pt idx="561">
                  <c:v>1.0410352000432244</c:v>
                </c:pt>
                <c:pt idx="562">
                  <c:v>1.0582435097387697</c:v>
                </c:pt>
                <c:pt idx="563">
                  <c:v>1.0516249290866369</c:v>
                </c:pt>
                <c:pt idx="564">
                  <c:v>1.070075911067889</c:v>
                </c:pt>
                <c:pt idx="565">
                  <c:v>1.0535429667450102</c:v>
                </c:pt>
                <c:pt idx="566">
                  <c:v>1.0636734473350093</c:v>
                </c:pt>
                <c:pt idx="567">
                  <c:v>1.077640003241755</c:v>
                </c:pt>
                <c:pt idx="568">
                  <c:v>1.0592700651052231</c:v>
                </c:pt>
                <c:pt idx="569">
                  <c:v>1.0621336142853295</c:v>
                </c:pt>
                <c:pt idx="570">
                  <c:v>1.069103384931249</c:v>
                </c:pt>
                <c:pt idx="571">
                  <c:v>1.071102466434342</c:v>
                </c:pt>
                <c:pt idx="572">
                  <c:v>1.0686981657076489</c:v>
                </c:pt>
                <c:pt idx="573">
                  <c:v>1.084231569278981</c:v>
                </c:pt>
                <c:pt idx="574">
                  <c:v>1.090580003782047</c:v>
                </c:pt>
                <c:pt idx="575">
                  <c:v>1.105951319663939</c:v>
                </c:pt>
                <c:pt idx="576">
                  <c:v>1.1101655995893789</c:v>
                </c:pt>
                <c:pt idx="577">
                  <c:v>1.1040062673906594</c:v>
                </c:pt>
                <c:pt idx="578">
                  <c:v>1.1011157035956463</c:v>
                </c:pt>
                <c:pt idx="579">
                  <c:v>1.1054110273658058</c:v>
                </c:pt>
                <c:pt idx="580">
                  <c:v>1.1065456411918857</c:v>
                </c:pt>
                <c:pt idx="581">
                  <c:v>1.1068428019558589</c:v>
                </c:pt>
                <c:pt idx="582">
                  <c:v>1.1023313612664458</c:v>
                </c:pt>
                <c:pt idx="583">
                  <c:v>1.116973282545858</c:v>
                </c:pt>
                <c:pt idx="584">
                  <c:v>1.1142448064402848</c:v>
                </c:pt>
                <c:pt idx="585">
                  <c:v>1.1182429694464711</c:v>
                </c:pt>
                <c:pt idx="586">
                  <c:v>1.1189723640489511</c:v>
                </c:pt>
                <c:pt idx="587">
                  <c:v>1.1187832617446043</c:v>
                </c:pt>
                <c:pt idx="588">
                  <c:v>1.1126779587756981</c:v>
                </c:pt>
                <c:pt idx="589">
                  <c:v>1.1135424264527114</c:v>
                </c:pt>
                <c:pt idx="590">
                  <c:v>1.1147040548936979</c:v>
                </c:pt>
                <c:pt idx="591">
                  <c:v>1.0970094821298326</c:v>
                </c:pt>
                <c:pt idx="592">
                  <c:v>1.0923629683658864</c:v>
                </c:pt>
                <c:pt idx="593">
                  <c:v>1.1141097333657513</c:v>
                </c:pt>
                <c:pt idx="594">
                  <c:v>1.123618877812897</c:v>
                </c:pt>
                <c:pt idx="595">
                  <c:v>1.1224842639868171</c:v>
                </c:pt>
                <c:pt idx="596">
                  <c:v>1.1098684388254048</c:v>
                </c:pt>
                <c:pt idx="597">
                  <c:v>1.1022503174217253</c:v>
                </c:pt>
                <c:pt idx="598">
                  <c:v>1.0944430937136993</c:v>
                </c:pt>
                <c:pt idx="599">
                  <c:v>1.1147040548936977</c:v>
                </c:pt>
                <c:pt idx="600">
                  <c:v>1.115001215657671</c:v>
                </c:pt>
                <c:pt idx="601">
                  <c:v>1.1101115703595645</c:v>
                </c:pt>
                <c:pt idx="602">
                  <c:v>1.1152983764216442</c:v>
                </c:pt>
                <c:pt idx="603">
                  <c:v>1.1133533241483642</c:v>
                </c:pt>
                <c:pt idx="604">
                  <c:v>1.1118945349434044</c:v>
                </c:pt>
                <c:pt idx="605">
                  <c:v>1.1157306102601507</c:v>
                </c:pt>
                <c:pt idx="606">
                  <c:v>1.1082745765459114</c:v>
                </c:pt>
                <c:pt idx="607">
                  <c:v>1.1217278547694305</c:v>
                </c:pt>
                <c:pt idx="608">
                  <c:v>1.1325337007320964</c:v>
                </c:pt>
                <c:pt idx="609">
                  <c:v>1.1308858092227898</c:v>
                </c:pt>
                <c:pt idx="610">
                  <c:v>1.1313450576762032</c:v>
                </c:pt>
                <c:pt idx="611">
                  <c:v>1.1186481886700708</c:v>
                </c:pt>
                <c:pt idx="612">
                  <c:v>1.1105438041980715</c:v>
                </c:pt>
                <c:pt idx="613">
                  <c:v>1.1201610071048442</c:v>
                </c:pt>
                <c:pt idx="614">
                  <c:v>1.1346678553097231</c:v>
                </c:pt>
                <c:pt idx="615">
                  <c:v>1.1351000891482299</c:v>
                </c:pt>
                <c:pt idx="616">
                  <c:v>1.1288056838749772</c:v>
                </c:pt>
                <c:pt idx="617">
                  <c:v>1.1395304859929229</c:v>
                </c:pt>
                <c:pt idx="618">
                  <c:v>1.1560094010859885</c:v>
                </c:pt>
                <c:pt idx="619">
                  <c:v>1.1537942026636421</c:v>
                </c:pt>
                <c:pt idx="620">
                  <c:v>1.1563065618499619</c:v>
                </c:pt>
                <c:pt idx="621">
                  <c:v>1.1523083988437757</c:v>
                </c:pt>
                <c:pt idx="622">
                  <c:v>1.159278169489695</c:v>
                </c:pt>
                <c:pt idx="623">
                  <c:v>1.1613582948375081</c:v>
                </c:pt>
                <c:pt idx="624">
                  <c:v>1.1718939946511073</c:v>
                </c:pt>
                <c:pt idx="625">
                  <c:v>1.1796201745144133</c:v>
                </c:pt>
                <c:pt idx="626">
                  <c:v>1.1810249344895598</c:v>
                </c:pt>
                <c:pt idx="627">
                  <c:v>1.195666855768972</c:v>
                </c:pt>
                <c:pt idx="628">
                  <c:v>1.1871842666882793</c:v>
                </c:pt>
                <c:pt idx="629">
                  <c:v>1.1810249344895598</c:v>
                </c:pt>
                <c:pt idx="630">
                  <c:v>1.1749736607504668</c:v>
                </c:pt>
                <c:pt idx="631">
                  <c:v>1.1792149552908131</c:v>
                </c:pt>
                <c:pt idx="632">
                  <c:v>1.1703001323716138</c:v>
                </c:pt>
                <c:pt idx="633">
                  <c:v>1.1655185455331343</c:v>
                </c:pt>
                <c:pt idx="634">
                  <c:v>1.1782964583839866</c:v>
                </c:pt>
                <c:pt idx="635">
                  <c:v>1.178890779911933</c:v>
                </c:pt>
                <c:pt idx="636">
                  <c:v>1.1835372936758795</c:v>
                </c:pt>
                <c:pt idx="637">
                  <c:v>1.1975038495826249</c:v>
                </c:pt>
                <c:pt idx="638">
                  <c:v>1.1988815949428648</c:v>
                </c:pt>
                <c:pt idx="639">
                  <c:v>1.197098630359025</c:v>
                </c:pt>
                <c:pt idx="640">
                  <c:v>1.1877245589864125</c:v>
                </c:pt>
                <c:pt idx="641">
                  <c:v>1.1847259367317726</c:v>
                </c:pt>
                <c:pt idx="642">
                  <c:v>1.1877245589864125</c:v>
                </c:pt>
                <c:pt idx="643">
                  <c:v>1.1952886511602783</c:v>
                </c:pt>
                <c:pt idx="644">
                  <c:v>1.2049058540670508</c:v>
                </c:pt>
                <c:pt idx="645">
                  <c:v>1.2144690277440102</c:v>
                </c:pt>
                <c:pt idx="646">
                  <c:v>1.2137126185266236</c:v>
                </c:pt>
                <c:pt idx="647">
                  <c:v>1.2179268984520635</c:v>
                </c:pt>
                <c:pt idx="648">
                  <c:v>1.2269767944457961</c:v>
                </c:pt>
                <c:pt idx="649">
                  <c:v>1.2297052705513691</c:v>
                </c:pt>
                <c:pt idx="650">
                  <c:v>1.2215468568495564</c:v>
                </c:pt>
                <c:pt idx="651">
                  <c:v>1.2215468568495564</c:v>
                </c:pt>
                <c:pt idx="652">
                  <c:v>1.2270038090607025</c:v>
                </c:pt>
                <c:pt idx="653">
                  <c:v>1.2303536213091288</c:v>
                </c:pt>
                <c:pt idx="654">
                  <c:v>1.2305427236134754</c:v>
                </c:pt>
                <c:pt idx="655">
                  <c:v>1.2223843099116627</c:v>
                </c:pt>
                <c:pt idx="656">
                  <c:v>1.2343517843153151</c:v>
                </c:pt>
                <c:pt idx="657">
                  <c:v>1.2367020558121948</c:v>
                </c:pt>
                <c:pt idx="658">
                  <c:v>1.2331631412594217</c:v>
                </c:pt>
                <c:pt idx="659">
                  <c:v>1.2160088607936896</c:v>
                </c:pt>
                <c:pt idx="660">
                  <c:v>1.2125239754707298</c:v>
                </c:pt>
                <c:pt idx="661">
                  <c:v>1.2070400086446769</c:v>
                </c:pt>
                <c:pt idx="662">
                  <c:v>1.2175757084582759</c:v>
                </c:pt>
                <c:pt idx="663">
                  <c:v>1.2122808439365695</c:v>
                </c:pt>
                <c:pt idx="664">
                  <c:v>1.2041764594645701</c:v>
                </c:pt>
                <c:pt idx="665">
                  <c:v>1.2046086933030766</c:v>
                </c:pt>
                <c:pt idx="666">
                  <c:v>1.2039063133155032</c:v>
                </c:pt>
                <c:pt idx="667">
                  <c:v>1.2105519085825427</c:v>
                </c:pt>
                <c:pt idx="668">
                  <c:v>1.1964502796012637</c:v>
                </c:pt>
                <c:pt idx="669">
                  <c:v>1.1876705297565977</c:v>
                </c:pt>
                <c:pt idx="670">
                  <c:v>1.1786206337628651</c:v>
                </c:pt>
                <c:pt idx="671">
                  <c:v>1.1791879406759049</c:v>
                </c:pt>
                <c:pt idx="672">
                  <c:v>1.1868600913093976</c:v>
                </c:pt>
                <c:pt idx="673">
                  <c:v>1.1836453521355046</c:v>
                </c:pt>
                <c:pt idx="674">
                  <c:v>1.196828484209957</c:v>
                </c:pt>
                <c:pt idx="675">
                  <c:v>1.180241510657265</c:v>
                </c:pt>
                <c:pt idx="676">
                  <c:v>1.1885620120485176</c:v>
                </c:pt>
                <c:pt idx="677">
                  <c:v>1.196099089607477</c:v>
                </c:pt>
                <c:pt idx="678">
                  <c:v>1.2133884431477424</c:v>
                </c:pt>
                <c:pt idx="679">
                  <c:v>1.2183861469054751</c:v>
                </c:pt>
                <c:pt idx="680">
                  <c:v>1.2166031823216354</c:v>
                </c:pt>
                <c:pt idx="681">
                  <c:v>1.2188724099737953</c:v>
                </c:pt>
                <c:pt idx="682">
                  <c:v>1.2136045600669958</c:v>
                </c:pt>
                <c:pt idx="683">
                  <c:v>1.2054461463651831</c:v>
                </c:pt>
                <c:pt idx="684">
                  <c:v>1.2017451441229701</c:v>
                </c:pt>
                <c:pt idx="685">
                  <c:v>1.2035551233217163</c:v>
                </c:pt>
                <c:pt idx="686">
                  <c:v>1.211470405489369</c:v>
                </c:pt>
                <c:pt idx="687">
                  <c:v>1.2048248102223296</c:v>
                </c:pt>
                <c:pt idx="688">
                  <c:v>1.2062295701974759</c:v>
                </c:pt>
                <c:pt idx="689">
                  <c:v>1.2166301969365418</c:v>
                </c:pt>
                <c:pt idx="690">
                  <c:v>1.1977469811167833</c:v>
                </c:pt>
                <c:pt idx="691">
                  <c:v>1.1984493611043565</c:v>
                </c:pt>
                <c:pt idx="692">
                  <c:v>1.1959640165329433</c:v>
                </c:pt>
                <c:pt idx="693">
                  <c:v>1.1849690682659308</c:v>
                </c:pt>
                <c:pt idx="694">
                  <c:v>1.1653834724585992</c:v>
                </c:pt>
                <c:pt idx="695">
                  <c:v>1.1627630548126529</c:v>
                </c:pt>
                <c:pt idx="696">
                  <c:v>1.1676527001107591</c:v>
                </c:pt>
                <c:pt idx="697">
                  <c:v>1.150498419645027</c:v>
                </c:pt>
                <c:pt idx="698">
                  <c:v>1.1509576680984404</c:v>
                </c:pt>
                <c:pt idx="699">
                  <c:v>1.1576302779803864</c:v>
                </c:pt>
                <c:pt idx="700">
                  <c:v>1.1548207580300935</c:v>
                </c:pt>
                <c:pt idx="701">
                  <c:v>1.1543615095766802</c:v>
                </c:pt>
                <c:pt idx="702">
                  <c:v>1.1389091498500681</c:v>
                </c:pt>
                <c:pt idx="703">
                  <c:v>1.1472026366264141</c:v>
                </c:pt>
                <c:pt idx="704">
                  <c:v>1.1467704027879073</c:v>
                </c:pt>
                <c:pt idx="705">
                  <c:v>1.1603857687008663</c:v>
                </c:pt>
                <c:pt idx="706">
                  <c:v>1.167814787800199</c:v>
                </c:pt>
                <c:pt idx="707">
                  <c:v>1.1738930761541986</c:v>
                </c:pt>
                <c:pt idx="708">
                  <c:v>1.1787016776075847</c:v>
                </c:pt>
                <c:pt idx="709">
                  <c:v>1.171515790042412</c:v>
                </c:pt>
                <c:pt idx="710">
                  <c:v>1.1656806332225724</c:v>
                </c:pt>
                <c:pt idx="711">
                  <c:v>1.1779452683901983</c:v>
                </c:pt>
                <c:pt idx="712">
                  <c:v>1.1778912391603849</c:v>
                </c:pt>
                <c:pt idx="713">
                  <c:v>1.1621957478996128</c:v>
                </c:pt>
                <c:pt idx="714">
                  <c:v>1.1519842234648936</c:v>
                </c:pt>
                <c:pt idx="715">
                  <c:v>1.1378285652538014</c:v>
                </c:pt>
                <c:pt idx="716">
                  <c:v>1.1358564983656148</c:v>
                </c:pt>
                <c:pt idx="717">
                  <c:v>1.1444201312910274</c:v>
                </c:pt>
                <c:pt idx="718">
                  <c:v>1.1279952454277753</c:v>
                </c:pt>
                <c:pt idx="719">
                  <c:v>1.114487937974443</c:v>
                </c:pt>
                <c:pt idx="720">
                  <c:v>1.1094362049868967</c:v>
                </c:pt>
                <c:pt idx="721">
                  <c:v>1.1227003809060687</c:v>
                </c:pt>
                <c:pt idx="722">
                  <c:v>1.1297511953967081</c:v>
                </c:pt>
                <c:pt idx="723">
                  <c:v>1.1417997136450806</c:v>
                </c:pt>
                <c:pt idx="724">
                  <c:v>1.1636815517194787</c:v>
                </c:pt>
                <c:pt idx="725">
                  <c:v>1.1742982953777981</c:v>
                </c:pt>
                <c:pt idx="726">
                  <c:v>1.1769997568684645</c:v>
                </c:pt>
                <c:pt idx="727">
                  <c:v>1.180349569116891</c:v>
                </c:pt>
                <c:pt idx="728">
                  <c:v>1.1812140367939041</c:v>
                </c:pt>
                <c:pt idx="729">
                  <c:v>1.1720020531107316</c:v>
                </c:pt>
                <c:pt idx="730">
                  <c:v>1.1902909474025436</c:v>
                </c:pt>
                <c:pt idx="731">
                  <c:v>1.1891563335764637</c:v>
                </c:pt>
                <c:pt idx="732">
                  <c:v>1.2122268147067552</c:v>
                </c:pt>
                <c:pt idx="733">
                  <c:v>1.2147932031228883</c:v>
                </c:pt>
                <c:pt idx="734">
                  <c:v>1.2162790069427547</c:v>
                </c:pt>
                <c:pt idx="735">
                  <c:v>1.2177918253775279</c:v>
                </c:pt>
                <c:pt idx="736">
                  <c:v>1.2271658967501407</c:v>
                </c:pt>
                <c:pt idx="737">
                  <c:v>1.2244914498743809</c:v>
                </c:pt>
                <c:pt idx="738">
                  <c:v>1.2292190074830474</c:v>
                </c:pt>
                <c:pt idx="739">
                  <c:v>1.2299754167004342</c:v>
                </c:pt>
                <c:pt idx="740">
                  <c:v>1.2277602182780878</c:v>
                </c:pt>
                <c:pt idx="741">
                  <c:v>1.2289758759488878</c:v>
                </c:pt>
                <c:pt idx="742">
                  <c:v>1.2281114082718747</c:v>
                </c:pt>
                <c:pt idx="743">
                  <c:v>1.2329470243401677</c:v>
                </c:pt>
                <c:pt idx="744">
                  <c:v>1.2402409703649673</c:v>
                </c:pt>
                <c:pt idx="745">
                  <c:v>1.2337304481724611</c:v>
                </c:pt>
                <c:pt idx="746">
                  <c:v>1.2334873166383011</c:v>
                </c:pt>
                <c:pt idx="747">
                  <c:v>1.2285166274954749</c:v>
                </c:pt>
                <c:pt idx="748">
                  <c:v>1.2378906988680876</c:v>
                </c:pt>
                <c:pt idx="749">
                  <c:v>1.2432125780047003</c:v>
                </c:pt>
                <c:pt idx="750">
                  <c:v>1.2480481940729933</c:v>
                </c:pt>
                <c:pt idx="751">
                  <c:v>1.2537482778182996</c:v>
                </c:pt>
                <c:pt idx="752">
                  <c:v>1.2710376313585647</c:v>
                </c:pt>
                <c:pt idx="753">
                  <c:v>1.2751168382094711</c:v>
                </c:pt>
                <c:pt idx="754">
                  <c:v>1.2678769214144849</c:v>
                </c:pt>
                <c:pt idx="755">
                  <c:v>1.2750087797498446</c:v>
                </c:pt>
                <c:pt idx="756">
                  <c:v>1.2827619742280574</c:v>
                </c:pt>
                <c:pt idx="757">
                  <c:v>1.2649863576194722</c:v>
                </c:pt>
                <c:pt idx="758">
                  <c:v>1.2769808466380312</c:v>
                </c:pt>
                <c:pt idx="759">
                  <c:v>1.2795472350541643</c:v>
                </c:pt>
                <c:pt idx="760">
                  <c:v>1.2849501580354972</c:v>
                </c:pt>
                <c:pt idx="761">
                  <c:v>1.2872734149174703</c:v>
                </c:pt>
                <c:pt idx="762">
                  <c:v>1.2877596779857901</c:v>
                </c:pt>
                <c:pt idx="763">
                  <c:v>1.2840316611286704</c:v>
                </c:pt>
                <c:pt idx="764">
                  <c:v>1.2768457735634977</c:v>
                </c:pt>
                <c:pt idx="765">
                  <c:v>1.2664181322095254</c:v>
                </c:pt>
                <c:pt idx="766">
                  <c:v>1.2623389253586188</c:v>
                </c:pt>
                <c:pt idx="767">
                  <c:v>1.2640678607126454</c:v>
                </c:pt>
                <c:pt idx="768">
                  <c:v>1.2821136234702972</c:v>
                </c:pt>
                <c:pt idx="769">
                  <c:v>1.2801685711970172</c:v>
                </c:pt>
                <c:pt idx="770">
                  <c:v>1.2874084879920034</c:v>
                </c:pt>
                <c:pt idx="771">
                  <c:v>1.2868411810789635</c:v>
                </c:pt>
                <c:pt idx="772">
                  <c:v>1.2877326633708832</c:v>
                </c:pt>
                <c:pt idx="773">
                  <c:v>1.2830051057622169</c:v>
                </c:pt>
                <c:pt idx="774">
                  <c:v>1.2758732474268575</c:v>
                </c:pt>
                <c:pt idx="775">
                  <c:v>1.2872193856876564</c:v>
                </c:pt>
                <c:pt idx="776">
                  <c:v>1.3032660669422149</c:v>
                </c:pt>
                <c:pt idx="777">
                  <c:v>1.3060215576626946</c:v>
                </c:pt>
                <c:pt idx="778">
                  <c:v>1.3098306183645345</c:v>
                </c:pt>
                <c:pt idx="779">
                  <c:v>1.3112623929545877</c:v>
                </c:pt>
                <c:pt idx="780">
                  <c:v>1.3183942512899471</c:v>
                </c:pt>
                <c:pt idx="781">
                  <c:v>1.3167193451657342</c:v>
                </c:pt>
                <c:pt idx="782">
                  <c:v>1.3271469865197065</c:v>
                </c:pt>
                <c:pt idx="783">
                  <c:v>1.3261204311532533</c:v>
                </c:pt>
                <c:pt idx="784">
                  <c:v>1.3044817246130151</c:v>
                </c:pt>
                <c:pt idx="785">
                  <c:v>1.3215549612340269</c:v>
                </c:pt>
                <c:pt idx="786">
                  <c:v>1.3354674879109594</c:v>
                </c:pt>
                <c:pt idx="787">
                  <c:v>1.3306048572277598</c:v>
                </c:pt>
                <c:pt idx="788">
                  <c:v>1.334467947159413</c:v>
                </c:pt>
                <c:pt idx="789">
                  <c:v>1.3455979685009587</c:v>
                </c:pt>
                <c:pt idx="790">
                  <c:v>1.3461922900289054</c:v>
                </c:pt>
                <c:pt idx="791">
                  <c:v>1.3539724991220248</c:v>
                </c:pt>
                <c:pt idx="792">
                  <c:v>1.3533781775940781</c:v>
                </c:pt>
                <c:pt idx="793">
                  <c:v>1.3347380933084796</c:v>
                </c:pt>
                <c:pt idx="794">
                  <c:v>1.3468676554015719</c:v>
                </c:pt>
                <c:pt idx="795">
                  <c:v>1.3561606829294646</c:v>
                </c:pt>
                <c:pt idx="796">
                  <c:v>1.3494070292027984</c:v>
                </c:pt>
                <c:pt idx="797">
                  <c:v>1.3419780101034657</c:v>
                </c:pt>
                <c:pt idx="798">
                  <c:v>1.3431936677742657</c:v>
                </c:pt>
                <c:pt idx="799">
                  <c:v>1.3709917065132236</c:v>
                </c:pt>
                <c:pt idx="800">
                  <c:v>1.3719372180349569</c:v>
                </c:pt>
                <c:pt idx="801">
                  <c:v>1.3669124996623172</c:v>
                </c:pt>
                <c:pt idx="802">
                  <c:v>1.3694518734635435</c:v>
                </c:pt>
                <c:pt idx="803">
                  <c:v>1.367641894264797</c:v>
                </c:pt>
                <c:pt idx="804">
                  <c:v>1.3725585541778098</c:v>
                </c:pt>
                <c:pt idx="805">
                  <c:v>1.385444525488289</c:v>
                </c:pt>
                <c:pt idx="806">
                  <c:v>1.3839587216684224</c:v>
                </c:pt>
                <c:pt idx="807">
                  <c:v>1.3701272388362102</c:v>
                </c:pt>
                <c:pt idx="808">
                  <c:v>1.3770699948672229</c:v>
                </c:pt>
                <c:pt idx="809">
                  <c:v>1.3907393900099951</c:v>
                </c:pt>
                <c:pt idx="810">
                  <c:v>1.3823918740038361</c:v>
                </c:pt>
                <c:pt idx="811">
                  <c:v>1.3812032309479427</c:v>
                </c:pt>
                <c:pt idx="812">
                  <c:v>1.3960612691466081</c:v>
                </c:pt>
                <c:pt idx="813">
                  <c:v>1.3938730853391685</c:v>
                </c:pt>
                <c:pt idx="814">
                  <c:v>1.3911175946186889</c:v>
                </c:pt>
                <c:pt idx="815">
                  <c:v>1.3772861117864765</c:v>
                </c:pt>
                <c:pt idx="816">
                  <c:v>1.3854715401031958</c:v>
                </c:pt>
                <c:pt idx="817">
                  <c:v>1.3931707053515952</c:v>
                </c:pt>
                <c:pt idx="818">
                  <c:v>1.4060566766620739</c:v>
                </c:pt>
                <c:pt idx="819">
                  <c:v>1.4107031904260203</c:v>
                </c:pt>
                <c:pt idx="820">
                  <c:v>1.4080287435502605</c:v>
                </c:pt>
                <c:pt idx="821">
                  <c:v>1.4041386390037007</c:v>
                </c:pt>
                <c:pt idx="822">
                  <c:v>1.4015452359726608</c:v>
                </c:pt>
                <c:pt idx="823">
                  <c:v>1.4133236080719667</c:v>
                </c:pt>
                <c:pt idx="824">
                  <c:v>1.4130534619229003</c:v>
                </c:pt>
                <c:pt idx="825">
                  <c:v>1.4105951319663936</c:v>
                </c:pt>
                <c:pt idx="826">
                  <c:v>1.4016262798173811</c:v>
                </c:pt>
                <c:pt idx="827">
                  <c:v>1.4031661128670607</c:v>
                </c:pt>
                <c:pt idx="828">
                  <c:v>1.3860388470162357</c:v>
                </c:pt>
                <c:pt idx="829">
                  <c:v>1.4005186806062078</c:v>
                </c:pt>
                <c:pt idx="830">
                  <c:v>1.4013021044385012</c:v>
                </c:pt>
                <c:pt idx="831">
                  <c:v>1.4029229813329014</c:v>
                </c:pt>
                <c:pt idx="832">
                  <c:v>1.3888753815814356</c:v>
                </c:pt>
                <c:pt idx="833">
                  <c:v>1.3993570521652214</c:v>
                </c:pt>
                <c:pt idx="834">
                  <c:v>1.3800416025069564</c:v>
                </c:pt>
                <c:pt idx="835">
                  <c:v>1.362752248966691</c:v>
                </c:pt>
                <c:pt idx="836">
                  <c:v>1.360266904395278</c:v>
                </c:pt>
                <c:pt idx="837">
                  <c:v>1.352216549153092</c:v>
                </c:pt>
                <c:pt idx="838">
                  <c:v>1.3494340438177055</c:v>
                </c:pt>
                <c:pt idx="839">
                  <c:v>1.3376556717183998</c:v>
                </c:pt>
                <c:pt idx="840">
                  <c:v>1.3499743361158387</c:v>
                </c:pt>
                <c:pt idx="841">
                  <c:v>1.3659940027554907</c:v>
                </c:pt>
                <c:pt idx="842">
                  <c:v>1.3653456519977309</c:v>
                </c:pt>
                <c:pt idx="843">
                  <c:v>1.3601588459356513</c:v>
                </c:pt>
                <c:pt idx="844">
                  <c:v>1.3730448172461303</c:v>
                </c:pt>
                <c:pt idx="845">
                  <c:v>1.3779074479293298</c:v>
                </c:pt>
                <c:pt idx="846">
                  <c:v>1.3560796390847449</c:v>
                </c:pt>
                <c:pt idx="847">
                  <c:v>1.3516762568549587</c:v>
                </c:pt>
                <c:pt idx="848">
                  <c:v>1.3643190966312777</c:v>
                </c:pt>
                <c:pt idx="849">
                  <c:v>1.3812302455628498</c:v>
                </c:pt>
                <c:pt idx="850">
                  <c:v>1.3954939622335687</c:v>
                </c:pt>
                <c:pt idx="851">
                  <c:v>1.3970337952832483</c:v>
                </c:pt>
                <c:pt idx="852">
                  <c:v>1.3971688683577816</c:v>
                </c:pt>
                <c:pt idx="853">
                  <c:v>1.4052192235999674</c:v>
                </c:pt>
                <c:pt idx="854">
                  <c:v>1.4070292027987141</c:v>
                </c:pt>
                <c:pt idx="855">
                  <c:v>1.4072183051030607</c:v>
                </c:pt>
                <c:pt idx="856">
                  <c:v>1.4136747980657536</c:v>
                </c:pt>
                <c:pt idx="857">
                  <c:v>1.4311802685252721</c:v>
                </c:pt>
                <c:pt idx="858">
                  <c:v>1.4282356755004459</c:v>
                </c:pt>
                <c:pt idx="859">
                  <c:v>1.4302887862333522</c:v>
                </c:pt>
                <c:pt idx="860">
                  <c:v>1.4319366777426585</c:v>
                </c:pt>
                <c:pt idx="861">
                  <c:v>1.435448577680525</c:v>
                </c:pt>
                <c:pt idx="862">
                  <c:v>1.4313153415998054</c:v>
                </c:pt>
                <c:pt idx="863">
                  <c:v>1.4208606856309263</c:v>
                </c:pt>
                <c:pt idx="864">
                  <c:v>1.4302617716184456</c:v>
                </c:pt>
                <c:pt idx="865">
                  <c:v>1.431261312369992</c:v>
                </c:pt>
                <c:pt idx="866">
                  <c:v>1.4212388902396198</c:v>
                </c:pt>
                <c:pt idx="867">
                  <c:v>1.4118107896371939</c:v>
                </c:pt>
                <c:pt idx="868">
                  <c:v>1.4246697463327662</c:v>
                </c:pt>
                <c:pt idx="869">
                  <c:v>1.4258313747737525</c:v>
                </c:pt>
                <c:pt idx="870">
                  <c:v>1.4274252370532459</c:v>
                </c:pt>
                <c:pt idx="871">
                  <c:v>1.4443904152146312</c:v>
                </c:pt>
                <c:pt idx="872">
                  <c:v>1.4443634005997246</c:v>
                </c:pt>
                <c:pt idx="873">
                  <c:v>1.4426074506307915</c:v>
                </c:pt>
                <c:pt idx="874">
                  <c:v>1.447064862090391</c:v>
                </c:pt>
                <c:pt idx="875">
                  <c:v>1.4505497474133509</c:v>
                </c:pt>
                <c:pt idx="876">
                  <c:v>1.4624631925871898</c:v>
                </c:pt>
                <c:pt idx="877">
                  <c:v>1.4654077856120165</c:v>
                </c:pt>
                <c:pt idx="878">
                  <c:v>1.4662992679039362</c:v>
                </c:pt>
                <c:pt idx="879">
                  <c:v>1.4779695815436154</c:v>
                </c:pt>
                <c:pt idx="880">
                  <c:v>1.4817246130156416</c:v>
                </c:pt>
                <c:pt idx="881">
                  <c:v>1.4776994353945485</c:v>
                </c:pt>
                <c:pt idx="882">
                  <c:v>1.470972796282789</c:v>
                </c:pt>
                <c:pt idx="883">
                  <c:v>1.4661912094443095</c:v>
                </c:pt>
                <c:pt idx="884">
                  <c:v>1.4718372639598025</c:v>
                </c:pt>
                <c:pt idx="885">
                  <c:v>1.4736742577734556</c:v>
                </c:pt>
                <c:pt idx="886">
                  <c:v>1.4759975146554287</c:v>
                </c:pt>
                <c:pt idx="887">
                  <c:v>1.470189372450496</c:v>
                </c:pt>
                <c:pt idx="888">
                  <c:v>1.4732150093200425</c:v>
                </c:pt>
                <c:pt idx="889">
                  <c:v>1.4831293729907882</c:v>
                </c:pt>
                <c:pt idx="890">
                  <c:v>1.4897479536429212</c:v>
                </c:pt>
                <c:pt idx="891">
                  <c:v>1.4983386011832405</c:v>
                </c:pt>
                <c:pt idx="892">
                  <c:v>1.5000675365372671</c:v>
                </c:pt>
                <c:pt idx="893">
                  <c:v>1.5015263257422271</c:v>
                </c:pt>
                <c:pt idx="894">
                  <c:v>1.5163843639408927</c:v>
                </c:pt>
                <c:pt idx="895">
                  <c:v>1.503309290326067</c:v>
                </c:pt>
                <c:pt idx="896">
                  <c:v>1.5127914201583061</c:v>
                </c:pt>
                <c:pt idx="897">
                  <c:v>1.5169516708539323</c:v>
                </c:pt>
                <c:pt idx="898">
                  <c:v>1.5259475376178517</c:v>
                </c:pt>
                <c:pt idx="899">
                  <c:v>1.5045519626117736</c:v>
                </c:pt>
                <c:pt idx="900">
                  <c:v>1.4929897074317209</c:v>
                </c:pt>
                <c:pt idx="901">
                  <c:v>1.4830753437609752</c:v>
                </c:pt>
                <c:pt idx="902">
                  <c:v>1.4983656157981471</c:v>
                </c:pt>
                <c:pt idx="903">
                  <c:v>1.4960153443012671</c:v>
                </c:pt>
                <c:pt idx="904">
                  <c:v>1.4621120025934033</c:v>
                </c:pt>
                <c:pt idx="905">
                  <c:v>1.4544938811897237</c:v>
                </c:pt>
                <c:pt idx="906">
                  <c:v>1.4707836939784424</c:v>
                </c:pt>
                <c:pt idx="907">
                  <c:v>1.4716481616554555</c:v>
                </c:pt>
                <c:pt idx="908">
                  <c:v>1.4641921279412162</c:v>
                </c:pt>
                <c:pt idx="909">
                  <c:v>1.4879920036739875</c:v>
                </c:pt>
                <c:pt idx="910">
                  <c:v>1.4669206040467895</c:v>
                </c:pt>
                <c:pt idx="911">
                  <c:v>1.4396088283761515</c:v>
                </c:pt>
                <c:pt idx="912">
                  <c:v>1.3976821460410083</c:v>
                </c:pt>
                <c:pt idx="913">
                  <c:v>1.4105681173514872</c:v>
                </c:pt>
                <c:pt idx="914">
                  <c:v>1.4011400167490613</c:v>
                </c:pt>
                <c:pt idx="915">
                  <c:v>1.4335305400221519</c:v>
                </c:pt>
                <c:pt idx="916">
                  <c:v>1.4398519599103117</c:v>
                </c:pt>
                <c:pt idx="917">
                  <c:v>1.4406083691276981</c:v>
                </c:pt>
                <c:pt idx="918">
                  <c:v>1.4643001864008427</c:v>
                </c:pt>
                <c:pt idx="919">
                  <c:v>1.4689196855498825</c:v>
                </c:pt>
                <c:pt idx="920">
                  <c:v>1.494097306642894</c:v>
                </c:pt>
                <c:pt idx="921">
                  <c:v>1.4974471188913203</c:v>
                </c:pt>
                <c:pt idx="922">
                  <c:v>1.5117648647918527</c:v>
                </c:pt>
                <c:pt idx="923">
                  <c:v>1.5093065348353463</c:v>
                </c:pt>
                <c:pt idx="924">
                  <c:v>1.5144933408974257</c:v>
                </c:pt>
                <c:pt idx="925">
                  <c:v>1.5026069103384934</c:v>
                </c:pt>
                <c:pt idx="926">
                  <c:v>1.5185725477483321</c:v>
                </c:pt>
                <c:pt idx="927">
                  <c:v>1.5149525893508389</c:v>
                </c:pt>
                <c:pt idx="928">
                  <c:v>1.517032714698652</c:v>
                </c:pt>
                <c:pt idx="929">
                  <c:v>1.5082259502390793</c:v>
                </c:pt>
                <c:pt idx="930">
                  <c:v>1.5083610233136127</c:v>
                </c:pt>
                <c:pt idx="931">
                  <c:v>1.5227598130588647</c:v>
                </c:pt>
                <c:pt idx="932">
                  <c:v>1.491422859767134</c:v>
                </c:pt>
                <c:pt idx="933">
                  <c:v>1.4883702082826809</c:v>
                </c:pt>
                <c:pt idx="934">
                  <c:v>1.4847502498851879</c:v>
                </c:pt>
                <c:pt idx="935">
                  <c:v>1.4597617310965232</c:v>
                </c:pt>
                <c:pt idx="936">
                  <c:v>1.4761055731150552</c:v>
                </c:pt>
                <c:pt idx="937">
                  <c:v>1.4825350514628413</c:v>
                </c:pt>
                <c:pt idx="938">
                  <c:v>1.4977442796552936</c:v>
                </c:pt>
                <c:pt idx="939">
                  <c:v>1.5103601048167061</c:v>
                </c:pt>
                <c:pt idx="940">
                  <c:v>1.5182483723694522</c:v>
                </c:pt>
                <c:pt idx="941">
                  <c:v>1.5204905854067052</c:v>
                </c:pt>
                <c:pt idx="942">
                  <c:v>1.5211119215495585</c:v>
                </c:pt>
                <c:pt idx="943">
                  <c:v>1.5166004808601454</c:v>
                </c:pt>
                <c:pt idx="944">
                  <c:v>1.5424804819407301</c:v>
                </c:pt>
                <c:pt idx="945">
                  <c:v>1.5351054920712106</c:v>
                </c:pt>
                <c:pt idx="946">
                  <c:v>1.538941567387957</c:v>
                </c:pt>
                <c:pt idx="947">
                  <c:v>1.5433449496177434</c:v>
                </c:pt>
                <c:pt idx="948">
                  <c:v>1.5399411081395036</c:v>
                </c:pt>
                <c:pt idx="949">
                  <c:v>1.5460464111084098</c:v>
                </c:pt>
                <c:pt idx="950">
                  <c:v>1.5438041980711568</c:v>
                </c:pt>
                <c:pt idx="951">
                  <c:v>1.5499905448847831</c:v>
                </c:pt>
                <c:pt idx="952">
                  <c:v>1.5361050328227575</c:v>
                </c:pt>
                <c:pt idx="953">
                  <c:v>1.5367533835805174</c:v>
                </c:pt>
                <c:pt idx="954">
                  <c:v>1.5339438636302243</c:v>
                </c:pt>
                <c:pt idx="955">
                  <c:v>1.5478834049220629</c:v>
                </c:pt>
                <c:pt idx="956">
                  <c:v>1.5338898344004104</c:v>
                </c:pt>
                <c:pt idx="957">
                  <c:v>1.5483966826052891</c:v>
                </c:pt>
                <c:pt idx="958">
                  <c:v>1.5591214847232349</c:v>
                </c:pt>
                <c:pt idx="959">
                  <c:v>1.5563930086176618</c:v>
                </c:pt>
                <c:pt idx="960">
                  <c:v>1.5657130507604611</c:v>
                </c:pt>
                <c:pt idx="961">
                  <c:v>1.5785179782262202</c:v>
                </c:pt>
                <c:pt idx="962">
                  <c:v>1.5662533430585943</c:v>
                </c:pt>
                <c:pt idx="963">
                  <c:v>1.5730610260150737</c:v>
                </c:pt>
                <c:pt idx="964">
                  <c:v>1.5731960990896072</c:v>
                </c:pt>
                <c:pt idx="965">
                  <c:v>1.5792473728287</c:v>
                </c:pt>
                <c:pt idx="966">
                  <c:v>1.57665396979766</c:v>
                </c:pt>
                <c:pt idx="967">
                  <c:v>1.5758165167355536</c:v>
                </c:pt>
                <c:pt idx="968">
                  <c:v>1.5614177269903011</c:v>
                </c:pt>
                <c:pt idx="969">
                  <c:v>1.5647945538536343</c:v>
                </c:pt>
                <c:pt idx="970">
                  <c:v>1.5642542615555008</c:v>
                </c:pt>
                <c:pt idx="971">
                  <c:v>1.569089877623794</c:v>
                </c:pt>
                <c:pt idx="972">
                  <c:v>1.5716292514250205</c:v>
                </c:pt>
                <c:pt idx="973">
                  <c:v>1.5668746792014476</c:v>
                </c:pt>
                <c:pt idx="974">
                  <c:v>1.53615906205257</c:v>
                </c:pt>
                <c:pt idx="975">
                  <c:v>1.5426425696301695</c:v>
                </c:pt>
                <c:pt idx="976">
                  <c:v>1.5393197719966498</c:v>
                </c:pt>
                <c:pt idx="977">
                  <c:v>1.5579328416673419</c:v>
                </c:pt>
                <c:pt idx="978">
                  <c:v>1.5966717994434987</c:v>
                </c:pt>
                <c:pt idx="979">
                  <c:v>1.6090174784558444</c:v>
                </c:pt>
                <c:pt idx="980">
                  <c:v>1.6159872491017642</c:v>
                </c:pt>
                <c:pt idx="981">
                  <c:v>1.617527082151444</c:v>
                </c:pt>
                <c:pt idx="982">
                  <c:v>1.6125023637788043</c:v>
                </c:pt>
                <c:pt idx="983">
                  <c:v>1.6132857876110978</c:v>
                </c:pt>
                <c:pt idx="984">
                  <c:v>1.6029121754869384</c:v>
                </c:pt>
                <c:pt idx="985">
                  <c:v>1.5823810681578734</c:v>
                </c:pt>
                <c:pt idx="986">
                  <c:v>1.5888645757354727</c:v>
                </c:pt>
                <c:pt idx="987">
                  <c:v>1.5946727179404054</c:v>
                </c:pt>
                <c:pt idx="988">
                  <c:v>1.5952130102385387</c:v>
                </c:pt>
                <c:pt idx="989">
                  <c:v>1.6037766431639513</c:v>
                </c:pt>
                <c:pt idx="990">
                  <c:v>1.6087473323067776</c:v>
                </c:pt>
                <c:pt idx="991">
                  <c:v>1.6142042845179236</c:v>
                </c:pt>
                <c:pt idx="992">
                  <c:v>1.6226328443688027</c:v>
                </c:pt>
                <c:pt idx="993">
                  <c:v>1.6177161844557899</c:v>
                </c:pt>
                <c:pt idx="994">
                  <c:v>1.6277656212010687</c:v>
                </c:pt>
                <c:pt idx="995">
                  <c:v>1.6306831996109885</c:v>
                </c:pt>
                <c:pt idx="996">
                  <c:v>1.6314396088283751</c:v>
                </c:pt>
                <c:pt idx="997">
                  <c:v>1.6415700894183742</c:v>
                </c:pt>
                <c:pt idx="998">
                  <c:v>1.6388686279277078</c:v>
                </c:pt>
                <c:pt idx="999">
                  <c:v>1.6419753086419744</c:v>
                </c:pt>
                <c:pt idx="1000">
                  <c:v>1.6335197341761885</c:v>
                </c:pt>
                <c:pt idx="1001">
                  <c:v>1.6284409865737355</c:v>
                </c:pt>
                <c:pt idx="1002">
                  <c:v>1.6410297971202412</c:v>
                </c:pt>
                <c:pt idx="1003">
                  <c:v>1.6325742226544553</c:v>
                </c:pt>
                <c:pt idx="1004">
                  <c:v>1.6322500472755752</c:v>
                </c:pt>
                <c:pt idx="1005">
                  <c:v>1.6392198179214943</c:v>
                </c:pt>
                <c:pt idx="1006">
                  <c:v>1.6324661641948282</c:v>
                </c:pt>
                <c:pt idx="1007">
                  <c:v>1.5838128427479254</c:v>
                </c:pt>
                <c:pt idx="1008">
                  <c:v>1.5833265796796057</c:v>
                </c:pt>
                <c:pt idx="1009">
                  <c:v>1.596968960207471</c:v>
                </c:pt>
                <c:pt idx="1010">
                  <c:v>1.6065321338844303</c:v>
                </c:pt>
                <c:pt idx="1011">
                  <c:v>1.6243887943377353</c:v>
                </c:pt>
                <c:pt idx="1012">
                  <c:v>1.6244968527973622</c:v>
                </c:pt>
                <c:pt idx="1013">
                  <c:v>1.6073966015614434</c:v>
                </c:pt>
                <c:pt idx="1014">
                  <c:v>1.5890536780398183</c:v>
                </c:pt>
                <c:pt idx="1015">
                  <c:v>1.5832725504497922</c:v>
                </c:pt>
                <c:pt idx="1016">
                  <c:v>1.5793824459032324</c:v>
                </c:pt>
                <c:pt idx="1017">
                  <c:v>1.5991301294000044</c:v>
                </c:pt>
                <c:pt idx="1018">
                  <c:v>1.6083421130831768</c:v>
                </c:pt>
                <c:pt idx="1019">
                  <c:v>1.5901612772509914</c:v>
                </c:pt>
                <c:pt idx="1020">
                  <c:v>1.5924845341329645</c:v>
                </c:pt>
                <c:pt idx="1021">
                  <c:v>1.5681713807169664</c:v>
                </c:pt>
                <c:pt idx="1022">
                  <c:v>1.570602696058566</c:v>
                </c:pt>
                <c:pt idx="1023">
                  <c:v>1.5727638652510991</c:v>
                </c:pt>
                <c:pt idx="1024">
                  <c:v>1.6013723424372563</c:v>
                </c:pt>
                <c:pt idx="1025">
                  <c:v>1.5982926763378966</c:v>
                </c:pt>
                <c:pt idx="1026">
                  <c:v>1.6143393575924554</c:v>
                </c:pt>
                <c:pt idx="1027">
                  <c:v>1.6291163519464005</c:v>
                </c:pt>
                <c:pt idx="1028">
                  <c:v>1.63827430639976</c:v>
                </c:pt>
                <c:pt idx="1029">
                  <c:v>1.647216143933866</c:v>
                </c:pt>
                <c:pt idx="1030">
                  <c:v>1.6424075424804796</c:v>
                </c:pt>
                <c:pt idx="1031">
                  <c:v>1.6191749736607481</c:v>
                </c:pt>
                <c:pt idx="1032">
                  <c:v>1.6330875003376804</c:v>
                </c:pt>
                <c:pt idx="1033">
                  <c:v>1.6257665396979741</c:v>
                </c:pt>
                <c:pt idx="1034">
                  <c:v>1.6344922603128269</c:v>
                </c:pt>
                <c:pt idx="1035">
                  <c:v>1.6257935543128812</c:v>
                </c:pt>
                <c:pt idx="1036">
                  <c:v>1.614852635275682</c:v>
                </c:pt>
                <c:pt idx="1037">
                  <c:v>1.6256854958532545</c:v>
                </c:pt>
                <c:pt idx="1038">
                  <c:v>1.6322770618904807</c:v>
                </c:pt>
                <c:pt idx="1039">
                  <c:v>1.6379501310208802</c:v>
                </c:pt>
                <c:pt idx="1040">
                  <c:v>1.622957019747681</c:v>
                </c:pt>
                <c:pt idx="1041">
                  <c:v>1.6339789826296001</c:v>
                </c:pt>
                <c:pt idx="1042">
                  <c:v>1.6352216549153065</c:v>
                </c:pt>
                <c:pt idx="1043">
                  <c:v>1.6299538050085072</c:v>
                </c:pt>
                <c:pt idx="1044">
                  <c:v>1.6471621147040523</c:v>
                </c:pt>
                <c:pt idx="1045">
                  <c:v>1.6470810708593322</c:v>
                </c:pt>
                <c:pt idx="1046">
                  <c:v>1.6519166869276252</c:v>
                </c:pt>
                <c:pt idx="1047">
                  <c:v>1.6558067914741845</c:v>
                </c:pt>
                <c:pt idx="1048">
                  <c:v>1.6489180646729853</c:v>
                </c:pt>
                <c:pt idx="1049">
                  <c:v>1.6207148067104278</c:v>
                </c:pt>
                <c:pt idx="1050">
                  <c:v>1.6133398168409083</c:v>
                </c:pt>
                <c:pt idx="1051">
                  <c:v>1.6053164762136289</c:v>
                </c:pt>
                <c:pt idx="1052">
                  <c:v>1.6061269146608286</c:v>
                </c:pt>
                <c:pt idx="1053">
                  <c:v>1.5804900451144039</c:v>
                </c:pt>
                <c:pt idx="1054">
                  <c:v>1.6051543885241886</c:v>
                </c:pt>
                <c:pt idx="1055">
                  <c:v>1.5770321744063509</c:v>
                </c:pt>
                <c:pt idx="1056">
                  <c:v>1.558365075505846</c:v>
                </c:pt>
                <c:pt idx="1057">
                  <c:v>1.5751141367479777</c:v>
                </c:pt>
                <c:pt idx="1058">
                  <c:v>1.5471540103195802</c:v>
                </c:pt>
                <c:pt idx="1059">
                  <c:v>1.5558257017046193</c:v>
                </c:pt>
                <c:pt idx="1060">
                  <c:v>1.5143852824377964</c:v>
                </c:pt>
                <c:pt idx="1061">
                  <c:v>1.5017964718912906</c:v>
                </c:pt>
                <c:pt idx="1062">
                  <c:v>1.5097657832887565</c:v>
                </c:pt>
                <c:pt idx="1063">
                  <c:v>1.4896398951832914</c:v>
                </c:pt>
                <c:pt idx="1064">
                  <c:v>1.5204095415619823</c:v>
                </c:pt>
                <c:pt idx="1065">
                  <c:v>1.5321338844314747</c:v>
                </c:pt>
                <c:pt idx="1066">
                  <c:v>1.5155739254936893</c:v>
                </c:pt>
                <c:pt idx="1067">
                  <c:v>1.5320798552016612</c:v>
                </c:pt>
                <c:pt idx="1068">
                  <c:v>1.5276494583569682</c:v>
                </c:pt>
                <c:pt idx="1069">
                  <c:v>1.5235702515060618</c:v>
                </c:pt>
                <c:pt idx="1070">
                  <c:v>1.550855012561793</c:v>
                </c:pt>
                <c:pt idx="1071">
                  <c:v>1.5545830294189129</c:v>
                </c:pt>
                <c:pt idx="1072">
                  <c:v>1.5360239889780345</c:v>
                </c:pt>
                <c:pt idx="1073">
                  <c:v>1.5319447821271281</c:v>
                </c:pt>
                <c:pt idx="1074">
                  <c:v>1.501094091903717</c:v>
                </c:pt>
                <c:pt idx="1075">
                  <c:v>1.5111705432639029</c:v>
                </c:pt>
                <c:pt idx="1076">
                  <c:v>1.515438852419156</c:v>
                </c:pt>
                <c:pt idx="1077">
                  <c:v>1.5250290407110219</c:v>
                </c:pt>
                <c:pt idx="1078">
                  <c:v>1.4498743820406814</c:v>
                </c:pt>
                <c:pt idx="1079">
                  <c:v>1.3649944620039414</c:v>
                </c:pt>
                <c:pt idx="1080">
                  <c:v>1.3625631466623418</c:v>
                </c:pt>
                <c:pt idx="1081">
                  <c:v>1.3412216008860769</c:v>
                </c:pt>
                <c:pt idx="1082">
                  <c:v>1.4820758030094254</c:v>
                </c:pt>
                <c:pt idx="1083">
                  <c:v>1.4171326687738042</c:v>
                </c:pt>
                <c:pt idx="1084">
                  <c:v>1.4424183483264421</c:v>
                </c:pt>
                <c:pt idx="1085">
                  <c:v>1.4564119188480942</c:v>
                </c:pt>
                <c:pt idx="1086">
                  <c:v>1.4523327119971878</c:v>
                </c:pt>
                <c:pt idx="1087">
                  <c:v>1.4200502471837235</c:v>
                </c:pt>
                <c:pt idx="1088">
                  <c:v>1.4220763433017234</c:v>
                </c:pt>
                <c:pt idx="1089">
                  <c:v>1.388227030823673</c:v>
                </c:pt>
                <c:pt idx="1090">
                  <c:v>1.4243455709538835</c:v>
                </c:pt>
                <c:pt idx="1091">
                  <c:v>1.4464165113326282</c:v>
                </c:pt>
                <c:pt idx="1092">
                  <c:v>1.4768619823324394</c:v>
                </c:pt>
                <c:pt idx="1093">
                  <c:v>1.4875327552205715</c:v>
                </c:pt>
                <c:pt idx="1094">
                  <c:v>1.4881000621336116</c:v>
                </c:pt>
                <c:pt idx="1095">
                  <c:v>1.497474133506224</c:v>
                </c:pt>
                <c:pt idx="1096">
                  <c:v>1.4980684550341703</c:v>
                </c:pt>
                <c:pt idx="1097">
                  <c:v>1.5086851986924896</c:v>
                </c:pt>
                <c:pt idx="1098">
                  <c:v>1.5310803144501144</c:v>
                </c:pt>
                <c:pt idx="1099">
                  <c:v>1.5223005646054486</c:v>
                </c:pt>
                <c:pt idx="1100">
                  <c:v>1.5095766809844096</c:v>
                </c:pt>
                <c:pt idx="1101">
                  <c:v>1.5159251154874758</c:v>
                </c:pt>
                <c:pt idx="1102">
                  <c:v>1.5264878299159814</c:v>
                </c:pt>
                <c:pt idx="1103">
                  <c:v>1.5245427776427019</c:v>
                </c:pt>
                <c:pt idx="1104">
                  <c:v>1.5749250344436307</c:v>
                </c:pt>
                <c:pt idx="1105">
                  <c:v>1.5853256611826967</c:v>
                </c:pt>
                <c:pt idx="1106">
                  <c:v>1.5873517573006966</c:v>
                </c:pt>
                <c:pt idx="1107">
                  <c:v>1.5951049517789093</c:v>
                </c:pt>
                <c:pt idx="1108">
                  <c:v>1.605208417754002</c:v>
                </c:pt>
                <c:pt idx="1109">
                  <c:v>1.6069643677229353</c:v>
                </c:pt>
                <c:pt idx="1110">
                  <c:v>1.6015614447416024</c:v>
                </c:pt>
                <c:pt idx="1111">
                  <c:v>1.5745738444498447</c:v>
                </c:pt>
                <c:pt idx="1112">
                  <c:v>1.5751951805926983</c:v>
                </c:pt>
                <c:pt idx="1113">
                  <c:v>1.5644433638598456</c:v>
                </c:pt>
                <c:pt idx="1114">
                  <c:v>1.5969689602074697</c:v>
                </c:pt>
                <c:pt idx="1115">
                  <c:v>1.5877299619093905</c:v>
                </c:pt>
                <c:pt idx="1116">
                  <c:v>1.5939973525677367</c:v>
                </c:pt>
                <c:pt idx="1117">
                  <c:v>1.592214387983897</c:v>
                </c:pt>
                <c:pt idx="1118">
                  <c:v>1.6011832401329098</c:v>
                </c:pt>
                <c:pt idx="1119">
                  <c:v>1.6103141799713625</c:v>
                </c:pt>
                <c:pt idx="1120">
                  <c:v>1.6098819461328555</c:v>
                </c:pt>
                <c:pt idx="1121">
                  <c:v>1.6021017370397361</c:v>
                </c:pt>
                <c:pt idx="1122">
                  <c:v>1.6185536375178948</c:v>
                </c:pt>
                <c:pt idx="1123">
                  <c:v>1.6200124267228546</c:v>
                </c:pt>
                <c:pt idx="1124">
                  <c:v>1.6291973957911206</c:v>
                </c:pt>
                <c:pt idx="1125">
                  <c:v>1.6245508820271743</c:v>
                </c:pt>
                <c:pt idx="1126">
                  <c:v>1.631007374989867</c:v>
                </c:pt>
                <c:pt idx="1127">
                  <c:v>1.6127725099278685</c:v>
                </c:pt>
                <c:pt idx="1128">
                  <c:v>1.6281168111948536</c:v>
                </c:pt>
                <c:pt idx="1129">
                  <c:v>1.6142042845179216</c:v>
                </c:pt>
                <c:pt idx="1130">
                  <c:v>1.6139611529837619</c:v>
                </c:pt>
                <c:pt idx="1131">
                  <c:v>1.6054245346732556</c:v>
                </c:pt>
                <c:pt idx="1132">
                  <c:v>1.6212821136234676</c:v>
                </c:pt>
                <c:pt idx="1133">
                  <c:v>1.6391928033065859</c:v>
                </c:pt>
                <c:pt idx="1134">
                  <c:v>1.6401113002134124</c:v>
                </c:pt>
                <c:pt idx="1135">
                  <c:v>1.652943242294078</c:v>
                </c:pt>
                <c:pt idx="1136">
                  <c:v>1.6611556852257039</c:v>
                </c:pt>
                <c:pt idx="1137">
                  <c:v>1.6690979820082632</c:v>
                </c:pt>
                <c:pt idx="1138">
                  <c:v>1.6685576897101297</c:v>
                </c:pt>
                <c:pt idx="1139">
                  <c:v>1.676121781883996</c:v>
                </c:pt>
                <c:pt idx="1140">
                  <c:v>1.6893319285733548</c:v>
                </c:pt>
                <c:pt idx="1141">
                  <c:v>1.6767431180268488</c:v>
                </c:pt>
                <c:pt idx="1142">
                  <c:v>1.6758246211200225</c:v>
                </c:pt>
                <c:pt idx="1143">
                  <c:v>1.6858740578653013</c:v>
                </c:pt>
                <c:pt idx="1144">
                  <c:v>1.6906286300888747</c:v>
                </c:pt>
                <c:pt idx="1145">
                  <c:v>1.6846854148094084</c:v>
                </c:pt>
                <c:pt idx="1146">
                  <c:v>1.6879001539833012</c:v>
                </c:pt>
                <c:pt idx="1147">
                  <c:v>1.6806872518032219</c:v>
                </c:pt>
                <c:pt idx="1148">
                  <c:v>1.6863062917038083</c:v>
                </c:pt>
                <c:pt idx="1149">
                  <c:v>1.6966258745981539</c:v>
                </c:pt>
                <c:pt idx="1150">
                  <c:v>1.6953832023124475</c:v>
                </c:pt>
                <c:pt idx="1151">
                  <c:v>1.6985979414863404</c:v>
                </c:pt>
                <c:pt idx="1152">
                  <c:v>1.6988410730205004</c:v>
                </c:pt>
                <c:pt idx="1153">
                  <c:v>1.713293891995566</c:v>
                </c:pt>
                <c:pt idx="1154">
                  <c:v>1.7138611989086057</c:v>
                </c:pt>
                <c:pt idx="1155">
                  <c:v>1.7211011157035918</c:v>
                </c:pt>
                <c:pt idx="1156">
                  <c:v>1.7206688818650853</c:v>
                </c:pt>
                <c:pt idx="1157">
                  <c:v>1.7161304265607653</c:v>
                </c:pt>
                <c:pt idx="1158">
                  <c:v>1.7139692573682321</c:v>
                </c:pt>
                <c:pt idx="1159">
                  <c:v>1.7075397790204461</c:v>
                </c:pt>
                <c:pt idx="1160">
                  <c:v>1.6795526379771417</c:v>
                </c:pt>
                <c:pt idx="1161">
                  <c:v>1.7050814490639392</c:v>
                </c:pt>
                <c:pt idx="1162">
                  <c:v>1.6964367722938067</c:v>
                </c:pt>
                <c:pt idx="1163">
                  <c:v>1.7094308020639122</c:v>
                </c:pt>
                <c:pt idx="1164">
                  <c:v>1.707999027473859</c:v>
                </c:pt>
                <c:pt idx="1165">
                  <c:v>1.7213172326228445</c:v>
                </c:pt>
                <c:pt idx="1166">
                  <c:v>1.7179133911446047</c:v>
                </c:pt>
                <c:pt idx="1167">
                  <c:v>1.736202285436417</c:v>
                </c:pt>
                <c:pt idx="1168">
                  <c:v>1.742145500715883</c:v>
                </c:pt>
                <c:pt idx="1169">
                  <c:v>1.742307588405323</c:v>
                </c:pt>
                <c:pt idx="1170">
                  <c:v>1.7382283815544166</c:v>
                </c:pt>
                <c:pt idx="1171">
                  <c:v>1.7378501769457231</c:v>
                </c:pt>
                <c:pt idx="1172">
                  <c:v>1.7284220763432971</c:v>
                </c:pt>
                <c:pt idx="1173">
                  <c:v>1.7238295918091644</c:v>
                </c:pt>
                <c:pt idx="1174">
                  <c:v>1.7169138503930581</c:v>
                </c:pt>
                <c:pt idx="1175">
                  <c:v>1.7432801145419627</c:v>
                </c:pt>
                <c:pt idx="1176">
                  <c:v>1.7356079639084703</c:v>
                </c:pt>
                <c:pt idx="1177">
                  <c:v>1.742874895318363</c:v>
                </c:pt>
                <c:pt idx="1178">
                  <c:v>1.7468460437096427</c:v>
                </c:pt>
                <c:pt idx="1179">
                  <c:v>1.7530323905232688</c:v>
                </c:pt>
                <c:pt idx="1180">
                  <c:v>1.7425777345543896</c:v>
                </c:pt>
                <c:pt idx="1181">
                  <c:v>1.7296647486290042</c:v>
                </c:pt>
                <c:pt idx="1182">
                  <c:v>1.7390388200016169</c:v>
                </c:pt>
                <c:pt idx="1183">
                  <c:v>1.7535726828214024</c:v>
                </c:pt>
                <c:pt idx="1184">
                  <c:v>1.7484939352189495</c:v>
                </c:pt>
                <c:pt idx="1185">
                  <c:v>1.7527892589891092</c:v>
                </c:pt>
                <c:pt idx="1186">
                  <c:v>1.7568414512251087</c:v>
                </c:pt>
                <c:pt idx="1187">
                  <c:v>1.7619201988275617</c:v>
                </c:pt>
                <c:pt idx="1188">
                  <c:v>1.7765621201069737</c:v>
                </c:pt>
                <c:pt idx="1189">
                  <c:v>1.775967798579027</c:v>
                </c:pt>
                <c:pt idx="1190">
                  <c:v>1.7854229137963595</c:v>
                </c:pt>
                <c:pt idx="1191">
                  <c:v>1.7829645838398531</c:v>
                </c:pt>
                <c:pt idx="1192">
                  <c:v>1.7807493854175065</c:v>
                </c:pt>
                <c:pt idx="1193">
                  <c:v>1.7890698868087591</c:v>
                </c:pt>
                <c:pt idx="1194">
                  <c:v>1.7929599913553189</c:v>
                </c:pt>
                <c:pt idx="1195">
                  <c:v>1.8014425804360115</c:v>
                </c:pt>
                <c:pt idx="1196">
                  <c:v>1.7916362752248922</c:v>
                </c:pt>
                <c:pt idx="1197">
                  <c:v>1.7859361914795859</c:v>
                </c:pt>
                <c:pt idx="1198">
                  <c:v>1.7776967339330532</c:v>
                </c:pt>
                <c:pt idx="1199">
                  <c:v>1.7878812437528659</c:v>
                </c:pt>
                <c:pt idx="1200">
                  <c:v>1.7929059621255052</c:v>
                </c:pt>
                <c:pt idx="1201">
                  <c:v>1.7996596158521714</c:v>
                </c:pt>
                <c:pt idx="1202">
                  <c:v>1.8057919334359847</c:v>
                </c:pt>
                <c:pt idx="1203">
                  <c:v>1.8078720587837978</c:v>
                </c:pt>
                <c:pt idx="1204">
                  <c:v>1.8078450441688911</c:v>
                </c:pt>
                <c:pt idx="1205">
                  <c:v>1.8143285517464907</c:v>
                </c:pt>
                <c:pt idx="1206">
                  <c:v>1.8076019126347311</c:v>
                </c:pt>
                <c:pt idx="1207">
                  <c:v>1.8183807439824902</c:v>
                </c:pt>
                <c:pt idx="1208">
                  <c:v>1.8131128940756907</c:v>
                </c:pt>
                <c:pt idx="1209">
                  <c:v>1.7641083826350015</c:v>
                </c:pt>
                <c:pt idx="1210">
                  <c:v>1.7911770267714791</c:v>
                </c:pt>
                <c:pt idx="1211">
                  <c:v>1.7889888429640395</c:v>
                </c:pt>
                <c:pt idx="1212">
                  <c:v>1.7969311397465988</c:v>
                </c:pt>
                <c:pt idx="1213">
                  <c:v>1.78469351919388</c:v>
                </c:pt>
                <c:pt idx="1214">
                  <c:v>1.7948239997838793</c:v>
                </c:pt>
                <c:pt idx="1215">
                  <c:v>1.8134910986843844</c:v>
                </c:pt>
                <c:pt idx="1216">
                  <c:v>1.8134640840694778</c:v>
                </c:pt>
                <c:pt idx="1217">
                  <c:v>1.8040359834670519</c:v>
                </c:pt>
                <c:pt idx="1218">
                  <c:v>1.8147337709700913</c:v>
                </c:pt>
                <c:pt idx="1219">
                  <c:v>1.82956479455385</c:v>
                </c:pt>
                <c:pt idx="1220">
                  <c:v>1.8511494718642749</c:v>
                </c:pt>
                <c:pt idx="1221">
                  <c:v>1.856066131777288</c:v>
                </c:pt>
                <c:pt idx="1222">
                  <c:v>1.8569576140692079</c:v>
                </c:pt>
                <c:pt idx="1223">
                  <c:v>1.8365345651997698</c:v>
                </c:pt>
                <c:pt idx="1224">
                  <c:v>1.8425588243239557</c:v>
                </c:pt>
                <c:pt idx="1225">
                  <c:v>1.8460166950320087</c:v>
                </c:pt>
                <c:pt idx="1226">
                  <c:v>1.8241348569576106</c:v>
                </c:pt>
                <c:pt idx="1227">
                  <c:v>1.8304562768457699</c:v>
                </c:pt>
                <c:pt idx="1228">
                  <c:v>1.8108166518086246</c:v>
                </c:pt>
                <c:pt idx="1229">
                  <c:v>1.8125996163924645</c:v>
                </c:pt>
                <c:pt idx="1230">
                  <c:v>1.8408839181997423</c:v>
                </c:pt>
                <c:pt idx="1231">
                  <c:v>1.8450981981251817</c:v>
                </c:pt>
                <c:pt idx="1232">
                  <c:v>1.8461247534916352</c:v>
                </c:pt>
                <c:pt idx="1233">
                  <c:v>1.8154901801874774</c:v>
                </c:pt>
                <c:pt idx="1234">
                  <c:v>1.8151930194235042</c:v>
                </c:pt>
                <c:pt idx="1235">
                  <c:v>1.7982818704919323</c:v>
                </c:pt>
                <c:pt idx="1236">
                  <c:v>1.7831807007591072</c:v>
                </c:pt>
                <c:pt idx="1237">
                  <c:v>1.7900694275603064</c:v>
                </c:pt>
                <c:pt idx="1238">
                  <c:v>1.7627846665045752</c:v>
                </c:pt>
                <c:pt idx="1239">
                  <c:v>1.780344166193907</c:v>
                </c:pt>
                <c:pt idx="1240">
                  <c:v>1.8065483426533715</c:v>
                </c:pt>
                <c:pt idx="1241">
                  <c:v>1.8235405354296632</c:v>
                </c:pt>
                <c:pt idx="1242">
                  <c:v>1.8361293459761687</c:v>
                </c:pt>
                <c:pt idx="1243">
                  <c:v>1.8461517681065414</c:v>
                </c:pt>
                <c:pt idx="1244">
                  <c:v>1.837723208255662</c:v>
                </c:pt>
                <c:pt idx="1245">
                  <c:v>1.8411270497339016</c:v>
                </c:pt>
                <c:pt idx="1246">
                  <c:v>1.8475024988518747</c:v>
                </c:pt>
                <c:pt idx="1247">
                  <c:v>1.8488532295972078</c:v>
                </c:pt>
                <c:pt idx="1248">
                  <c:v>1.8523651295350743</c:v>
                </c:pt>
                <c:pt idx="1249">
                  <c:v>1.8468001188643013</c:v>
                </c:pt>
                <c:pt idx="1250">
                  <c:v>1.845206256584808</c:v>
                </c:pt>
                <c:pt idx="1251">
                  <c:v>1.8574438771375272</c:v>
                </c:pt>
                <c:pt idx="1252">
                  <c:v>1.8617662155225934</c:v>
                </c:pt>
                <c:pt idx="1253">
                  <c:v>1.8417483858767552</c:v>
                </c:pt>
                <c:pt idx="1254">
                  <c:v>1.8389658805413687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B37-45A4-9220-05B928C9B305}"/>
            </c:ext>
          </c:extLst>
        </c:ser>
        <c:ser>
          <c:idx val="1"/>
          <c:order val="1"/>
          <c:tx>
            <c:strRef>
              <c:f>Indexed_Performance_Data!$C$1</c:f>
              <c:strCache>
                <c:ptCount val="1"/>
                <c:pt idx="0">
                  <c:v> XLU ($1) 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Indexed_Performance_Data!$A$2:$A$1256</c:f>
              <c:numCache>
                <c:formatCode>m/d/yyyy</c:formatCode>
                <c:ptCount val="1255"/>
                <c:pt idx="0">
                  <c:v>44181</c:v>
                </c:pt>
                <c:pt idx="1">
                  <c:v>44182</c:v>
                </c:pt>
                <c:pt idx="2">
                  <c:v>44183</c:v>
                </c:pt>
                <c:pt idx="3">
                  <c:v>44186</c:v>
                </c:pt>
                <c:pt idx="4">
                  <c:v>44187</c:v>
                </c:pt>
                <c:pt idx="5">
                  <c:v>44188</c:v>
                </c:pt>
                <c:pt idx="6">
                  <c:v>44189</c:v>
                </c:pt>
                <c:pt idx="7">
                  <c:v>44193</c:v>
                </c:pt>
                <c:pt idx="8">
                  <c:v>44194</c:v>
                </c:pt>
                <c:pt idx="9">
                  <c:v>44195</c:v>
                </c:pt>
                <c:pt idx="10">
                  <c:v>44196</c:v>
                </c:pt>
                <c:pt idx="11">
                  <c:v>44200</c:v>
                </c:pt>
                <c:pt idx="12">
                  <c:v>44201</c:v>
                </c:pt>
                <c:pt idx="13">
                  <c:v>44202</c:v>
                </c:pt>
                <c:pt idx="14">
                  <c:v>44203</c:v>
                </c:pt>
                <c:pt idx="15">
                  <c:v>44204</c:v>
                </c:pt>
                <c:pt idx="16">
                  <c:v>44207</c:v>
                </c:pt>
                <c:pt idx="17">
                  <c:v>44208</c:v>
                </c:pt>
                <c:pt idx="18">
                  <c:v>44209</c:v>
                </c:pt>
                <c:pt idx="19">
                  <c:v>44210</c:v>
                </c:pt>
                <c:pt idx="20">
                  <c:v>44211</c:v>
                </c:pt>
                <c:pt idx="21">
                  <c:v>44215</c:v>
                </c:pt>
                <c:pt idx="22">
                  <c:v>44216</c:v>
                </c:pt>
                <c:pt idx="23">
                  <c:v>44217</c:v>
                </c:pt>
                <c:pt idx="24">
                  <c:v>44218</c:v>
                </c:pt>
                <c:pt idx="25">
                  <c:v>44221</c:v>
                </c:pt>
                <c:pt idx="26">
                  <c:v>44222</c:v>
                </c:pt>
                <c:pt idx="27">
                  <c:v>44223</c:v>
                </c:pt>
                <c:pt idx="28">
                  <c:v>44224</c:v>
                </c:pt>
                <c:pt idx="29">
                  <c:v>44225</c:v>
                </c:pt>
                <c:pt idx="30">
                  <c:v>44228</c:v>
                </c:pt>
                <c:pt idx="31">
                  <c:v>44229</c:v>
                </c:pt>
                <c:pt idx="32">
                  <c:v>44230</c:v>
                </c:pt>
                <c:pt idx="33">
                  <c:v>44231</c:v>
                </c:pt>
                <c:pt idx="34">
                  <c:v>44232</c:v>
                </c:pt>
                <c:pt idx="35">
                  <c:v>44235</c:v>
                </c:pt>
                <c:pt idx="36">
                  <c:v>44236</c:v>
                </c:pt>
                <c:pt idx="37">
                  <c:v>44237</c:v>
                </c:pt>
                <c:pt idx="38">
                  <c:v>44238</c:v>
                </c:pt>
                <c:pt idx="39">
                  <c:v>44239</c:v>
                </c:pt>
                <c:pt idx="40">
                  <c:v>44243</c:v>
                </c:pt>
                <c:pt idx="41">
                  <c:v>44244</c:v>
                </c:pt>
                <c:pt idx="42">
                  <c:v>44245</c:v>
                </c:pt>
                <c:pt idx="43">
                  <c:v>44246</c:v>
                </c:pt>
                <c:pt idx="44">
                  <c:v>44249</c:v>
                </c:pt>
                <c:pt idx="45">
                  <c:v>44250</c:v>
                </c:pt>
                <c:pt idx="46">
                  <c:v>44251</c:v>
                </c:pt>
                <c:pt idx="47">
                  <c:v>44252</c:v>
                </c:pt>
                <c:pt idx="48">
                  <c:v>44253</c:v>
                </c:pt>
                <c:pt idx="49">
                  <c:v>44256</c:v>
                </c:pt>
                <c:pt idx="50">
                  <c:v>44257</c:v>
                </c:pt>
                <c:pt idx="51">
                  <c:v>44258</c:v>
                </c:pt>
                <c:pt idx="52">
                  <c:v>44259</c:v>
                </c:pt>
                <c:pt idx="53">
                  <c:v>44260</c:v>
                </c:pt>
                <c:pt idx="54">
                  <c:v>44263</c:v>
                </c:pt>
                <c:pt idx="55">
                  <c:v>44264</c:v>
                </c:pt>
                <c:pt idx="56">
                  <c:v>44265</c:v>
                </c:pt>
                <c:pt idx="57">
                  <c:v>44266</c:v>
                </c:pt>
                <c:pt idx="58">
                  <c:v>44267</c:v>
                </c:pt>
                <c:pt idx="59">
                  <c:v>44270</c:v>
                </c:pt>
                <c:pt idx="60">
                  <c:v>44271</c:v>
                </c:pt>
                <c:pt idx="61">
                  <c:v>44272</c:v>
                </c:pt>
                <c:pt idx="62">
                  <c:v>44273</c:v>
                </c:pt>
                <c:pt idx="63">
                  <c:v>44274</c:v>
                </c:pt>
                <c:pt idx="64">
                  <c:v>44277</c:v>
                </c:pt>
                <c:pt idx="65">
                  <c:v>44278</c:v>
                </c:pt>
                <c:pt idx="66">
                  <c:v>44279</c:v>
                </c:pt>
                <c:pt idx="67">
                  <c:v>44280</c:v>
                </c:pt>
                <c:pt idx="68">
                  <c:v>44281</c:v>
                </c:pt>
                <c:pt idx="69">
                  <c:v>44284</c:v>
                </c:pt>
                <c:pt idx="70">
                  <c:v>44285</c:v>
                </c:pt>
                <c:pt idx="71">
                  <c:v>44286</c:v>
                </c:pt>
                <c:pt idx="72">
                  <c:v>44287</c:v>
                </c:pt>
                <c:pt idx="73">
                  <c:v>44291</c:v>
                </c:pt>
                <c:pt idx="74">
                  <c:v>44292</c:v>
                </c:pt>
                <c:pt idx="75">
                  <c:v>44293</c:v>
                </c:pt>
                <c:pt idx="76">
                  <c:v>44294</c:v>
                </c:pt>
                <c:pt idx="77">
                  <c:v>44295</c:v>
                </c:pt>
                <c:pt idx="78">
                  <c:v>44298</c:v>
                </c:pt>
                <c:pt idx="79">
                  <c:v>44299</c:v>
                </c:pt>
                <c:pt idx="80">
                  <c:v>44300</c:v>
                </c:pt>
                <c:pt idx="81">
                  <c:v>44301</c:v>
                </c:pt>
                <c:pt idx="82">
                  <c:v>44302</c:v>
                </c:pt>
                <c:pt idx="83">
                  <c:v>44305</c:v>
                </c:pt>
                <c:pt idx="84">
                  <c:v>44306</c:v>
                </c:pt>
                <c:pt idx="85">
                  <c:v>44307</c:v>
                </c:pt>
                <c:pt idx="86">
                  <c:v>44308</c:v>
                </c:pt>
                <c:pt idx="87">
                  <c:v>44309</c:v>
                </c:pt>
                <c:pt idx="88">
                  <c:v>44312</c:v>
                </c:pt>
                <c:pt idx="89">
                  <c:v>44313</c:v>
                </c:pt>
                <c:pt idx="90">
                  <c:v>44314</c:v>
                </c:pt>
                <c:pt idx="91">
                  <c:v>44315</c:v>
                </c:pt>
                <c:pt idx="92">
                  <c:v>44316</c:v>
                </c:pt>
                <c:pt idx="93">
                  <c:v>44319</c:v>
                </c:pt>
                <c:pt idx="94">
                  <c:v>44320</c:v>
                </c:pt>
                <c:pt idx="95">
                  <c:v>44321</c:v>
                </c:pt>
                <c:pt idx="96">
                  <c:v>44322</c:v>
                </c:pt>
                <c:pt idx="97">
                  <c:v>44323</c:v>
                </c:pt>
                <c:pt idx="98">
                  <c:v>44326</c:v>
                </c:pt>
                <c:pt idx="99">
                  <c:v>44327</c:v>
                </c:pt>
                <c:pt idx="100">
                  <c:v>44328</c:v>
                </c:pt>
                <c:pt idx="101">
                  <c:v>44329</c:v>
                </c:pt>
                <c:pt idx="102">
                  <c:v>44330</c:v>
                </c:pt>
                <c:pt idx="103">
                  <c:v>44333</c:v>
                </c:pt>
                <c:pt idx="104">
                  <c:v>44334</c:v>
                </c:pt>
                <c:pt idx="105">
                  <c:v>44335</c:v>
                </c:pt>
                <c:pt idx="106">
                  <c:v>44336</c:v>
                </c:pt>
                <c:pt idx="107">
                  <c:v>44337</c:v>
                </c:pt>
                <c:pt idx="108">
                  <c:v>44340</c:v>
                </c:pt>
                <c:pt idx="109">
                  <c:v>44341</c:v>
                </c:pt>
                <c:pt idx="110">
                  <c:v>44342</c:v>
                </c:pt>
                <c:pt idx="111">
                  <c:v>44343</c:v>
                </c:pt>
                <c:pt idx="112">
                  <c:v>44344</c:v>
                </c:pt>
                <c:pt idx="113">
                  <c:v>44348</c:v>
                </c:pt>
                <c:pt idx="114">
                  <c:v>44349</c:v>
                </c:pt>
                <c:pt idx="115">
                  <c:v>44350</c:v>
                </c:pt>
                <c:pt idx="116">
                  <c:v>44351</c:v>
                </c:pt>
                <c:pt idx="117">
                  <c:v>44354</c:v>
                </c:pt>
                <c:pt idx="118">
                  <c:v>44355</c:v>
                </c:pt>
                <c:pt idx="119">
                  <c:v>44356</c:v>
                </c:pt>
                <c:pt idx="120">
                  <c:v>44357</c:v>
                </c:pt>
                <c:pt idx="121">
                  <c:v>44358</c:v>
                </c:pt>
                <c:pt idx="122">
                  <c:v>44361</c:v>
                </c:pt>
                <c:pt idx="123">
                  <c:v>44362</c:v>
                </c:pt>
                <c:pt idx="124">
                  <c:v>44363</c:v>
                </c:pt>
                <c:pt idx="125">
                  <c:v>44364</c:v>
                </c:pt>
                <c:pt idx="126">
                  <c:v>44365</c:v>
                </c:pt>
                <c:pt idx="127">
                  <c:v>44368</c:v>
                </c:pt>
                <c:pt idx="128">
                  <c:v>44369</c:v>
                </c:pt>
                <c:pt idx="129">
                  <c:v>44370</c:v>
                </c:pt>
                <c:pt idx="130">
                  <c:v>44371</c:v>
                </c:pt>
                <c:pt idx="131">
                  <c:v>44372</c:v>
                </c:pt>
                <c:pt idx="132">
                  <c:v>44375</c:v>
                </c:pt>
                <c:pt idx="133">
                  <c:v>44376</c:v>
                </c:pt>
                <c:pt idx="134">
                  <c:v>44377</c:v>
                </c:pt>
                <c:pt idx="135">
                  <c:v>44378</c:v>
                </c:pt>
                <c:pt idx="136">
                  <c:v>44379</c:v>
                </c:pt>
                <c:pt idx="137">
                  <c:v>44383</c:v>
                </c:pt>
                <c:pt idx="138">
                  <c:v>44384</c:v>
                </c:pt>
                <c:pt idx="139">
                  <c:v>44385</c:v>
                </c:pt>
                <c:pt idx="140">
                  <c:v>44386</c:v>
                </c:pt>
                <c:pt idx="141">
                  <c:v>44389</c:v>
                </c:pt>
                <c:pt idx="142">
                  <c:v>44390</c:v>
                </c:pt>
                <c:pt idx="143">
                  <c:v>44391</c:v>
                </c:pt>
                <c:pt idx="144">
                  <c:v>44392</c:v>
                </c:pt>
                <c:pt idx="145">
                  <c:v>44393</c:v>
                </c:pt>
                <c:pt idx="146">
                  <c:v>44396</c:v>
                </c:pt>
                <c:pt idx="147">
                  <c:v>44397</c:v>
                </c:pt>
                <c:pt idx="148">
                  <c:v>44398</c:v>
                </c:pt>
                <c:pt idx="149">
                  <c:v>44399</c:v>
                </c:pt>
                <c:pt idx="150">
                  <c:v>44400</c:v>
                </c:pt>
                <c:pt idx="151">
                  <c:v>44403</c:v>
                </c:pt>
                <c:pt idx="152">
                  <c:v>44404</c:v>
                </c:pt>
                <c:pt idx="153">
                  <c:v>44405</c:v>
                </c:pt>
                <c:pt idx="154">
                  <c:v>44406</c:v>
                </c:pt>
                <c:pt idx="155">
                  <c:v>44407</c:v>
                </c:pt>
                <c:pt idx="156">
                  <c:v>44410</c:v>
                </c:pt>
                <c:pt idx="157">
                  <c:v>44411</c:v>
                </c:pt>
                <c:pt idx="158">
                  <c:v>44412</c:v>
                </c:pt>
                <c:pt idx="159">
                  <c:v>44413</c:v>
                </c:pt>
                <c:pt idx="160">
                  <c:v>44414</c:v>
                </c:pt>
                <c:pt idx="161">
                  <c:v>44417</c:v>
                </c:pt>
                <c:pt idx="162">
                  <c:v>44418</c:v>
                </c:pt>
                <c:pt idx="163">
                  <c:v>44419</c:v>
                </c:pt>
                <c:pt idx="164">
                  <c:v>44420</c:v>
                </c:pt>
                <c:pt idx="165">
                  <c:v>44421</c:v>
                </c:pt>
                <c:pt idx="166">
                  <c:v>44424</c:v>
                </c:pt>
                <c:pt idx="167">
                  <c:v>44425</c:v>
                </c:pt>
                <c:pt idx="168">
                  <c:v>44426</c:v>
                </c:pt>
                <c:pt idx="169">
                  <c:v>44427</c:v>
                </c:pt>
                <c:pt idx="170">
                  <c:v>44428</c:v>
                </c:pt>
                <c:pt idx="171">
                  <c:v>44431</c:v>
                </c:pt>
                <c:pt idx="172">
                  <c:v>44432</c:v>
                </c:pt>
                <c:pt idx="173">
                  <c:v>44433</c:v>
                </c:pt>
                <c:pt idx="174">
                  <c:v>44434</c:v>
                </c:pt>
                <c:pt idx="175">
                  <c:v>44435</c:v>
                </c:pt>
                <c:pt idx="176">
                  <c:v>44438</c:v>
                </c:pt>
                <c:pt idx="177">
                  <c:v>44439</c:v>
                </c:pt>
                <c:pt idx="178">
                  <c:v>44440</c:v>
                </c:pt>
                <c:pt idx="179">
                  <c:v>44441</c:v>
                </c:pt>
                <c:pt idx="180">
                  <c:v>44442</c:v>
                </c:pt>
                <c:pt idx="181">
                  <c:v>44446</c:v>
                </c:pt>
                <c:pt idx="182">
                  <c:v>44447</c:v>
                </c:pt>
                <c:pt idx="183">
                  <c:v>44448</c:v>
                </c:pt>
                <c:pt idx="184">
                  <c:v>44449</c:v>
                </c:pt>
                <c:pt idx="185">
                  <c:v>44452</c:v>
                </c:pt>
                <c:pt idx="186">
                  <c:v>44453</c:v>
                </c:pt>
                <c:pt idx="187">
                  <c:v>44454</c:v>
                </c:pt>
                <c:pt idx="188">
                  <c:v>44455</c:v>
                </c:pt>
                <c:pt idx="189">
                  <c:v>44456</c:v>
                </c:pt>
                <c:pt idx="190">
                  <c:v>44459</c:v>
                </c:pt>
                <c:pt idx="191">
                  <c:v>44460</c:v>
                </c:pt>
                <c:pt idx="192">
                  <c:v>44461</c:v>
                </c:pt>
                <c:pt idx="193">
                  <c:v>44462</c:v>
                </c:pt>
                <c:pt idx="194">
                  <c:v>44463</c:v>
                </c:pt>
                <c:pt idx="195">
                  <c:v>44466</c:v>
                </c:pt>
                <c:pt idx="196">
                  <c:v>44467</c:v>
                </c:pt>
                <c:pt idx="197">
                  <c:v>44468</c:v>
                </c:pt>
                <c:pt idx="198">
                  <c:v>44469</c:v>
                </c:pt>
                <c:pt idx="199">
                  <c:v>44470</c:v>
                </c:pt>
                <c:pt idx="200">
                  <c:v>44473</c:v>
                </c:pt>
                <c:pt idx="201">
                  <c:v>44474</c:v>
                </c:pt>
                <c:pt idx="202">
                  <c:v>44475</c:v>
                </c:pt>
                <c:pt idx="203">
                  <c:v>44476</c:v>
                </c:pt>
                <c:pt idx="204">
                  <c:v>44477</c:v>
                </c:pt>
                <c:pt idx="205">
                  <c:v>44480</c:v>
                </c:pt>
                <c:pt idx="206">
                  <c:v>44481</c:v>
                </c:pt>
                <c:pt idx="207">
                  <c:v>44482</c:v>
                </c:pt>
                <c:pt idx="208">
                  <c:v>44483</c:v>
                </c:pt>
                <c:pt idx="209">
                  <c:v>44484</c:v>
                </c:pt>
                <c:pt idx="210">
                  <c:v>44487</c:v>
                </c:pt>
                <c:pt idx="211">
                  <c:v>44488</c:v>
                </c:pt>
                <c:pt idx="212">
                  <c:v>44489</c:v>
                </c:pt>
                <c:pt idx="213">
                  <c:v>44490</c:v>
                </c:pt>
                <c:pt idx="214">
                  <c:v>44491</c:v>
                </c:pt>
                <c:pt idx="215">
                  <c:v>44494</c:v>
                </c:pt>
                <c:pt idx="216">
                  <c:v>44495</c:v>
                </c:pt>
                <c:pt idx="217">
                  <c:v>44496</c:v>
                </c:pt>
                <c:pt idx="218">
                  <c:v>44497</c:v>
                </c:pt>
                <c:pt idx="219">
                  <c:v>44498</c:v>
                </c:pt>
                <c:pt idx="220">
                  <c:v>44501</c:v>
                </c:pt>
                <c:pt idx="221">
                  <c:v>44502</c:v>
                </c:pt>
                <c:pt idx="222">
                  <c:v>44503</c:v>
                </c:pt>
                <c:pt idx="223">
                  <c:v>44504</c:v>
                </c:pt>
                <c:pt idx="224">
                  <c:v>44505</c:v>
                </c:pt>
                <c:pt idx="225">
                  <c:v>44508</c:v>
                </c:pt>
                <c:pt idx="226">
                  <c:v>44509</c:v>
                </c:pt>
                <c:pt idx="227">
                  <c:v>44510</c:v>
                </c:pt>
                <c:pt idx="228">
                  <c:v>44511</c:v>
                </c:pt>
                <c:pt idx="229">
                  <c:v>44512</c:v>
                </c:pt>
                <c:pt idx="230">
                  <c:v>44515</c:v>
                </c:pt>
                <c:pt idx="231">
                  <c:v>44516</c:v>
                </c:pt>
                <c:pt idx="232">
                  <c:v>44517</c:v>
                </c:pt>
                <c:pt idx="233">
                  <c:v>44518</c:v>
                </c:pt>
                <c:pt idx="234">
                  <c:v>44519</c:v>
                </c:pt>
                <c:pt idx="235">
                  <c:v>44522</c:v>
                </c:pt>
                <c:pt idx="236">
                  <c:v>44523</c:v>
                </c:pt>
                <c:pt idx="237">
                  <c:v>44524</c:v>
                </c:pt>
                <c:pt idx="238">
                  <c:v>44526</c:v>
                </c:pt>
                <c:pt idx="239">
                  <c:v>44529</c:v>
                </c:pt>
                <c:pt idx="240">
                  <c:v>44530</c:v>
                </c:pt>
                <c:pt idx="241">
                  <c:v>44531</c:v>
                </c:pt>
                <c:pt idx="242">
                  <c:v>44532</c:v>
                </c:pt>
                <c:pt idx="243">
                  <c:v>44533</c:v>
                </c:pt>
                <c:pt idx="244">
                  <c:v>44536</c:v>
                </c:pt>
                <c:pt idx="245">
                  <c:v>44537</c:v>
                </c:pt>
                <c:pt idx="246">
                  <c:v>44538</c:v>
                </c:pt>
                <c:pt idx="247">
                  <c:v>44539</c:v>
                </c:pt>
                <c:pt idx="248">
                  <c:v>44540</c:v>
                </c:pt>
                <c:pt idx="249">
                  <c:v>44543</c:v>
                </c:pt>
                <c:pt idx="250">
                  <c:v>44544</c:v>
                </c:pt>
                <c:pt idx="251">
                  <c:v>44545</c:v>
                </c:pt>
                <c:pt idx="252">
                  <c:v>44546</c:v>
                </c:pt>
                <c:pt idx="253">
                  <c:v>44547</c:v>
                </c:pt>
                <c:pt idx="254">
                  <c:v>44550</c:v>
                </c:pt>
                <c:pt idx="255">
                  <c:v>44551</c:v>
                </c:pt>
                <c:pt idx="256">
                  <c:v>44552</c:v>
                </c:pt>
                <c:pt idx="257">
                  <c:v>44553</c:v>
                </c:pt>
                <c:pt idx="258">
                  <c:v>44557</c:v>
                </c:pt>
                <c:pt idx="259">
                  <c:v>44558</c:v>
                </c:pt>
                <c:pt idx="260">
                  <c:v>44559</c:v>
                </c:pt>
                <c:pt idx="261">
                  <c:v>44560</c:v>
                </c:pt>
                <c:pt idx="262">
                  <c:v>44561</c:v>
                </c:pt>
                <c:pt idx="263">
                  <c:v>44564</c:v>
                </c:pt>
                <c:pt idx="264">
                  <c:v>44565</c:v>
                </c:pt>
                <c:pt idx="265">
                  <c:v>44566</c:v>
                </c:pt>
                <c:pt idx="266">
                  <c:v>44567</c:v>
                </c:pt>
                <c:pt idx="267">
                  <c:v>44568</c:v>
                </c:pt>
                <c:pt idx="268">
                  <c:v>44571</c:v>
                </c:pt>
                <c:pt idx="269">
                  <c:v>44572</c:v>
                </c:pt>
                <c:pt idx="270">
                  <c:v>44573</c:v>
                </c:pt>
                <c:pt idx="271">
                  <c:v>44574</c:v>
                </c:pt>
                <c:pt idx="272">
                  <c:v>44575</c:v>
                </c:pt>
                <c:pt idx="273">
                  <c:v>44579</c:v>
                </c:pt>
                <c:pt idx="274">
                  <c:v>44580</c:v>
                </c:pt>
                <c:pt idx="275">
                  <c:v>44581</c:v>
                </c:pt>
                <c:pt idx="276">
                  <c:v>44582</c:v>
                </c:pt>
                <c:pt idx="277">
                  <c:v>44585</c:v>
                </c:pt>
                <c:pt idx="278">
                  <c:v>44586</c:v>
                </c:pt>
                <c:pt idx="279">
                  <c:v>44587</c:v>
                </c:pt>
                <c:pt idx="280">
                  <c:v>44588</c:v>
                </c:pt>
                <c:pt idx="281">
                  <c:v>44589</c:v>
                </c:pt>
                <c:pt idx="282">
                  <c:v>44592</c:v>
                </c:pt>
                <c:pt idx="283">
                  <c:v>44593</c:v>
                </c:pt>
                <c:pt idx="284">
                  <c:v>44594</c:v>
                </c:pt>
                <c:pt idx="285">
                  <c:v>44595</c:v>
                </c:pt>
                <c:pt idx="286">
                  <c:v>44596</c:v>
                </c:pt>
                <c:pt idx="287">
                  <c:v>44599</c:v>
                </c:pt>
                <c:pt idx="288">
                  <c:v>44600</c:v>
                </c:pt>
                <c:pt idx="289">
                  <c:v>44601</c:v>
                </c:pt>
                <c:pt idx="290">
                  <c:v>44602</c:v>
                </c:pt>
                <c:pt idx="291">
                  <c:v>44603</c:v>
                </c:pt>
                <c:pt idx="292">
                  <c:v>44606</c:v>
                </c:pt>
                <c:pt idx="293">
                  <c:v>44607</c:v>
                </c:pt>
                <c:pt idx="294">
                  <c:v>44608</c:v>
                </c:pt>
                <c:pt idx="295">
                  <c:v>44609</c:v>
                </c:pt>
                <c:pt idx="296">
                  <c:v>44610</c:v>
                </c:pt>
                <c:pt idx="297">
                  <c:v>44614</c:v>
                </c:pt>
                <c:pt idx="298">
                  <c:v>44615</c:v>
                </c:pt>
                <c:pt idx="299">
                  <c:v>44616</c:v>
                </c:pt>
                <c:pt idx="300">
                  <c:v>44617</c:v>
                </c:pt>
                <c:pt idx="301">
                  <c:v>44620</c:v>
                </c:pt>
                <c:pt idx="302">
                  <c:v>44621</c:v>
                </c:pt>
                <c:pt idx="303">
                  <c:v>44622</c:v>
                </c:pt>
                <c:pt idx="304">
                  <c:v>44623</c:v>
                </c:pt>
                <c:pt idx="305">
                  <c:v>44624</c:v>
                </c:pt>
                <c:pt idx="306">
                  <c:v>44627</c:v>
                </c:pt>
                <c:pt idx="307">
                  <c:v>44628</c:v>
                </c:pt>
                <c:pt idx="308">
                  <c:v>44629</c:v>
                </c:pt>
                <c:pt idx="309">
                  <c:v>44630</c:v>
                </c:pt>
                <c:pt idx="310">
                  <c:v>44631</c:v>
                </c:pt>
                <c:pt idx="311">
                  <c:v>44634</c:v>
                </c:pt>
                <c:pt idx="312">
                  <c:v>44635</c:v>
                </c:pt>
                <c:pt idx="313">
                  <c:v>44636</c:v>
                </c:pt>
                <c:pt idx="314">
                  <c:v>44637</c:v>
                </c:pt>
                <c:pt idx="315">
                  <c:v>44638</c:v>
                </c:pt>
                <c:pt idx="316">
                  <c:v>44641</c:v>
                </c:pt>
                <c:pt idx="317">
                  <c:v>44642</c:v>
                </c:pt>
                <c:pt idx="318">
                  <c:v>44643</c:v>
                </c:pt>
                <c:pt idx="319">
                  <c:v>44644</c:v>
                </c:pt>
                <c:pt idx="320">
                  <c:v>44645</c:v>
                </c:pt>
                <c:pt idx="321">
                  <c:v>44648</c:v>
                </c:pt>
                <c:pt idx="322">
                  <c:v>44649</c:v>
                </c:pt>
                <c:pt idx="323">
                  <c:v>44650</c:v>
                </c:pt>
                <c:pt idx="324">
                  <c:v>44651</c:v>
                </c:pt>
                <c:pt idx="325">
                  <c:v>44652</c:v>
                </c:pt>
                <c:pt idx="326">
                  <c:v>44655</c:v>
                </c:pt>
                <c:pt idx="327">
                  <c:v>44656</c:v>
                </c:pt>
                <c:pt idx="328">
                  <c:v>44657</c:v>
                </c:pt>
                <c:pt idx="329">
                  <c:v>44658</c:v>
                </c:pt>
                <c:pt idx="330">
                  <c:v>44659</c:v>
                </c:pt>
                <c:pt idx="331">
                  <c:v>44662</c:v>
                </c:pt>
                <c:pt idx="332">
                  <c:v>44663</c:v>
                </c:pt>
                <c:pt idx="333">
                  <c:v>44664</c:v>
                </c:pt>
                <c:pt idx="334">
                  <c:v>44665</c:v>
                </c:pt>
                <c:pt idx="335">
                  <c:v>44669</c:v>
                </c:pt>
                <c:pt idx="336">
                  <c:v>44670</c:v>
                </c:pt>
                <c:pt idx="337">
                  <c:v>44671</c:v>
                </c:pt>
                <c:pt idx="338">
                  <c:v>44672</c:v>
                </c:pt>
                <c:pt idx="339">
                  <c:v>44673</c:v>
                </c:pt>
                <c:pt idx="340">
                  <c:v>44676</c:v>
                </c:pt>
                <c:pt idx="341">
                  <c:v>44677</c:v>
                </c:pt>
                <c:pt idx="342">
                  <c:v>44678</c:v>
                </c:pt>
                <c:pt idx="343">
                  <c:v>44679</c:v>
                </c:pt>
                <c:pt idx="344">
                  <c:v>44680</c:v>
                </c:pt>
                <c:pt idx="345">
                  <c:v>44683</c:v>
                </c:pt>
                <c:pt idx="346">
                  <c:v>44684</c:v>
                </c:pt>
                <c:pt idx="347">
                  <c:v>44685</c:v>
                </c:pt>
                <c:pt idx="348">
                  <c:v>44686</c:v>
                </c:pt>
                <c:pt idx="349">
                  <c:v>44687</c:v>
                </c:pt>
                <c:pt idx="350">
                  <c:v>44690</c:v>
                </c:pt>
                <c:pt idx="351">
                  <c:v>44691</c:v>
                </c:pt>
                <c:pt idx="352">
                  <c:v>44692</c:v>
                </c:pt>
                <c:pt idx="353">
                  <c:v>44693</c:v>
                </c:pt>
                <c:pt idx="354">
                  <c:v>44694</c:v>
                </c:pt>
                <c:pt idx="355">
                  <c:v>44697</c:v>
                </c:pt>
                <c:pt idx="356">
                  <c:v>44698</c:v>
                </c:pt>
                <c:pt idx="357">
                  <c:v>44699</c:v>
                </c:pt>
                <c:pt idx="358">
                  <c:v>44700</c:v>
                </c:pt>
                <c:pt idx="359">
                  <c:v>44701</c:v>
                </c:pt>
                <c:pt idx="360">
                  <c:v>44704</c:v>
                </c:pt>
                <c:pt idx="361">
                  <c:v>44705</c:v>
                </c:pt>
                <c:pt idx="362">
                  <c:v>44706</c:v>
                </c:pt>
                <c:pt idx="363">
                  <c:v>44707</c:v>
                </c:pt>
                <c:pt idx="364">
                  <c:v>44708</c:v>
                </c:pt>
                <c:pt idx="365">
                  <c:v>44712</c:v>
                </c:pt>
                <c:pt idx="366">
                  <c:v>44713</c:v>
                </c:pt>
                <c:pt idx="367">
                  <c:v>44714</c:v>
                </c:pt>
                <c:pt idx="368">
                  <c:v>44715</c:v>
                </c:pt>
                <c:pt idx="369">
                  <c:v>44718</c:v>
                </c:pt>
                <c:pt idx="370">
                  <c:v>44719</c:v>
                </c:pt>
                <c:pt idx="371">
                  <c:v>44720</c:v>
                </c:pt>
                <c:pt idx="372">
                  <c:v>44721</c:v>
                </c:pt>
                <c:pt idx="373">
                  <c:v>44722</c:v>
                </c:pt>
                <c:pt idx="374">
                  <c:v>44725</c:v>
                </c:pt>
                <c:pt idx="375">
                  <c:v>44726</c:v>
                </c:pt>
                <c:pt idx="376">
                  <c:v>44727</c:v>
                </c:pt>
                <c:pt idx="377">
                  <c:v>44728</c:v>
                </c:pt>
                <c:pt idx="378">
                  <c:v>44729</c:v>
                </c:pt>
                <c:pt idx="379">
                  <c:v>44733</c:v>
                </c:pt>
                <c:pt idx="380">
                  <c:v>44734</c:v>
                </c:pt>
                <c:pt idx="381">
                  <c:v>44735</c:v>
                </c:pt>
                <c:pt idx="382">
                  <c:v>44736</c:v>
                </c:pt>
                <c:pt idx="383">
                  <c:v>44739</c:v>
                </c:pt>
                <c:pt idx="384">
                  <c:v>44740</c:v>
                </c:pt>
                <c:pt idx="385">
                  <c:v>44741</c:v>
                </c:pt>
                <c:pt idx="386">
                  <c:v>44742</c:v>
                </c:pt>
                <c:pt idx="387">
                  <c:v>44743</c:v>
                </c:pt>
                <c:pt idx="388">
                  <c:v>44747</c:v>
                </c:pt>
                <c:pt idx="389">
                  <c:v>44748</c:v>
                </c:pt>
                <c:pt idx="390">
                  <c:v>44749</c:v>
                </c:pt>
                <c:pt idx="391">
                  <c:v>44750</c:v>
                </c:pt>
                <c:pt idx="392">
                  <c:v>44753</c:v>
                </c:pt>
                <c:pt idx="393">
                  <c:v>44754</c:v>
                </c:pt>
                <c:pt idx="394">
                  <c:v>44755</c:v>
                </c:pt>
                <c:pt idx="395">
                  <c:v>44756</c:v>
                </c:pt>
                <c:pt idx="396">
                  <c:v>44757</c:v>
                </c:pt>
                <c:pt idx="397">
                  <c:v>44760</c:v>
                </c:pt>
                <c:pt idx="398">
                  <c:v>44761</c:v>
                </c:pt>
                <c:pt idx="399">
                  <c:v>44762</c:v>
                </c:pt>
                <c:pt idx="400">
                  <c:v>44763</c:v>
                </c:pt>
                <c:pt idx="401">
                  <c:v>44764</c:v>
                </c:pt>
                <c:pt idx="402">
                  <c:v>44767</c:v>
                </c:pt>
                <c:pt idx="403">
                  <c:v>44768</c:v>
                </c:pt>
                <c:pt idx="404">
                  <c:v>44769</c:v>
                </c:pt>
                <c:pt idx="405">
                  <c:v>44770</c:v>
                </c:pt>
                <c:pt idx="406">
                  <c:v>44771</c:v>
                </c:pt>
                <c:pt idx="407">
                  <c:v>44774</c:v>
                </c:pt>
                <c:pt idx="408">
                  <c:v>44775</c:v>
                </c:pt>
                <c:pt idx="409">
                  <c:v>44776</c:v>
                </c:pt>
                <c:pt idx="410">
                  <c:v>44777</c:v>
                </c:pt>
                <c:pt idx="411">
                  <c:v>44778</c:v>
                </c:pt>
                <c:pt idx="412">
                  <c:v>44781</c:v>
                </c:pt>
                <c:pt idx="413">
                  <c:v>44782</c:v>
                </c:pt>
                <c:pt idx="414">
                  <c:v>44783</c:v>
                </c:pt>
                <c:pt idx="415">
                  <c:v>44784</c:v>
                </c:pt>
                <c:pt idx="416">
                  <c:v>44785</c:v>
                </c:pt>
                <c:pt idx="417">
                  <c:v>44788</c:v>
                </c:pt>
                <c:pt idx="418">
                  <c:v>44789</c:v>
                </c:pt>
                <c:pt idx="419">
                  <c:v>44790</c:v>
                </c:pt>
                <c:pt idx="420">
                  <c:v>44791</c:v>
                </c:pt>
                <c:pt idx="421">
                  <c:v>44792</c:v>
                </c:pt>
                <c:pt idx="422">
                  <c:v>44795</c:v>
                </c:pt>
                <c:pt idx="423">
                  <c:v>44796</c:v>
                </c:pt>
                <c:pt idx="424">
                  <c:v>44797</c:v>
                </c:pt>
                <c:pt idx="425">
                  <c:v>44798</c:v>
                </c:pt>
                <c:pt idx="426">
                  <c:v>44799</c:v>
                </c:pt>
                <c:pt idx="427">
                  <c:v>44802</c:v>
                </c:pt>
                <c:pt idx="428">
                  <c:v>44803</c:v>
                </c:pt>
                <c:pt idx="429">
                  <c:v>44804</c:v>
                </c:pt>
                <c:pt idx="430">
                  <c:v>44805</c:v>
                </c:pt>
                <c:pt idx="431">
                  <c:v>44806</c:v>
                </c:pt>
                <c:pt idx="432">
                  <c:v>44810</c:v>
                </c:pt>
                <c:pt idx="433">
                  <c:v>44811</c:v>
                </c:pt>
                <c:pt idx="434">
                  <c:v>44812</c:v>
                </c:pt>
                <c:pt idx="435">
                  <c:v>44813</c:v>
                </c:pt>
                <c:pt idx="436">
                  <c:v>44816</c:v>
                </c:pt>
                <c:pt idx="437">
                  <c:v>44817</c:v>
                </c:pt>
                <c:pt idx="438">
                  <c:v>44818</c:v>
                </c:pt>
                <c:pt idx="439">
                  <c:v>44819</c:v>
                </c:pt>
                <c:pt idx="440">
                  <c:v>44820</c:v>
                </c:pt>
                <c:pt idx="441">
                  <c:v>44823</c:v>
                </c:pt>
                <c:pt idx="442">
                  <c:v>44824</c:v>
                </c:pt>
                <c:pt idx="443">
                  <c:v>44825</c:v>
                </c:pt>
                <c:pt idx="444">
                  <c:v>44826</c:v>
                </c:pt>
                <c:pt idx="445">
                  <c:v>44827</c:v>
                </c:pt>
                <c:pt idx="446">
                  <c:v>44830</c:v>
                </c:pt>
                <c:pt idx="447">
                  <c:v>44831</c:v>
                </c:pt>
                <c:pt idx="448">
                  <c:v>44832</c:v>
                </c:pt>
                <c:pt idx="449">
                  <c:v>44833</c:v>
                </c:pt>
                <c:pt idx="450">
                  <c:v>44834</c:v>
                </c:pt>
                <c:pt idx="451">
                  <c:v>44837</c:v>
                </c:pt>
                <c:pt idx="452">
                  <c:v>44838</c:v>
                </c:pt>
                <c:pt idx="453">
                  <c:v>44839</c:v>
                </c:pt>
                <c:pt idx="454">
                  <c:v>44840</c:v>
                </c:pt>
                <c:pt idx="455">
                  <c:v>44841</c:v>
                </c:pt>
                <c:pt idx="456">
                  <c:v>44844</c:v>
                </c:pt>
                <c:pt idx="457">
                  <c:v>44845</c:v>
                </c:pt>
                <c:pt idx="458">
                  <c:v>44846</c:v>
                </c:pt>
                <c:pt idx="459">
                  <c:v>44847</c:v>
                </c:pt>
                <c:pt idx="460">
                  <c:v>44848</c:v>
                </c:pt>
                <c:pt idx="461">
                  <c:v>44851</c:v>
                </c:pt>
                <c:pt idx="462">
                  <c:v>44852</c:v>
                </c:pt>
                <c:pt idx="463">
                  <c:v>44853</c:v>
                </c:pt>
                <c:pt idx="464">
                  <c:v>44854</c:v>
                </c:pt>
                <c:pt idx="465">
                  <c:v>44855</c:v>
                </c:pt>
                <c:pt idx="466">
                  <c:v>44858</c:v>
                </c:pt>
                <c:pt idx="467">
                  <c:v>44859</c:v>
                </c:pt>
                <c:pt idx="468">
                  <c:v>44860</c:v>
                </c:pt>
                <c:pt idx="469">
                  <c:v>44861</c:v>
                </c:pt>
                <c:pt idx="470">
                  <c:v>44862</c:v>
                </c:pt>
                <c:pt idx="471">
                  <c:v>44865</c:v>
                </c:pt>
                <c:pt idx="472">
                  <c:v>44866</c:v>
                </c:pt>
                <c:pt idx="473">
                  <c:v>44867</c:v>
                </c:pt>
                <c:pt idx="474">
                  <c:v>44868</c:v>
                </c:pt>
                <c:pt idx="475">
                  <c:v>44869</c:v>
                </c:pt>
                <c:pt idx="476">
                  <c:v>44872</c:v>
                </c:pt>
                <c:pt idx="477">
                  <c:v>44873</c:v>
                </c:pt>
                <c:pt idx="478">
                  <c:v>44874</c:v>
                </c:pt>
                <c:pt idx="479">
                  <c:v>44875</c:v>
                </c:pt>
                <c:pt idx="480">
                  <c:v>44876</c:v>
                </c:pt>
                <c:pt idx="481">
                  <c:v>44879</c:v>
                </c:pt>
                <c:pt idx="482">
                  <c:v>44880</c:v>
                </c:pt>
                <c:pt idx="483">
                  <c:v>44881</c:v>
                </c:pt>
                <c:pt idx="484">
                  <c:v>44882</c:v>
                </c:pt>
                <c:pt idx="485">
                  <c:v>44883</c:v>
                </c:pt>
                <c:pt idx="486">
                  <c:v>44886</c:v>
                </c:pt>
                <c:pt idx="487">
                  <c:v>44887</c:v>
                </c:pt>
                <c:pt idx="488">
                  <c:v>44888</c:v>
                </c:pt>
                <c:pt idx="489">
                  <c:v>44890</c:v>
                </c:pt>
                <c:pt idx="490">
                  <c:v>44893</c:v>
                </c:pt>
                <c:pt idx="491">
                  <c:v>44894</c:v>
                </c:pt>
                <c:pt idx="492">
                  <c:v>44895</c:v>
                </c:pt>
                <c:pt idx="493">
                  <c:v>44896</c:v>
                </c:pt>
                <c:pt idx="494">
                  <c:v>44897</c:v>
                </c:pt>
                <c:pt idx="495">
                  <c:v>44900</c:v>
                </c:pt>
                <c:pt idx="496">
                  <c:v>44901</c:v>
                </c:pt>
                <c:pt idx="497">
                  <c:v>44902</c:v>
                </c:pt>
                <c:pt idx="498">
                  <c:v>44903</c:v>
                </c:pt>
                <c:pt idx="499">
                  <c:v>44904</c:v>
                </c:pt>
                <c:pt idx="500">
                  <c:v>44907</c:v>
                </c:pt>
                <c:pt idx="501">
                  <c:v>44908</c:v>
                </c:pt>
                <c:pt idx="502">
                  <c:v>44909</c:v>
                </c:pt>
                <c:pt idx="503">
                  <c:v>44910</c:v>
                </c:pt>
                <c:pt idx="504">
                  <c:v>44911</c:v>
                </c:pt>
                <c:pt idx="505">
                  <c:v>44914</c:v>
                </c:pt>
                <c:pt idx="506">
                  <c:v>44915</c:v>
                </c:pt>
                <c:pt idx="507">
                  <c:v>44916</c:v>
                </c:pt>
                <c:pt idx="508">
                  <c:v>44917</c:v>
                </c:pt>
                <c:pt idx="509">
                  <c:v>44918</c:v>
                </c:pt>
                <c:pt idx="510">
                  <c:v>44922</c:v>
                </c:pt>
                <c:pt idx="511">
                  <c:v>44923</c:v>
                </c:pt>
                <c:pt idx="512">
                  <c:v>44924</c:v>
                </c:pt>
                <c:pt idx="513">
                  <c:v>44925</c:v>
                </c:pt>
                <c:pt idx="514">
                  <c:v>44929</c:v>
                </c:pt>
                <c:pt idx="515">
                  <c:v>44930</c:v>
                </c:pt>
                <c:pt idx="516">
                  <c:v>44931</c:v>
                </c:pt>
                <c:pt idx="517">
                  <c:v>44932</c:v>
                </c:pt>
                <c:pt idx="518">
                  <c:v>44935</c:v>
                </c:pt>
                <c:pt idx="519">
                  <c:v>44936</c:v>
                </c:pt>
                <c:pt idx="520">
                  <c:v>44937</c:v>
                </c:pt>
                <c:pt idx="521">
                  <c:v>44938</c:v>
                </c:pt>
                <c:pt idx="522">
                  <c:v>44939</c:v>
                </c:pt>
                <c:pt idx="523">
                  <c:v>44943</c:v>
                </c:pt>
                <c:pt idx="524">
                  <c:v>44944</c:v>
                </c:pt>
                <c:pt idx="525">
                  <c:v>44945</c:v>
                </c:pt>
                <c:pt idx="526">
                  <c:v>44946</c:v>
                </c:pt>
                <c:pt idx="527">
                  <c:v>44949</c:v>
                </c:pt>
                <c:pt idx="528">
                  <c:v>44950</c:v>
                </c:pt>
                <c:pt idx="529">
                  <c:v>44951</c:v>
                </c:pt>
                <c:pt idx="530">
                  <c:v>44952</c:v>
                </c:pt>
                <c:pt idx="531">
                  <c:v>44953</c:v>
                </c:pt>
                <c:pt idx="532">
                  <c:v>44956</c:v>
                </c:pt>
                <c:pt idx="533">
                  <c:v>44957</c:v>
                </c:pt>
                <c:pt idx="534">
                  <c:v>44958</c:v>
                </c:pt>
                <c:pt idx="535">
                  <c:v>44959</c:v>
                </c:pt>
                <c:pt idx="536">
                  <c:v>44960</c:v>
                </c:pt>
                <c:pt idx="537">
                  <c:v>44963</c:v>
                </c:pt>
                <c:pt idx="538">
                  <c:v>44964</c:v>
                </c:pt>
                <c:pt idx="539">
                  <c:v>44965</c:v>
                </c:pt>
                <c:pt idx="540">
                  <c:v>44966</c:v>
                </c:pt>
                <c:pt idx="541">
                  <c:v>44967</c:v>
                </c:pt>
                <c:pt idx="542">
                  <c:v>44970</c:v>
                </c:pt>
                <c:pt idx="543">
                  <c:v>44971</c:v>
                </c:pt>
                <c:pt idx="544">
                  <c:v>44972</c:v>
                </c:pt>
                <c:pt idx="545">
                  <c:v>44973</c:v>
                </c:pt>
                <c:pt idx="546">
                  <c:v>44974</c:v>
                </c:pt>
                <c:pt idx="547">
                  <c:v>44978</c:v>
                </c:pt>
                <c:pt idx="548">
                  <c:v>44979</c:v>
                </c:pt>
                <c:pt idx="549">
                  <c:v>44980</c:v>
                </c:pt>
                <c:pt idx="550">
                  <c:v>44981</c:v>
                </c:pt>
                <c:pt idx="551">
                  <c:v>44984</c:v>
                </c:pt>
                <c:pt idx="552">
                  <c:v>44985</c:v>
                </c:pt>
                <c:pt idx="553">
                  <c:v>44986</c:v>
                </c:pt>
                <c:pt idx="554">
                  <c:v>44987</c:v>
                </c:pt>
                <c:pt idx="555">
                  <c:v>44988</c:v>
                </c:pt>
                <c:pt idx="556">
                  <c:v>44991</c:v>
                </c:pt>
                <c:pt idx="557">
                  <c:v>44992</c:v>
                </c:pt>
                <c:pt idx="558">
                  <c:v>44993</c:v>
                </c:pt>
                <c:pt idx="559">
                  <c:v>44994</c:v>
                </c:pt>
                <c:pt idx="560">
                  <c:v>44995</c:v>
                </c:pt>
                <c:pt idx="561">
                  <c:v>44998</c:v>
                </c:pt>
                <c:pt idx="562">
                  <c:v>44999</c:v>
                </c:pt>
                <c:pt idx="563">
                  <c:v>45000</c:v>
                </c:pt>
                <c:pt idx="564">
                  <c:v>45001</c:v>
                </c:pt>
                <c:pt idx="565">
                  <c:v>45002</c:v>
                </c:pt>
                <c:pt idx="566">
                  <c:v>45005</c:v>
                </c:pt>
                <c:pt idx="567">
                  <c:v>45006</c:v>
                </c:pt>
                <c:pt idx="568">
                  <c:v>45007</c:v>
                </c:pt>
                <c:pt idx="569">
                  <c:v>45008</c:v>
                </c:pt>
                <c:pt idx="570">
                  <c:v>45009</c:v>
                </c:pt>
                <c:pt idx="571">
                  <c:v>45012</c:v>
                </c:pt>
                <c:pt idx="572">
                  <c:v>45013</c:v>
                </c:pt>
                <c:pt idx="573">
                  <c:v>45014</c:v>
                </c:pt>
                <c:pt idx="574">
                  <c:v>45015</c:v>
                </c:pt>
                <c:pt idx="575">
                  <c:v>45016</c:v>
                </c:pt>
                <c:pt idx="576">
                  <c:v>45019</c:v>
                </c:pt>
                <c:pt idx="577">
                  <c:v>45020</c:v>
                </c:pt>
                <c:pt idx="578">
                  <c:v>45021</c:v>
                </c:pt>
                <c:pt idx="579">
                  <c:v>45022</c:v>
                </c:pt>
                <c:pt idx="580">
                  <c:v>45026</c:v>
                </c:pt>
                <c:pt idx="581">
                  <c:v>45027</c:v>
                </c:pt>
                <c:pt idx="582">
                  <c:v>45028</c:v>
                </c:pt>
                <c:pt idx="583">
                  <c:v>45029</c:v>
                </c:pt>
                <c:pt idx="584">
                  <c:v>45030</c:v>
                </c:pt>
                <c:pt idx="585">
                  <c:v>45033</c:v>
                </c:pt>
                <c:pt idx="586">
                  <c:v>45034</c:v>
                </c:pt>
                <c:pt idx="587">
                  <c:v>45035</c:v>
                </c:pt>
                <c:pt idx="588">
                  <c:v>45036</c:v>
                </c:pt>
                <c:pt idx="589">
                  <c:v>45037</c:v>
                </c:pt>
                <c:pt idx="590">
                  <c:v>45040</c:v>
                </c:pt>
                <c:pt idx="591">
                  <c:v>45041</c:v>
                </c:pt>
                <c:pt idx="592">
                  <c:v>45042</c:v>
                </c:pt>
                <c:pt idx="593">
                  <c:v>45043</c:v>
                </c:pt>
                <c:pt idx="594">
                  <c:v>45044</c:v>
                </c:pt>
                <c:pt idx="595">
                  <c:v>45047</c:v>
                </c:pt>
                <c:pt idx="596">
                  <c:v>45048</c:v>
                </c:pt>
                <c:pt idx="597">
                  <c:v>45049</c:v>
                </c:pt>
                <c:pt idx="598">
                  <c:v>45050</c:v>
                </c:pt>
                <c:pt idx="599">
                  <c:v>45051</c:v>
                </c:pt>
                <c:pt idx="600">
                  <c:v>45054</c:v>
                </c:pt>
                <c:pt idx="601">
                  <c:v>45055</c:v>
                </c:pt>
                <c:pt idx="602">
                  <c:v>45056</c:v>
                </c:pt>
                <c:pt idx="603">
                  <c:v>45057</c:v>
                </c:pt>
                <c:pt idx="604">
                  <c:v>45058</c:v>
                </c:pt>
                <c:pt idx="605">
                  <c:v>45061</c:v>
                </c:pt>
                <c:pt idx="606">
                  <c:v>45062</c:v>
                </c:pt>
                <c:pt idx="607">
                  <c:v>45063</c:v>
                </c:pt>
                <c:pt idx="608">
                  <c:v>45064</c:v>
                </c:pt>
                <c:pt idx="609">
                  <c:v>45065</c:v>
                </c:pt>
                <c:pt idx="610">
                  <c:v>45068</c:v>
                </c:pt>
                <c:pt idx="611">
                  <c:v>45069</c:v>
                </c:pt>
                <c:pt idx="612">
                  <c:v>45070</c:v>
                </c:pt>
                <c:pt idx="613">
                  <c:v>45071</c:v>
                </c:pt>
                <c:pt idx="614">
                  <c:v>45072</c:v>
                </c:pt>
                <c:pt idx="615">
                  <c:v>45076</c:v>
                </c:pt>
                <c:pt idx="616">
                  <c:v>45077</c:v>
                </c:pt>
                <c:pt idx="617">
                  <c:v>45078</c:v>
                </c:pt>
                <c:pt idx="618">
                  <c:v>45079</c:v>
                </c:pt>
                <c:pt idx="619">
                  <c:v>45082</c:v>
                </c:pt>
                <c:pt idx="620">
                  <c:v>45083</c:v>
                </c:pt>
                <c:pt idx="621">
                  <c:v>45084</c:v>
                </c:pt>
                <c:pt idx="622">
                  <c:v>45085</c:v>
                </c:pt>
                <c:pt idx="623">
                  <c:v>45086</c:v>
                </c:pt>
                <c:pt idx="624">
                  <c:v>45089</c:v>
                </c:pt>
                <c:pt idx="625">
                  <c:v>45090</c:v>
                </c:pt>
                <c:pt idx="626">
                  <c:v>45091</c:v>
                </c:pt>
                <c:pt idx="627">
                  <c:v>45092</c:v>
                </c:pt>
                <c:pt idx="628">
                  <c:v>45093</c:v>
                </c:pt>
                <c:pt idx="629">
                  <c:v>45097</c:v>
                </c:pt>
                <c:pt idx="630">
                  <c:v>45098</c:v>
                </c:pt>
                <c:pt idx="631">
                  <c:v>45099</c:v>
                </c:pt>
                <c:pt idx="632">
                  <c:v>45100</c:v>
                </c:pt>
                <c:pt idx="633">
                  <c:v>45103</c:v>
                </c:pt>
                <c:pt idx="634">
                  <c:v>45104</c:v>
                </c:pt>
                <c:pt idx="635">
                  <c:v>45105</c:v>
                </c:pt>
                <c:pt idx="636">
                  <c:v>45106</c:v>
                </c:pt>
                <c:pt idx="637">
                  <c:v>45107</c:v>
                </c:pt>
                <c:pt idx="638">
                  <c:v>45110</c:v>
                </c:pt>
                <c:pt idx="639">
                  <c:v>45112</c:v>
                </c:pt>
                <c:pt idx="640">
                  <c:v>45113</c:v>
                </c:pt>
                <c:pt idx="641">
                  <c:v>45114</c:v>
                </c:pt>
                <c:pt idx="642">
                  <c:v>45117</c:v>
                </c:pt>
                <c:pt idx="643">
                  <c:v>45118</c:v>
                </c:pt>
                <c:pt idx="644">
                  <c:v>45119</c:v>
                </c:pt>
                <c:pt idx="645">
                  <c:v>45120</c:v>
                </c:pt>
                <c:pt idx="646">
                  <c:v>45121</c:v>
                </c:pt>
                <c:pt idx="647">
                  <c:v>45124</c:v>
                </c:pt>
                <c:pt idx="648">
                  <c:v>45125</c:v>
                </c:pt>
                <c:pt idx="649">
                  <c:v>45126</c:v>
                </c:pt>
                <c:pt idx="650">
                  <c:v>45127</c:v>
                </c:pt>
                <c:pt idx="651">
                  <c:v>45128</c:v>
                </c:pt>
                <c:pt idx="652">
                  <c:v>45131</c:v>
                </c:pt>
                <c:pt idx="653">
                  <c:v>45132</c:v>
                </c:pt>
                <c:pt idx="654">
                  <c:v>45133</c:v>
                </c:pt>
                <c:pt idx="655">
                  <c:v>45134</c:v>
                </c:pt>
                <c:pt idx="656">
                  <c:v>45135</c:v>
                </c:pt>
                <c:pt idx="657">
                  <c:v>45138</c:v>
                </c:pt>
                <c:pt idx="658">
                  <c:v>45139</c:v>
                </c:pt>
                <c:pt idx="659">
                  <c:v>45140</c:v>
                </c:pt>
                <c:pt idx="660">
                  <c:v>45141</c:v>
                </c:pt>
                <c:pt idx="661">
                  <c:v>45142</c:v>
                </c:pt>
                <c:pt idx="662">
                  <c:v>45145</c:v>
                </c:pt>
                <c:pt idx="663">
                  <c:v>45146</c:v>
                </c:pt>
                <c:pt idx="664">
                  <c:v>45147</c:v>
                </c:pt>
                <c:pt idx="665">
                  <c:v>45148</c:v>
                </c:pt>
                <c:pt idx="666">
                  <c:v>45149</c:v>
                </c:pt>
                <c:pt idx="667">
                  <c:v>45152</c:v>
                </c:pt>
                <c:pt idx="668">
                  <c:v>45153</c:v>
                </c:pt>
                <c:pt idx="669">
                  <c:v>45154</c:v>
                </c:pt>
                <c:pt idx="670">
                  <c:v>45155</c:v>
                </c:pt>
                <c:pt idx="671">
                  <c:v>45156</c:v>
                </c:pt>
                <c:pt idx="672">
                  <c:v>45159</c:v>
                </c:pt>
                <c:pt idx="673">
                  <c:v>45160</c:v>
                </c:pt>
                <c:pt idx="674">
                  <c:v>45161</c:v>
                </c:pt>
                <c:pt idx="675">
                  <c:v>45162</c:v>
                </c:pt>
                <c:pt idx="676">
                  <c:v>45163</c:v>
                </c:pt>
                <c:pt idx="677">
                  <c:v>45166</c:v>
                </c:pt>
                <c:pt idx="678">
                  <c:v>45167</c:v>
                </c:pt>
                <c:pt idx="679">
                  <c:v>45168</c:v>
                </c:pt>
                <c:pt idx="680">
                  <c:v>45169</c:v>
                </c:pt>
                <c:pt idx="681">
                  <c:v>45170</c:v>
                </c:pt>
                <c:pt idx="682">
                  <c:v>45174</c:v>
                </c:pt>
                <c:pt idx="683">
                  <c:v>45175</c:v>
                </c:pt>
                <c:pt idx="684">
                  <c:v>45176</c:v>
                </c:pt>
                <c:pt idx="685">
                  <c:v>45177</c:v>
                </c:pt>
                <c:pt idx="686">
                  <c:v>45180</c:v>
                </c:pt>
                <c:pt idx="687">
                  <c:v>45181</c:v>
                </c:pt>
                <c:pt idx="688">
                  <c:v>45182</c:v>
                </c:pt>
                <c:pt idx="689">
                  <c:v>45183</c:v>
                </c:pt>
                <c:pt idx="690">
                  <c:v>45184</c:v>
                </c:pt>
                <c:pt idx="691">
                  <c:v>45187</c:v>
                </c:pt>
                <c:pt idx="692">
                  <c:v>45188</c:v>
                </c:pt>
                <c:pt idx="693">
                  <c:v>45189</c:v>
                </c:pt>
                <c:pt idx="694">
                  <c:v>45190</c:v>
                </c:pt>
                <c:pt idx="695">
                  <c:v>45191</c:v>
                </c:pt>
                <c:pt idx="696">
                  <c:v>45194</c:v>
                </c:pt>
                <c:pt idx="697">
                  <c:v>45195</c:v>
                </c:pt>
                <c:pt idx="698">
                  <c:v>45196</c:v>
                </c:pt>
                <c:pt idx="699">
                  <c:v>45197</c:v>
                </c:pt>
                <c:pt idx="700">
                  <c:v>45198</c:v>
                </c:pt>
                <c:pt idx="701">
                  <c:v>45201</c:v>
                </c:pt>
                <c:pt idx="702">
                  <c:v>45202</c:v>
                </c:pt>
                <c:pt idx="703">
                  <c:v>45203</c:v>
                </c:pt>
                <c:pt idx="704">
                  <c:v>45204</c:v>
                </c:pt>
                <c:pt idx="705">
                  <c:v>45205</c:v>
                </c:pt>
                <c:pt idx="706">
                  <c:v>45208</c:v>
                </c:pt>
                <c:pt idx="707">
                  <c:v>45209</c:v>
                </c:pt>
                <c:pt idx="708">
                  <c:v>45210</c:v>
                </c:pt>
                <c:pt idx="709">
                  <c:v>45211</c:v>
                </c:pt>
                <c:pt idx="710">
                  <c:v>45212</c:v>
                </c:pt>
                <c:pt idx="711">
                  <c:v>45215</c:v>
                </c:pt>
                <c:pt idx="712">
                  <c:v>45216</c:v>
                </c:pt>
                <c:pt idx="713">
                  <c:v>45217</c:v>
                </c:pt>
                <c:pt idx="714">
                  <c:v>45218</c:v>
                </c:pt>
                <c:pt idx="715">
                  <c:v>45219</c:v>
                </c:pt>
                <c:pt idx="716">
                  <c:v>45222</c:v>
                </c:pt>
                <c:pt idx="717">
                  <c:v>45223</c:v>
                </c:pt>
                <c:pt idx="718">
                  <c:v>45224</c:v>
                </c:pt>
                <c:pt idx="719">
                  <c:v>45225</c:v>
                </c:pt>
                <c:pt idx="720">
                  <c:v>45226</c:v>
                </c:pt>
                <c:pt idx="721">
                  <c:v>45229</c:v>
                </c:pt>
                <c:pt idx="722">
                  <c:v>45230</c:v>
                </c:pt>
                <c:pt idx="723">
                  <c:v>45231</c:v>
                </c:pt>
                <c:pt idx="724">
                  <c:v>45232</c:v>
                </c:pt>
                <c:pt idx="725">
                  <c:v>45233</c:v>
                </c:pt>
                <c:pt idx="726">
                  <c:v>45236</c:v>
                </c:pt>
                <c:pt idx="727">
                  <c:v>45237</c:v>
                </c:pt>
                <c:pt idx="728">
                  <c:v>45238</c:v>
                </c:pt>
                <c:pt idx="729">
                  <c:v>45239</c:v>
                </c:pt>
                <c:pt idx="730">
                  <c:v>45240</c:v>
                </c:pt>
                <c:pt idx="731">
                  <c:v>45243</c:v>
                </c:pt>
                <c:pt idx="732">
                  <c:v>45244</c:v>
                </c:pt>
                <c:pt idx="733">
                  <c:v>45245</c:v>
                </c:pt>
                <c:pt idx="734">
                  <c:v>45246</c:v>
                </c:pt>
                <c:pt idx="735">
                  <c:v>45247</c:v>
                </c:pt>
                <c:pt idx="736">
                  <c:v>45250</c:v>
                </c:pt>
                <c:pt idx="737">
                  <c:v>45251</c:v>
                </c:pt>
                <c:pt idx="738">
                  <c:v>45252</c:v>
                </c:pt>
                <c:pt idx="739">
                  <c:v>45254</c:v>
                </c:pt>
                <c:pt idx="740">
                  <c:v>45257</c:v>
                </c:pt>
                <c:pt idx="741">
                  <c:v>45258</c:v>
                </c:pt>
                <c:pt idx="742">
                  <c:v>45259</c:v>
                </c:pt>
                <c:pt idx="743">
                  <c:v>45260</c:v>
                </c:pt>
                <c:pt idx="744">
                  <c:v>45261</c:v>
                </c:pt>
                <c:pt idx="745">
                  <c:v>45264</c:v>
                </c:pt>
                <c:pt idx="746">
                  <c:v>45265</c:v>
                </c:pt>
                <c:pt idx="747">
                  <c:v>45266</c:v>
                </c:pt>
                <c:pt idx="748">
                  <c:v>45267</c:v>
                </c:pt>
                <c:pt idx="749">
                  <c:v>45268</c:v>
                </c:pt>
                <c:pt idx="750">
                  <c:v>45271</c:v>
                </c:pt>
                <c:pt idx="751">
                  <c:v>45272</c:v>
                </c:pt>
                <c:pt idx="752">
                  <c:v>45273</c:v>
                </c:pt>
                <c:pt idx="753">
                  <c:v>45274</c:v>
                </c:pt>
                <c:pt idx="754">
                  <c:v>45275</c:v>
                </c:pt>
                <c:pt idx="755">
                  <c:v>45278</c:v>
                </c:pt>
                <c:pt idx="756">
                  <c:v>45279</c:v>
                </c:pt>
                <c:pt idx="757">
                  <c:v>45280</c:v>
                </c:pt>
                <c:pt idx="758">
                  <c:v>45281</c:v>
                </c:pt>
                <c:pt idx="759">
                  <c:v>45282</c:v>
                </c:pt>
                <c:pt idx="760">
                  <c:v>45286</c:v>
                </c:pt>
                <c:pt idx="761">
                  <c:v>45287</c:v>
                </c:pt>
                <c:pt idx="762">
                  <c:v>45288</c:v>
                </c:pt>
                <c:pt idx="763">
                  <c:v>45289</c:v>
                </c:pt>
                <c:pt idx="764">
                  <c:v>45293</c:v>
                </c:pt>
                <c:pt idx="765">
                  <c:v>45294</c:v>
                </c:pt>
                <c:pt idx="766">
                  <c:v>45295</c:v>
                </c:pt>
                <c:pt idx="767">
                  <c:v>45296</c:v>
                </c:pt>
                <c:pt idx="768">
                  <c:v>45299</c:v>
                </c:pt>
                <c:pt idx="769">
                  <c:v>45300</c:v>
                </c:pt>
                <c:pt idx="770">
                  <c:v>45301</c:v>
                </c:pt>
                <c:pt idx="771">
                  <c:v>45302</c:v>
                </c:pt>
                <c:pt idx="772">
                  <c:v>45303</c:v>
                </c:pt>
                <c:pt idx="773">
                  <c:v>45307</c:v>
                </c:pt>
                <c:pt idx="774">
                  <c:v>45308</c:v>
                </c:pt>
                <c:pt idx="775">
                  <c:v>45309</c:v>
                </c:pt>
                <c:pt idx="776">
                  <c:v>45310</c:v>
                </c:pt>
                <c:pt idx="777">
                  <c:v>45313</c:v>
                </c:pt>
                <c:pt idx="778">
                  <c:v>45314</c:v>
                </c:pt>
                <c:pt idx="779">
                  <c:v>45315</c:v>
                </c:pt>
                <c:pt idx="780">
                  <c:v>45316</c:v>
                </c:pt>
                <c:pt idx="781">
                  <c:v>45317</c:v>
                </c:pt>
                <c:pt idx="782">
                  <c:v>45320</c:v>
                </c:pt>
                <c:pt idx="783">
                  <c:v>45321</c:v>
                </c:pt>
                <c:pt idx="784">
                  <c:v>45322</c:v>
                </c:pt>
                <c:pt idx="785">
                  <c:v>45323</c:v>
                </c:pt>
                <c:pt idx="786">
                  <c:v>45324</c:v>
                </c:pt>
                <c:pt idx="787">
                  <c:v>45327</c:v>
                </c:pt>
                <c:pt idx="788">
                  <c:v>45328</c:v>
                </c:pt>
                <c:pt idx="789">
                  <c:v>45329</c:v>
                </c:pt>
                <c:pt idx="790">
                  <c:v>45330</c:v>
                </c:pt>
                <c:pt idx="791">
                  <c:v>45331</c:v>
                </c:pt>
                <c:pt idx="792">
                  <c:v>45334</c:v>
                </c:pt>
                <c:pt idx="793">
                  <c:v>45335</c:v>
                </c:pt>
                <c:pt idx="794">
                  <c:v>45336</c:v>
                </c:pt>
                <c:pt idx="795">
                  <c:v>45337</c:v>
                </c:pt>
                <c:pt idx="796">
                  <c:v>45338</c:v>
                </c:pt>
                <c:pt idx="797">
                  <c:v>45342</c:v>
                </c:pt>
                <c:pt idx="798">
                  <c:v>45343</c:v>
                </c:pt>
                <c:pt idx="799">
                  <c:v>45344</c:v>
                </c:pt>
                <c:pt idx="800">
                  <c:v>45345</c:v>
                </c:pt>
                <c:pt idx="801">
                  <c:v>45348</c:v>
                </c:pt>
                <c:pt idx="802">
                  <c:v>45349</c:v>
                </c:pt>
                <c:pt idx="803">
                  <c:v>45350</c:v>
                </c:pt>
                <c:pt idx="804">
                  <c:v>45351</c:v>
                </c:pt>
                <c:pt idx="805">
                  <c:v>45352</c:v>
                </c:pt>
                <c:pt idx="806">
                  <c:v>45355</c:v>
                </c:pt>
                <c:pt idx="807">
                  <c:v>45356</c:v>
                </c:pt>
                <c:pt idx="808">
                  <c:v>45357</c:v>
                </c:pt>
                <c:pt idx="809">
                  <c:v>45358</c:v>
                </c:pt>
                <c:pt idx="810">
                  <c:v>45359</c:v>
                </c:pt>
                <c:pt idx="811">
                  <c:v>45362</c:v>
                </c:pt>
                <c:pt idx="812">
                  <c:v>45363</c:v>
                </c:pt>
                <c:pt idx="813">
                  <c:v>45364</c:v>
                </c:pt>
                <c:pt idx="814">
                  <c:v>45365</c:v>
                </c:pt>
                <c:pt idx="815">
                  <c:v>45366</c:v>
                </c:pt>
                <c:pt idx="816">
                  <c:v>45369</c:v>
                </c:pt>
                <c:pt idx="817">
                  <c:v>45370</c:v>
                </c:pt>
                <c:pt idx="818">
                  <c:v>45371</c:v>
                </c:pt>
                <c:pt idx="819">
                  <c:v>45372</c:v>
                </c:pt>
                <c:pt idx="820">
                  <c:v>45373</c:v>
                </c:pt>
                <c:pt idx="821">
                  <c:v>45376</c:v>
                </c:pt>
                <c:pt idx="822">
                  <c:v>45377</c:v>
                </c:pt>
                <c:pt idx="823">
                  <c:v>45378</c:v>
                </c:pt>
                <c:pt idx="824">
                  <c:v>45379</c:v>
                </c:pt>
                <c:pt idx="825">
                  <c:v>45383</c:v>
                </c:pt>
                <c:pt idx="826">
                  <c:v>45384</c:v>
                </c:pt>
                <c:pt idx="827">
                  <c:v>45385</c:v>
                </c:pt>
                <c:pt idx="828">
                  <c:v>45386</c:v>
                </c:pt>
                <c:pt idx="829">
                  <c:v>45387</c:v>
                </c:pt>
                <c:pt idx="830">
                  <c:v>45390</c:v>
                </c:pt>
                <c:pt idx="831">
                  <c:v>45391</c:v>
                </c:pt>
                <c:pt idx="832">
                  <c:v>45392</c:v>
                </c:pt>
                <c:pt idx="833">
                  <c:v>45393</c:v>
                </c:pt>
                <c:pt idx="834">
                  <c:v>45394</c:v>
                </c:pt>
                <c:pt idx="835">
                  <c:v>45397</c:v>
                </c:pt>
                <c:pt idx="836">
                  <c:v>45398</c:v>
                </c:pt>
                <c:pt idx="837">
                  <c:v>45399</c:v>
                </c:pt>
                <c:pt idx="838">
                  <c:v>45400</c:v>
                </c:pt>
                <c:pt idx="839">
                  <c:v>45401</c:v>
                </c:pt>
                <c:pt idx="840">
                  <c:v>45404</c:v>
                </c:pt>
                <c:pt idx="841">
                  <c:v>45405</c:v>
                </c:pt>
                <c:pt idx="842">
                  <c:v>45406</c:v>
                </c:pt>
                <c:pt idx="843">
                  <c:v>45407</c:v>
                </c:pt>
                <c:pt idx="844">
                  <c:v>45408</c:v>
                </c:pt>
                <c:pt idx="845">
                  <c:v>45411</c:v>
                </c:pt>
                <c:pt idx="846">
                  <c:v>45412</c:v>
                </c:pt>
                <c:pt idx="847">
                  <c:v>45413</c:v>
                </c:pt>
                <c:pt idx="848">
                  <c:v>45414</c:v>
                </c:pt>
                <c:pt idx="849">
                  <c:v>45415</c:v>
                </c:pt>
                <c:pt idx="850">
                  <c:v>45418</c:v>
                </c:pt>
                <c:pt idx="851">
                  <c:v>45419</c:v>
                </c:pt>
                <c:pt idx="852">
                  <c:v>45420</c:v>
                </c:pt>
                <c:pt idx="853">
                  <c:v>45421</c:v>
                </c:pt>
                <c:pt idx="854">
                  <c:v>45422</c:v>
                </c:pt>
                <c:pt idx="855">
                  <c:v>45425</c:v>
                </c:pt>
                <c:pt idx="856">
                  <c:v>45426</c:v>
                </c:pt>
                <c:pt idx="857">
                  <c:v>45427</c:v>
                </c:pt>
                <c:pt idx="858">
                  <c:v>45428</c:v>
                </c:pt>
                <c:pt idx="859">
                  <c:v>45429</c:v>
                </c:pt>
                <c:pt idx="860">
                  <c:v>45432</c:v>
                </c:pt>
                <c:pt idx="861">
                  <c:v>45433</c:v>
                </c:pt>
                <c:pt idx="862">
                  <c:v>45434</c:v>
                </c:pt>
                <c:pt idx="863">
                  <c:v>45435</c:v>
                </c:pt>
                <c:pt idx="864">
                  <c:v>45436</c:v>
                </c:pt>
                <c:pt idx="865">
                  <c:v>45440</c:v>
                </c:pt>
                <c:pt idx="866">
                  <c:v>45441</c:v>
                </c:pt>
                <c:pt idx="867">
                  <c:v>45442</c:v>
                </c:pt>
                <c:pt idx="868">
                  <c:v>45443</c:v>
                </c:pt>
                <c:pt idx="869">
                  <c:v>45446</c:v>
                </c:pt>
                <c:pt idx="870">
                  <c:v>45447</c:v>
                </c:pt>
                <c:pt idx="871">
                  <c:v>45448</c:v>
                </c:pt>
                <c:pt idx="872">
                  <c:v>45449</c:v>
                </c:pt>
                <c:pt idx="873">
                  <c:v>45450</c:v>
                </c:pt>
                <c:pt idx="874">
                  <c:v>45453</c:v>
                </c:pt>
                <c:pt idx="875">
                  <c:v>45454</c:v>
                </c:pt>
                <c:pt idx="876">
                  <c:v>45455</c:v>
                </c:pt>
                <c:pt idx="877">
                  <c:v>45456</c:v>
                </c:pt>
                <c:pt idx="878">
                  <c:v>45457</c:v>
                </c:pt>
                <c:pt idx="879">
                  <c:v>45460</c:v>
                </c:pt>
                <c:pt idx="880">
                  <c:v>45461</c:v>
                </c:pt>
                <c:pt idx="881">
                  <c:v>45463</c:v>
                </c:pt>
                <c:pt idx="882">
                  <c:v>45464</c:v>
                </c:pt>
                <c:pt idx="883">
                  <c:v>45467</c:v>
                </c:pt>
                <c:pt idx="884">
                  <c:v>45468</c:v>
                </c:pt>
                <c:pt idx="885">
                  <c:v>45469</c:v>
                </c:pt>
                <c:pt idx="886">
                  <c:v>45470</c:v>
                </c:pt>
                <c:pt idx="887">
                  <c:v>45471</c:v>
                </c:pt>
                <c:pt idx="888">
                  <c:v>45474</c:v>
                </c:pt>
                <c:pt idx="889">
                  <c:v>45475</c:v>
                </c:pt>
                <c:pt idx="890">
                  <c:v>45476</c:v>
                </c:pt>
                <c:pt idx="891">
                  <c:v>45478</c:v>
                </c:pt>
                <c:pt idx="892">
                  <c:v>45481</c:v>
                </c:pt>
                <c:pt idx="893">
                  <c:v>45482</c:v>
                </c:pt>
                <c:pt idx="894">
                  <c:v>45483</c:v>
                </c:pt>
                <c:pt idx="895">
                  <c:v>45484</c:v>
                </c:pt>
                <c:pt idx="896">
                  <c:v>45485</c:v>
                </c:pt>
                <c:pt idx="897">
                  <c:v>45488</c:v>
                </c:pt>
                <c:pt idx="898">
                  <c:v>45489</c:v>
                </c:pt>
                <c:pt idx="899">
                  <c:v>45490</c:v>
                </c:pt>
                <c:pt idx="900">
                  <c:v>45491</c:v>
                </c:pt>
                <c:pt idx="901">
                  <c:v>45492</c:v>
                </c:pt>
                <c:pt idx="902">
                  <c:v>45495</c:v>
                </c:pt>
                <c:pt idx="903">
                  <c:v>45496</c:v>
                </c:pt>
                <c:pt idx="904">
                  <c:v>45497</c:v>
                </c:pt>
                <c:pt idx="905">
                  <c:v>45498</c:v>
                </c:pt>
                <c:pt idx="906">
                  <c:v>45499</c:v>
                </c:pt>
                <c:pt idx="907">
                  <c:v>45502</c:v>
                </c:pt>
                <c:pt idx="908">
                  <c:v>45503</c:v>
                </c:pt>
                <c:pt idx="909">
                  <c:v>45504</c:v>
                </c:pt>
                <c:pt idx="910">
                  <c:v>45505</c:v>
                </c:pt>
                <c:pt idx="911">
                  <c:v>45506</c:v>
                </c:pt>
                <c:pt idx="912">
                  <c:v>45509</c:v>
                </c:pt>
                <c:pt idx="913">
                  <c:v>45510</c:v>
                </c:pt>
                <c:pt idx="914">
                  <c:v>45511</c:v>
                </c:pt>
                <c:pt idx="915">
                  <c:v>45512</c:v>
                </c:pt>
                <c:pt idx="916">
                  <c:v>45513</c:v>
                </c:pt>
                <c:pt idx="917">
                  <c:v>45516</c:v>
                </c:pt>
                <c:pt idx="918">
                  <c:v>45517</c:v>
                </c:pt>
                <c:pt idx="919">
                  <c:v>45518</c:v>
                </c:pt>
                <c:pt idx="920">
                  <c:v>45519</c:v>
                </c:pt>
                <c:pt idx="921">
                  <c:v>45520</c:v>
                </c:pt>
                <c:pt idx="922">
                  <c:v>45523</c:v>
                </c:pt>
                <c:pt idx="923">
                  <c:v>45524</c:v>
                </c:pt>
                <c:pt idx="924">
                  <c:v>45525</c:v>
                </c:pt>
                <c:pt idx="925">
                  <c:v>45526</c:v>
                </c:pt>
                <c:pt idx="926">
                  <c:v>45527</c:v>
                </c:pt>
                <c:pt idx="927">
                  <c:v>45530</c:v>
                </c:pt>
                <c:pt idx="928">
                  <c:v>45531</c:v>
                </c:pt>
                <c:pt idx="929">
                  <c:v>45532</c:v>
                </c:pt>
                <c:pt idx="930">
                  <c:v>45533</c:v>
                </c:pt>
                <c:pt idx="931">
                  <c:v>45534</c:v>
                </c:pt>
                <c:pt idx="932">
                  <c:v>45538</c:v>
                </c:pt>
                <c:pt idx="933">
                  <c:v>45539</c:v>
                </c:pt>
                <c:pt idx="934">
                  <c:v>45540</c:v>
                </c:pt>
                <c:pt idx="935">
                  <c:v>45541</c:v>
                </c:pt>
                <c:pt idx="936">
                  <c:v>45544</c:v>
                </c:pt>
                <c:pt idx="937">
                  <c:v>45545</c:v>
                </c:pt>
                <c:pt idx="938">
                  <c:v>45546</c:v>
                </c:pt>
                <c:pt idx="939">
                  <c:v>45547</c:v>
                </c:pt>
                <c:pt idx="940">
                  <c:v>45548</c:v>
                </c:pt>
                <c:pt idx="941">
                  <c:v>45551</c:v>
                </c:pt>
                <c:pt idx="942">
                  <c:v>45552</c:v>
                </c:pt>
                <c:pt idx="943">
                  <c:v>45553</c:v>
                </c:pt>
                <c:pt idx="944">
                  <c:v>45554</c:v>
                </c:pt>
                <c:pt idx="945">
                  <c:v>45555</c:v>
                </c:pt>
                <c:pt idx="946">
                  <c:v>45558</c:v>
                </c:pt>
                <c:pt idx="947">
                  <c:v>45559</c:v>
                </c:pt>
                <c:pt idx="948">
                  <c:v>45560</c:v>
                </c:pt>
                <c:pt idx="949">
                  <c:v>45561</c:v>
                </c:pt>
                <c:pt idx="950">
                  <c:v>45562</c:v>
                </c:pt>
                <c:pt idx="951">
                  <c:v>45565</c:v>
                </c:pt>
                <c:pt idx="952">
                  <c:v>45566</c:v>
                </c:pt>
                <c:pt idx="953">
                  <c:v>45567</c:v>
                </c:pt>
                <c:pt idx="954">
                  <c:v>45568</c:v>
                </c:pt>
                <c:pt idx="955">
                  <c:v>45569</c:v>
                </c:pt>
                <c:pt idx="956">
                  <c:v>45572</c:v>
                </c:pt>
                <c:pt idx="957">
                  <c:v>45573</c:v>
                </c:pt>
                <c:pt idx="958">
                  <c:v>45574</c:v>
                </c:pt>
                <c:pt idx="959">
                  <c:v>45575</c:v>
                </c:pt>
                <c:pt idx="960">
                  <c:v>45576</c:v>
                </c:pt>
                <c:pt idx="961">
                  <c:v>45579</c:v>
                </c:pt>
                <c:pt idx="962">
                  <c:v>45580</c:v>
                </c:pt>
                <c:pt idx="963">
                  <c:v>45581</c:v>
                </c:pt>
                <c:pt idx="964">
                  <c:v>45582</c:v>
                </c:pt>
                <c:pt idx="965">
                  <c:v>45583</c:v>
                </c:pt>
                <c:pt idx="966">
                  <c:v>45586</c:v>
                </c:pt>
                <c:pt idx="967">
                  <c:v>45587</c:v>
                </c:pt>
                <c:pt idx="968">
                  <c:v>45588</c:v>
                </c:pt>
                <c:pt idx="969">
                  <c:v>45589</c:v>
                </c:pt>
                <c:pt idx="970">
                  <c:v>45590</c:v>
                </c:pt>
                <c:pt idx="971">
                  <c:v>45593</c:v>
                </c:pt>
                <c:pt idx="972">
                  <c:v>45594</c:v>
                </c:pt>
                <c:pt idx="973">
                  <c:v>45595</c:v>
                </c:pt>
                <c:pt idx="974">
                  <c:v>45596</c:v>
                </c:pt>
                <c:pt idx="975">
                  <c:v>45597</c:v>
                </c:pt>
                <c:pt idx="976">
                  <c:v>45600</c:v>
                </c:pt>
                <c:pt idx="977">
                  <c:v>45601</c:v>
                </c:pt>
                <c:pt idx="978">
                  <c:v>45602</c:v>
                </c:pt>
                <c:pt idx="979">
                  <c:v>45603</c:v>
                </c:pt>
                <c:pt idx="980">
                  <c:v>45604</c:v>
                </c:pt>
                <c:pt idx="981">
                  <c:v>45607</c:v>
                </c:pt>
                <c:pt idx="982">
                  <c:v>45608</c:v>
                </c:pt>
                <c:pt idx="983">
                  <c:v>45609</c:v>
                </c:pt>
                <c:pt idx="984">
                  <c:v>45610</c:v>
                </c:pt>
                <c:pt idx="985">
                  <c:v>45611</c:v>
                </c:pt>
                <c:pt idx="986">
                  <c:v>45614</c:v>
                </c:pt>
                <c:pt idx="987">
                  <c:v>45615</c:v>
                </c:pt>
                <c:pt idx="988">
                  <c:v>45616</c:v>
                </c:pt>
                <c:pt idx="989">
                  <c:v>45617</c:v>
                </c:pt>
                <c:pt idx="990">
                  <c:v>45618</c:v>
                </c:pt>
                <c:pt idx="991">
                  <c:v>45621</c:v>
                </c:pt>
                <c:pt idx="992">
                  <c:v>45622</c:v>
                </c:pt>
                <c:pt idx="993">
                  <c:v>45623</c:v>
                </c:pt>
                <c:pt idx="994">
                  <c:v>45625</c:v>
                </c:pt>
                <c:pt idx="995">
                  <c:v>45628</c:v>
                </c:pt>
                <c:pt idx="996">
                  <c:v>45629</c:v>
                </c:pt>
                <c:pt idx="997">
                  <c:v>45630</c:v>
                </c:pt>
                <c:pt idx="998">
                  <c:v>45631</c:v>
                </c:pt>
                <c:pt idx="999">
                  <c:v>45632</c:v>
                </c:pt>
                <c:pt idx="1000">
                  <c:v>45635</c:v>
                </c:pt>
                <c:pt idx="1001">
                  <c:v>45636</c:v>
                </c:pt>
                <c:pt idx="1002">
                  <c:v>45637</c:v>
                </c:pt>
                <c:pt idx="1003">
                  <c:v>45638</c:v>
                </c:pt>
                <c:pt idx="1004">
                  <c:v>45639</c:v>
                </c:pt>
                <c:pt idx="1005">
                  <c:v>45642</c:v>
                </c:pt>
                <c:pt idx="1006">
                  <c:v>45643</c:v>
                </c:pt>
                <c:pt idx="1007">
                  <c:v>45644</c:v>
                </c:pt>
                <c:pt idx="1008">
                  <c:v>45645</c:v>
                </c:pt>
                <c:pt idx="1009">
                  <c:v>45646</c:v>
                </c:pt>
                <c:pt idx="1010">
                  <c:v>45649</c:v>
                </c:pt>
                <c:pt idx="1011">
                  <c:v>45650</c:v>
                </c:pt>
                <c:pt idx="1012">
                  <c:v>45652</c:v>
                </c:pt>
                <c:pt idx="1013">
                  <c:v>45653</c:v>
                </c:pt>
                <c:pt idx="1014">
                  <c:v>45656</c:v>
                </c:pt>
                <c:pt idx="1015">
                  <c:v>45657</c:v>
                </c:pt>
                <c:pt idx="1016">
                  <c:v>45659</c:v>
                </c:pt>
                <c:pt idx="1017">
                  <c:v>45660</c:v>
                </c:pt>
                <c:pt idx="1018">
                  <c:v>45663</c:v>
                </c:pt>
                <c:pt idx="1019">
                  <c:v>45664</c:v>
                </c:pt>
                <c:pt idx="1020">
                  <c:v>45665</c:v>
                </c:pt>
                <c:pt idx="1021">
                  <c:v>45667</c:v>
                </c:pt>
                <c:pt idx="1022">
                  <c:v>45670</c:v>
                </c:pt>
                <c:pt idx="1023">
                  <c:v>45671</c:v>
                </c:pt>
                <c:pt idx="1024">
                  <c:v>45672</c:v>
                </c:pt>
                <c:pt idx="1025">
                  <c:v>45673</c:v>
                </c:pt>
                <c:pt idx="1026">
                  <c:v>45674</c:v>
                </c:pt>
                <c:pt idx="1027">
                  <c:v>45678</c:v>
                </c:pt>
                <c:pt idx="1028">
                  <c:v>45679</c:v>
                </c:pt>
                <c:pt idx="1029">
                  <c:v>45680</c:v>
                </c:pt>
                <c:pt idx="1030">
                  <c:v>45681</c:v>
                </c:pt>
                <c:pt idx="1031">
                  <c:v>45684</c:v>
                </c:pt>
                <c:pt idx="1032">
                  <c:v>45685</c:v>
                </c:pt>
                <c:pt idx="1033">
                  <c:v>45686</c:v>
                </c:pt>
                <c:pt idx="1034">
                  <c:v>45687</c:v>
                </c:pt>
                <c:pt idx="1035">
                  <c:v>45688</c:v>
                </c:pt>
                <c:pt idx="1036">
                  <c:v>45691</c:v>
                </c:pt>
                <c:pt idx="1037">
                  <c:v>45692</c:v>
                </c:pt>
                <c:pt idx="1038">
                  <c:v>45693</c:v>
                </c:pt>
                <c:pt idx="1039">
                  <c:v>45694</c:v>
                </c:pt>
                <c:pt idx="1040">
                  <c:v>45695</c:v>
                </c:pt>
                <c:pt idx="1041">
                  <c:v>45698</c:v>
                </c:pt>
                <c:pt idx="1042">
                  <c:v>45699</c:v>
                </c:pt>
                <c:pt idx="1043">
                  <c:v>45700</c:v>
                </c:pt>
                <c:pt idx="1044">
                  <c:v>45701</c:v>
                </c:pt>
                <c:pt idx="1045">
                  <c:v>45702</c:v>
                </c:pt>
                <c:pt idx="1046">
                  <c:v>45706</c:v>
                </c:pt>
                <c:pt idx="1047">
                  <c:v>45707</c:v>
                </c:pt>
                <c:pt idx="1048">
                  <c:v>45708</c:v>
                </c:pt>
                <c:pt idx="1049">
                  <c:v>45709</c:v>
                </c:pt>
                <c:pt idx="1050">
                  <c:v>45712</c:v>
                </c:pt>
                <c:pt idx="1051">
                  <c:v>45713</c:v>
                </c:pt>
                <c:pt idx="1052">
                  <c:v>45714</c:v>
                </c:pt>
                <c:pt idx="1053">
                  <c:v>45715</c:v>
                </c:pt>
                <c:pt idx="1054">
                  <c:v>45716</c:v>
                </c:pt>
                <c:pt idx="1055">
                  <c:v>45719</c:v>
                </c:pt>
                <c:pt idx="1056">
                  <c:v>45720</c:v>
                </c:pt>
                <c:pt idx="1057">
                  <c:v>45721</c:v>
                </c:pt>
                <c:pt idx="1058">
                  <c:v>45722</c:v>
                </c:pt>
                <c:pt idx="1059">
                  <c:v>45723</c:v>
                </c:pt>
                <c:pt idx="1060">
                  <c:v>45726</c:v>
                </c:pt>
                <c:pt idx="1061">
                  <c:v>45727</c:v>
                </c:pt>
                <c:pt idx="1062">
                  <c:v>45728</c:v>
                </c:pt>
                <c:pt idx="1063">
                  <c:v>45729</c:v>
                </c:pt>
                <c:pt idx="1064">
                  <c:v>45730</c:v>
                </c:pt>
                <c:pt idx="1065">
                  <c:v>45733</c:v>
                </c:pt>
                <c:pt idx="1066">
                  <c:v>45734</c:v>
                </c:pt>
                <c:pt idx="1067">
                  <c:v>45735</c:v>
                </c:pt>
                <c:pt idx="1068">
                  <c:v>45736</c:v>
                </c:pt>
                <c:pt idx="1069">
                  <c:v>45737</c:v>
                </c:pt>
                <c:pt idx="1070">
                  <c:v>45740</c:v>
                </c:pt>
                <c:pt idx="1071">
                  <c:v>45741</c:v>
                </c:pt>
                <c:pt idx="1072">
                  <c:v>45742</c:v>
                </c:pt>
                <c:pt idx="1073">
                  <c:v>45743</c:v>
                </c:pt>
                <c:pt idx="1074">
                  <c:v>45744</c:v>
                </c:pt>
                <c:pt idx="1075">
                  <c:v>45747</c:v>
                </c:pt>
                <c:pt idx="1076">
                  <c:v>45748</c:v>
                </c:pt>
                <c:pt idx="1077">
                  <c:v>45749</c:v>
                </c:pt>
                <c:pt idx="1078">
                  <c:v>45750</c:v>
                </c:pt>
                <c:pt idx="1079">
                  <c:v>45751</c:v>
                </c:pt>
                <c:pt idx="1080">
                  <c:v>45754</c:v>
                </c:pt>
                <c:pt idx="1081">
                  <c:v>45755</c:v>
                </c:pt>
                <c:pt idx="1082">
                  <c:v>45756</c:v>
                </c:pt>
                <c:pt idx="1083">
                  <c:v>45757</c:v>
                </c:pt>
                <c:pt idx="1084">
                  <c:v>45758</c:v>
                </c:pt>
                <c:pt idx="1085">
                  <c:v>45761</c:v>
                </c:pt>
                <c:pt idx="1086">
                  <c:v>45762</c:v>
                </c:pt>
                <c:pt idx="1087">
                  <c:v>45763</c:v>
                </c:pt>
                <c:pt idx="1088">
                  <c:v>45764</c:v>
                </c:pt>
                <c:pt idx="1089">
                  <c:v>45768</c:v>
                </c:pt>
                <c:pt idx="1090">
                  <c:v>45769</c:v>
                </c:pt>
                <c:pt idx="1091">
                  <c:v>45770</c:v>
                </c:pt>
                <c:pt idx="1092">
                  <c:v>45771</c:v>
                </c:pt>
                <c:pt idx="1093">
                  <c:v>45772</c:v>
                </c:pt>
                <c:pt idx="1094">
                  <c:v>45775</c:v>
                </c:pt>
                <c:pt idx="1095">
                  <c:v>45776</c:v>
                </c:pt>
                <c:pt idx="1096">
                  <c:v>45777</c:v>
                </c:pt>
                <c:pt idx="1097">
                  <c:v>45778</c:v>
                </c:pt>
                <c:pt idx="1098">
                  <c:v>45779</c:v>
                </c:pt>
                <c:pt idx="1099">
                  <c:v>45782</c:v>
                </c:pt>
                <c:pt idx="1100">
                  <c:v>45783</c:v>
                </c:pt>
                <c:pt idx="1101">
                  <c:v>45784</c:v>
                </c:pt>
                <c:pt idx="1102">
                  <c:v>45785</c:v>
                </c:pt>
                <c:pt idx="1103">
                  <c:v>45786</c:v>
                </c:pt>
                <c:pt idx="1104">
                  <c:v>45789</c:v>
                </c:pt>
                <c:pt idx="1105">
                  <c:v>45790</c:v>
                </c:pt>
                <c:pt idx="1106">
                  <c:v>45791</c:v>
                </c:pt>
                <c:pt idx="1107">
                  <c:v>45792</c:v>
                </c:pt>
                <c:pt idx="1108">
                  <c:v>45793</c:v>
                </c:pt>
                <c:pt idx="1109">
                  <c:v>45796</c:v>
                </c:pt>
                <c:pt idx="1110">
                  <c:v>45797</c:v>
                </c:pt>
                <c:pt idx="1111">
                  <c:v>45798</c:v>
                </c:pt>
                <c:pt idx="1112">
                  <c:v>45799</c:v>
                </c:pt>
                <c:pt idx="1113">
                  <c:v>45800</c:v>
                </c:pt>
                <c:pt idx="1114">
                  <c:v>45804</c:v>
                </c:pt>
                <c:pt idx="1115">
                  <c:v>45805</c:v>
                </c:pt>
                <c:pt idx="1116">
                  <c:v>45806</c:v>
                </c:pt>
                <c:pt idx="1117">
                  <c:v>45807</c:v>
                </c:pt>
                <c:pt idx="1118">
                  <c:v>45810</c:v>
                </c:pt>
                <c:pt idx="1119">
                  <c:v>45811</c:v>
                </c:pt>
                <c:pt idx="1120">
                  <c:v>45812</c:v>
                </c:pt>
                <c:pt idx="1121">
                  <c:v>45813</c:v>
                </c:pt>
                <c:pt idx="1122">
                  <c:v>45814</c:v>
                </c:pt>
                <c:pt idx="1123">
                  <c:v>45817</c:v>
                </c:pt>
                <c:pt idx="1124">
                  <c:v>45818</c:v>
                </c:pt>
                <c:pt idx="1125">
                  <c:v>45819</c:v>
                </c:pt>
                <c:pt idx="1126">
                  <c:v>45820</c:v>
                </c:pt>
                <c:pt idx="1127">
                  <c:v>45821</c:v>
                </c:pt>
                <c:pt idx="1128">
                  <c:v>45824</c:v>
                </c:pt>
                <c:pt idx="1129">
                  <c:v>45825</c:v>
                </c:pt>
                <c:pt idx="1130">
                  <c:v>45826</c:v>
                </c:pt>
                <c:pt idx="1131">
                  <c:v>45828</c:v>
                </c:pt>
                <c:pt idx="1132">
                  <c:v>45831</c:v>
                </c:pt>
                <c:pt idx="1133">
                  <c:v>45832</c:v>
                </c:pt>
                <c:pt idx="1134">
                  <c:v>45833</c:v>
                </c:pt>
                <c:pt idx="1135">
                  <c:v>45834</c:v>
                </c:pt>
                <c:pt idx="1136">
                  <c:v>45835</c:v>
                </c:pt>
                <c:pt idx="1137">
                  <c:v>45838</c:v>
                </c:pt>
                <c:pt idx="1138">
                  <c:v>45839</c:v>
                </c:pt>
                <c:pt idx="1139">
                  <c:v>45840</c:v>
                </c:pt>
                <c:pt idx="1140">
                  <c:v>45841</c:v>
                </c:pt>
                <c:pt idx="1141">
                  <c:v>45845</c:v>
                </c:pt>
                <c:pt idx="1142">
                  <c:v>45846</c:v>
                </c:pt>
                <c:pt idx="1143">
                  <c:v>45847</c:v>
                </c:pt>
                <c:pt idx="1144">
                  <c:v>45848</c:v>
                </c:pt>
                <c:pt idx="1145">
                  <c:v>45849</c:v>
                </c:pt>
                <c:pt idx="1146">
                  <c:v>45852</c:v>
                </c:pt>
                <c:pt idx="1147">
                  <c:v>45853</c:v>
                </c:pt>
                <c:pt idx="1148">
                  <c:v>45854</c:v>
                </c:pt>
                <c:pt idx="1149">
                  <c:v>45855</c:v>
                </c:pt>
                <c:pt idx="1150">
                  <c:v>45856</c:v>
                </c:pt>
                <c:pt idx="1151">
                  <c:v>45859</c:v>
                </c:pt>
                <c:pt idx="1152">
                  <c:v>45860</c:v>
                </c:pt>
                <c:pt idx="1153">
                  <c:v>45861</c:v>
                </c:pt>
                <c:pt idx="1154">
                  <c:v>45862</c:v>
                </c:pt>
                <c:pt idx="1155">
                  <c:v>45863</c:v>
                </c:pt>
                <c:pt idx="1156">
                  <c:v>45866</c:v>
                </c:pt>
                <c:pt idx="1157">
                  <c:v>45867</c:v>
                </c:pt>
                <c:pt idx="1158">
                  <c:v>45868</c:v>
                </c:pt>
                <c:pt idx="1159">
                  <c:v>45869</c:v>
                </c:pt>
                <c:pt idx="1160">
                  <c:v>45870</c:v>
                </c:pt>
                <c:pt idx="1161">
                  <c:v>45873</c:v>
                </c:pt>
                <c:pt idx="1162">
                  <c:v>45874</c:v>
                </c:pt>
                <c:pt idx="1163">
                  <c:v>45875</c:v>
                </c:pt>
                <c:pt idx="1164">
                  <c:v>45876</c:v>
                </c:pt>
                <c:pt idx="1165">
                  <c:v>45877</c:v>
                </c:pt>
                <c:pt idx="1166">
                  <c:v>45880</c:v>
                </c:pt>
                <c:pt idx="1167">
                  <c:v>45881</c:v>
                </c:pt>
                <c:pt idx="1168">
                  <c:v>45882</c:v>
                </c:pt>
                <c:pt idx="1169">
                  <c:v>45883</c:v>
                </c:pt>
                <c:pt idx="1170">
                  <c:v>45884</c:v>
                </c:pt>
                <c:pt idx="1171">
                  <c:v>45887</c:v>
                </c:pt>
                <c:pt idx="1172">
                  <c:v>45888</c:v>
                </c:pt>
                <c:pt idx="1173">
                  <c:v>45889</c:v>
                </c:pt>
                <c:pt idx="1174">
                  <c:v>45890</c:v>
                </c:pt>
                <c:pt idx="1175">
                  <c:v>45891</c:v>
                </c:pt>
                <c:pt idx="1176">
                  <c:v>45894</c:v>
                </c:pt>
                <c:pt idx="1177">
                  <c:v>45895</c:v>
                </c:pt>
                <c:pt idx="1178">
                  <c:v>45896</c:v>
                </c:pt>
                <c:pt idx="1179">
                  <c:v>45897</c:v>
                </c:pt>
                <c:pt idx="1180">
                  <c:v>45898</c:v>
                </c:pt>
                <c:pt idx="1181">
                  <c:v>45902</c:v>
                </c:pt>
                <c:pt idx="1182">
                  <c:v>45903</c:v>
                </c:pt>
                <c:pt idx="1183">
                  <c:v>45904</c:v>
                </c:pt>
                <c:pt idx="1184">
                  <c:v>45905</c:v>
                </c:pt>
                <c:pt idx="1185">
                  <c:v>45908</c:v>
                </c:pt>
                <c:pt idx="1186">
                  <c:v>45909</c:v>
                </c:pt>
                <c:pt idx="1187">
                  <c:v>45910</c:v>
                </c:pt>
                <c:pt idx="1188">
                  <c:v>45911</c:v>
                </c:pt>
                <c:pt idx="1189">
                  <c:v>45912</c:v>
                </c:pt>
                <c:pt idx="1190">
                  <c:v>45915</c:v>
                </c:pt>
                <c:pt idx="1191">
                  <c:v>45916</c:v>
                </c:pt>
                <c:pt idx="1192">
                  <c:v>45917</c:v>
                </c:pt>
                <c:pt idx="1193">
                  <c:v>45918</c:v>
                </c:pt>
                <c:pt idx="1194">
                  <c:v>45919</c:v>
                </c:pt>
                <c:pt idx="1195">
                  <c:v>45922</c:v>
                </c:pt>
                <c:pt idx="1196">
                  <c:v>45923</c:v>
                </c:pt>
                <c:pt idx="1197">
                  <c:v>45924</c:v>
                </c:pt>
                <c:pt idx="1198">
                  <c:v>45925</c:v>
                </c:pt>
                <c:pt idx="1199">
                  <c:v>45926</c:v>
                </c:pt>
                <c:pt idx="1200">
                  <c:v>45929</c:v>
                </c:pt>
                <c:pt idx="1201">
                  <c:v>45930</c:v>
                </c:pt>
                <c:pt idx="1202">
                  <c:v>45931</c:v>
                </c:pt>
                <c:pt idx="1203">
                  <c:v>45932</c:v>
                </c:pt>
                <c:pt idx="1204">
                  <c:v>45933</c:v>
                </c:pt>
                <c:pt idx="1205">
                  <c:v>45936</c:v>
                </c:pt>
                <c:pt idx="1206">
                  <c:v>45937</c:v>
                </c:pt>
                <c:pt idx="1207">
                  <c:v>45938</c:v>
                </c:pt>
                <c:pt idx="1208">
                  <c:v>45939</c:v>
                </c:pt>
                <c:pt idx="1209">
                  <c:v>45940</c:v>
                </c:pt>
                <c:pt idx="1210">
                  <c:v>45943</c:v>
                </c:pt>
                <c:pt idx="1211">
                  <c:v>45944</c:v>
                </c:pt>
                <c:pt idx="1212">
                  <c:v>45945</c:v>
                </c:pt>
                <c:pt idx="1213">
                  <c:v>45946</c:v>
                </c:pt>
                <c:pt idx="1214">
                  <c:v>45947</c:v>
                </c:pt>
                <c:pt idx="1215">
                  <c:v>45950</c:v>
                </c:pt>
                <c:pt idx="1216">
                  <c:v>45951</c:v>
                </c:pt>
                <c:pt idx="1217">
                  <c:v>45952</c:v>
                </c:pt>
                <c:pt idx="1218">
                  <c:v>45953</c:v>
                </c:pt>
                <c:pt idx="1219">
                  <c:v>45954</c:v>
                </c:pt>
                <c:pt idx="1220">
                  <c:v>45957</c:v>
                </c:pt>
                <c:pt idx="1221">
                  <c:v>45958</c:v>
                </c:pt>
                <c:pt idx="1222">
                  <c:v>45959</c:v>
                </c:pt>
                <c:pt idx="1223">
                  <c:v>45960</c:v>
                </c:pt>
                <c:pt idx="1224">
                  <c:v>45961</c:v>
                </c:pt>
                <c:pt idx="1225">
                  <c:v>45964</c:v>
                </c:pt>
                <c:pt idx="1226">
                  <c:v>45965</c:v>
                </c:pt>
                <c:pt idx="1227">
                  <c:v>45966</c:v>
                </c:pt>
                <c:pt idx="1228">
                  <c:v>45967</c:v>
                </c:pt>
                <c:pt idx="1229">
                  <c:v>45968</c:v>
                </c:pt>
                <c:pt idx="1230">
                  <c:v>45971</c:v>
                </c:pt>
                <c:pt idx="1231">
                  <c:v>45972</c:v>
                </c:pt>
                <c:pt idx="1232">
                  <c:v>45973</c:v>
                </c:pt>
                <c:pt idx="1233">
                  <c:v>45974</c:v>
                </c:pt>
                <c:pt idx="1234">
                  <c:v>45975</c:v>
                </c:pt>
                <c:pt idx="1235">
                  <c:v>45978</c:v>
                </c:pt>
                <c:pt idx="1236">
                  <c:v>45979</c:v>
                </c:pt>
                <c:pt idx="1237">
                  <c:v>45980</c:v>
                </c:pt>
                <c:pt idx="1238">
                  <c:v>45981</c:v>
                </c:pt>
                <c:pt idx="1239">
                  <c:v>45982</c:v>
                </c:pt>
                <c:pt idx="1240">
                  <c:v>45985</c:v>
                </c:pt>
                <c:pt idx="1241">
                  <c:v>45986</c:v>
                </c:pt>
                <c:pt idx="1242">
                  <c:v>45987</c:v>
                </c:pt>
                <c:pt idx="1243">
                  <c:v>45989</c:v>
                </c:pt>
                <c:pt idx="1244">
                  <c:v>45992</c:v>
                </c:pt>
                <c:pt idx="1245">
                  <c:v>45993</c:v>
                </c:pt>
                <c:pt idx="1246">
                  <c:v>45994</c:v>
                </c:pt>
                <c:pt idx="1247">
                  <c:v>45995</c:v>
                </c:pt>
                <c:pt idx="1248">
                  <c:v>45996</c:v>
                </c:pt>
                <c:pt idx="1249">
                  <c:v>45999</c:v>
                </c:pt>
                <c:pt idx="1250">
                  <c:v>46000</c:v>
                </c:pt>
                <c:pt idx="1251">
                  <c:v>46001</c:v>
                </c:pt>
                <c:pt idx="1252">
                  <c:v>46002</c:v>
                </c:pt>
                <c:pt idx="1253">
                  <c:v>46003</c:v>
                </c:pt>
                <c:pt idx="1254">
                  <c:v>46006</c:v>
                </c:pt>
              </c:numCache>
            </c:numRef>
          </c:cat>
          <c:val>
            <c:numRef>
              <c:f>Indexed_Performance_Data!$C$2:$C$1256</c:f>
              <c:numCache>
                <c:formatCode>_("$"* #,##0.00_);_("$"* \(#,##0.00\);_("$"* "-"??_);_(@_)</c:formatCode>
                <c:ptCount val="1255"/>
                <c:pt idx="0">
                  <c:v>1</c:v>
                </c:pt>
                <c:pt idx="1">
                  <c:v>1.0067296907546868</c:v>
                </c:pt>
                <c:pt idx="2">
                  <c:v>0.99807723121294667</c:v>
                </c:pt>
                <c:pt idx="3">
                  <c:v>0.97772792821663201</c:v>
                </c:pt>
                <c:pt idx="4">
                  <c:v>0.97580515942957857</c:v>
                </c:pt>
                <c:pt idx="5">
                  <c:v>0.97388239064252535</c:v>
                </c:pt>
                <c:pt idx="6">
                  <c:v>0.98077231212946647</c:v>
                </c:pt>
                <c:pt idx="7">
                  <c:v>0.98509854190033652</c:v>
                </c:pt>
                <c:pt idx="8">
                  <c:v>0.98493831116808217</c:v>
                </c:pt>
                <c:pt idx="9">
                  <c:v>0.98990546386797007</c:v>
                </c:pt>
                <c:pt idx="10">
                  <c:v>1.0046466912353791</c:v>
                </c:pt>
                <c:pt idx="11">
                  <c:v>0.97933023553917642</c:v>
                </c:pt>
                <c:pt idx="12">
                  <c:v>0.97917000480692207</c:v>
                </c:pt>
                <c:pt idx="13">
                  <c:v>1.003525076109598</c:v>
                </c:pt>
                <c:pt idx="14">
                  <c:v>0.99038615606473335</c:v>
                </c:pt>
                <c:pt idx="15">
                  <c:v>0.99871815414196452</c:v>
                </c:pt>
                <c:pt idx="16">
                  <c:v>0.98942477167120668</c:v>
                </c:pt>
                <c:pt idx="17">
                  <c:v>0.98413715750681008</c:v>
                </c:pt>
                <c:pt idx="18">
                  <c:v>1.0033648453773436</c:v>
                </c:pt>
                <c:pt idx="19">
                  <c:v>0.99951930780323694</c:v>
                </c:pt>
                <c:pt idx="20">
                  <c:v>1.0092933824707582</c:v>
                </c:pt>
                <c:pt idx="21">
                  <c:v>1.0054478448966513</c:v>
                </c:pt>
                <c:pt idx="22">
                  <c:v>1.0113763819900659</c:v>
                </c:pt>
                <c:pt idx="23">
                  <c:v>1.0054478448966513</c:v>
                </c:pt>
                <c:pt idx="24">
                  <c:v>1.0068899214869413</c:v>
                </c:pt>
                <c:pt idx="25">
                  <c:v>1.0270789937510014</c:v>
                </c:pt>
                <c:pt idx="26">
                  <c:v>1.0168242268867169</c:v>
                </c:pt>
                <c:pt idx="27">
                  <c:v>0.98942477167120657</c:v>
                </c:pt>
                <c:pt idx="28">
                  <c:v>1.0012818458580355</c:v>
                </c:pt>
                <c:pt idx="29">
                  <c:v>0.9958340009613843</c:v>
                </c:pt>
                <c:pt idx="30">
                  <c:v>1.0006409229290176</c:v>
                </c:pt>
                <c:pt idx="31">
                  <c:v>1.0088126902739945</c:v>
                </c:pt>
                <c:pt idx="32">
                  <c:v>1.0056080756289054</c:v>
                </c:pt>
                <c:pt idx="33">
                  <c:v>1.0134593815093733</c:v>
                </c:pt>
                <c:pt idx="34">
                  <c:v>1.0189072264060246</c:v>
                </c:pt>
                <c:pt idx="35">
                  <c:v>1.0110559205255567</c:v>
                </c:pt>
                <c:pt idx="36">
                  <c:v>1.0124979971158465</c:v>
                </c:pt>
                <c:pt idx="37">
                  <c:v>1.0165037654222078</c:v>
                </c:pt>
                <c:pt idx="38">
                  <c:v>1.0107354590610478</c:v>
                </c:pt>
                <c:pt idx="39">
                  <c:v>1.0033648453773432</c:v>
                </c:pt>
                <c:pt idx="40">
                  <c:v>0.99214869411953188</c:v>
                </c:pt>
                <c:pt idx="41">
                  <c:v>0.9929498477808042</c:v>
                </c:pt>
                <c:pt idx="42">
                  <c:v>0.99887838487421876</c:v>
                </c:pt>
                <c:pt idx="43">
                  <c:v>0.98397692677455517</c:v>
                </c:pt>
                <c:pt idx="44">
                  <c:v>0.96474923890402176</c:v>
                </c:pt>
                <c:pt idx="45">
                  <c:v>0.97276077551674411</c:v>
                </c:pt>
                <c:pt idx="46">
                  <c:v>0.96138439352667837</c:v>
                </c:pt>
                <c:pt idx="47">
                  <c:v>0.95273193398493827</c:v>
                </c:pt>
                <c:pt idx="48">
                  <c:v>0.93510655343694915</c:v>
                </c:pt>
                <c:pt idx="49">
                  <c:v>0.95577631789777273</c:v>
                </c:pt>
                <c:pt idx="50">
                  <c:v>0.95289216471719274</c:v>
                </c:pt>
                <c:pt idx="51">
                  <c:v>0.94167601345938157</c:v>
                </c:pt>
                <c:pt idx="52">
                  <c:v>0.94087485979810925</c:v>
                </c:pt>
                <c:pt idx="53">
                  <c:v>0.95625701009453612</c:v>
                </c:pt>
                <c:pt idx="54">
                  <c:v>0.96971639160390966</c:v>
                </c:pt>
                <c:pt idx="55">
                  <c:v>0.98253485018426545</c:v>
                </c:pt>
                <c:pt idx="56">
                  <c:v>0.98926454093895222</c:v>
                </c:pt>
                <c:pt idx="57">
                  <c:v>0.98670084922288104</c:v>
                </c:pt>
                <c:pt idx="58">
                  <c:v>1</c:v>
                </c:pt>
                <c:pt idx="59">
                  <c:v>1.0128184585803557</c:v>
                </c:pt>
                <c:pt idx="60">
                  <c:v>1.0141003044383912</c:v>
                </c:pt>
                <c:pt idx="61">
                  <c:v>0.99759653901618317</c:v>
                </c:pt>
                <c:pt idx="62">
                  <c:v>0.99391123217433097</c:v>
                </c:pt>
                <c:pt idx="63">
                  <c:v>0.99663515462265651</c:v>
                </c:pt>
                <c:pt idx="64">
                  <c:v>0.98782246434866183</c:v>
                </c:pt>
                <c:pt idx="65">
                  <c:v>1.002563691716071</c:v>
                </c:pt>
                <c:pt idx="66">
                  <c:v>1.0028841531805799</c:v>
                </c:pt>
                <c:pt idx="67">
                  <c:v>1.0136196122416277</c:v>
                </c:pt>
                <c:pt idx="68">
                  <c:v>1.016984457618971</c:v>
                </c:pt>
                <c:pt idx="69">
                  <c:v>1.0278801474122734</c:v>
                </c:pt>
                <c:pt idx="70">
                  <c:v>1.0185867649415155</c:v>
                </c:pt>
                <c:pt idx="71">
                  <c:v>1.0261176093574744</c:v>
                </c:pt>
                <c:pt idx="72">
                  <c:v>1.0251562249639476</c:v>
                </c:pt>
                <c:pt idx="73">
                  <c:v>1.0363723762217589</c:v>
                </c:pt>
                <c:pt idx="74">
                  <c:v>1.04182022111841</c:v>
                </c:pt>
                <c:pt idx="75">
                  <c:v>1.0405383752603745</c:v>
                </c:pt>
                <c:pt idx="76">
                  <c:v>1.0397372215991023</c:v>
                </c:pt>
                <c:pt idx="77">
                  <c:v>1.038615606473321</c:v>
                </c:pt>
                <c:pt idx="78">
                  <c:v>1.0395769908668475</c:v>
                </c:pt>
                <c:pt idx="79">
                  <c:v>1.0519147572504401</c:v>
                </c:pt>
                <c:pt idx="80">
                  <c:v>1.056561448485819</c:v>
                </c:pt>
                <c:pt idx="81">
                  <c:v>1.0682582919403938</c:v>
                </c:pt>
                <c:pt idx="82">
                  <c:v>1.0769107514821339</c:v>
                </c:pt>
                <c:pt idx="83">
                  <c:v>1.0714629065854828</c:v>
                </c:pt>
                <c:pt idx="84">
                  <c:v>1.0850825188271105</c:v>
                </c:pt>
                <c:pt idx="85">
                  <c:v>1.0759493670886071</c:v>
                </c:pt>
                <c:pt idx="86">
                  <c:v>1.0682582919403936</c:v>
                </c:pt>
                <c:pt idx="87">
                  <c:v>1.0668162153501035</c:v>
                </c:pt>
                <c:pt idx="88">
                  <c:v>1.0607274475244346</c:v>
                </c:pt>
                <c:pt idx="89">
                  <c:v>1.0525556801794578</c:v>
                </c:pt>
                <c:pt idx="90">
                  <c:v>1.0511136035891677</c:v>
                </c:pt>
                <c:pt idx="91">
                  <c:v>1.0607274475244346</c:v>
                </c:pt>
                <c:pt idx="92">
                  <c:v>1.0690594456016658</c:v>
                </c:pt>
                <c:pt idx="93">
                  <c:v>1.0688992148694112</c:v>
                </c:pt>
                <c:pt idx="94">
                  <c:v>1.06489344656305</c:v>
                </c:pt>
                <c:pt idx="95">
                  <c:v>1.0469476045505521</c:v>
                </c:pt>
                <c:pt idx="96">
                  <c:v>1.0549591411632744</c:v>
                </c:pt>
                <c:pt idx="97">
                  <c:v>1.0581637558083634</c:v>
                </c:pt>
                <c:pt idx="98">
                  <c:v>1.068899214869411</c:v>
                </c:pt>
                <c:pt idx="99">
                  <c:v>1.0557602948245464</c:v>
                </c:pt>
                <c:pt idx="100">
                  <c:v>1.0310847620573615</c:v>
                </c:pt>
                <c:pt idx="101">
                  <c:v>1.0509533728569129</c:v>
                </c:pt>
                <c:pt idx="102">
                  <c:v>1.0560807562890551</c:v>
                </c:pt>
                <c:pt idx="103">
                  <c:v>1.0474282967473152</c:v>
                </c:pt>
                <c:pt idx="104">
                  <c:v>1.0472680660150606</c:v>
                </c:pt>
                <c:pt idx="105">
                  <c:v>1.0455055279602619</c:v>
                </c:pt>
                <c:pt idx="106">
                  <c:v>1.0546386796987652</c:v>
                </c:pt>
                <c:pt idx="107">
                  <c:v>1.0600865245954165</c:v>
                </c:pt>
                <c:pt idx="108">
                  <c:v>1.0581637558083634</c:v>
                </c:pt>
                <c:pt idx="109">
                  <c:v>1.0453452972280075</c:v>
                </c:pt>
                <c:pt idx="110">
                  <c:v>1.0455055279602621</c:v>
                </c:pt>
                <c:pt idx="111">
                  <c:v>1.0384553757410664</c:v>
                </c:pt>
                <c:pt idx="112">
                  <c:v>1.044063451369972</c:v>
                </c:pt>
                <c:pt idx="113">
                  <c:v>1.0376542220797944</c:v>
                </c:pt>
                <c:pt idx="114">
                  <c:v>1.0431020669764455</c:v>
                </c:pt>
                <c:pt idx="115">
                  <c:v>1.049351065534369</c:v>
                </c:pt>
                <c:pt idx="116">
                  <c:v>1.0477487582118246</c:v>
                </c:pt>
                <c:pt idx="117">
                  <c:v>1.0496715269988781</c:v>
                </c:pt>
                <c:pt idx="118">
                  <c:v>1.0406986059926291</c:v>
                </c:pt>
                <c:pt idx="119">
                  <c:v>1.049991988463387</c:v>
                </c:pt>
                <c:pt idx="120">
                  <c:v>1.0568819099503282</c:v>
                </c:pt>
                <c:pt idx="121">
                  <c:v>1.0592853709341448</c:v>
                </c:pt>
                <c:pt idx="122">
                  <c:v>1.061528601185707</c:v>
                </c:pt>
                <c:pt idx="123">
                  <c:v>1.0647332158307961</c:v>
                </c:pt>
                <c:pt idx="124">
                  <c:v>1.0487101426053513</c:v>
                </c:pt>
                <c:pt idx="125">
                  <c:v>1.0544784489665116</c:v>
                </c:pt>
                <c:pt idx="126">
                  <c:v>1.0270789937510012</c:v>
                </c:pt>
                <c:pt idx="127">
                  <c:v>1.0323666079153981</c:v>
                </c:pt>
                <c:pt idx="128">
                  <c:v>1.0261176093574746</c:v>
                </c:pt>
                <c:pt idx="129">
                  <c:v>1.0152219195641723</c:v>
                </c:pt>
                <c:pt idx="130">
                  <c:v>1.0142605351706455</c:v>
                </c:pt>
                <c:pt idx="131">
                  <c:v>1.0251562249639479</c:v>
                </c:pt>
                <c:pt idx="132">
                  <c:v>1.0317256849863803</c:v>
                </c:pt>
                <c:pt idx="133">
                  <c:v>1.0150616888319179</c:v>
                </c:pt>
                <c:pt idx="134">
                  <c:v>1.0131389200448646</c:v>
                </c:pt>
                <c:pt idx="135">
                  <c:v>1.0241948405704215</c:v>
                </c:pt>
                <c:pt idx="136">
                  <c:v>1.0257971478929659</c:v>
                </c:pt>
                <c:pt idx="137">
                  <c:v>1.0301233776638361</c:v>
                </c:pt>
                <c:pt idx="138">
                  <c:v>1.0368530684185226</c:v>
                </c:pt>
                <c:pt idx="139">
                  <c:v>1.0338086845056882</c:v>
                </c:pt>
                <c:pt idx="140">
                  <c:v>1.0350905303637237</c:v>
                </c:pt>
                <c:pt idx="141">
                  <c:v>1.0384553757410671</c:v>
                </c:pt>
                <c:pt idx="142">
                  <c:v>1.0306040698605989</c:v>
                </c:pt>
                <c:pt idx="143">
                  <c:v>1.039576990866848</c:v>
                </c:pt>
                <c:pt idx="144">
                  <c:v>1.0512738343214225</c:v>
                </c:pt>
                <c:pt idx="145">
                  <c:v>1.0618490626502159</c:v>
                </c:pt>
                <c:pt idx="146">
                  <c:v>1.045024835763499</c:v>
                </c:pt>
                <c:pt idx="147">
                  <c:v>1.0495112962666235</c:v>
                </c:pt>
                <c:pt idx="148">
                  <c:v>1.0379746835443036</c:v>
                </c:pt>
                <c:pt idx="149">
                  <c:v>1.0395769908668477</c:v>
                </c:pt>
                <c:pt idx="150">
                  <c:v>1.0528761416439667</c:v>
                </c:pt>
                <c:pt idx="151">
                  <c:v>1.0531966031084758</c:v>
                </c:pt>
                <c:pt idx="152">
                  <c:v>1.0713026758532282</c:v>
                </c:pt>
                <c:pt idx="153">
                  <c:v>1.0631309085082514</c:v>
                </c:pt>
                <c:pt idx="154">
                  <c:v>1.0660150616888315</c:v>
                </c:pt>
                <c:pt idx="155">
                  <c:v>1.0570421406825825</c:v>
                </c:pt>
                <c:pt idx="156">
                  <c:v>1.0652139080275593</c:v>
                </c:pt>
                <c:pt idx="157">
                  <c:v>1.0713026758532282</c:v>
                </c:pt>
                <c:pt idx="158">
                  <c:v>1.0697003685306838</c:v>
                </c:pt>
                <c:pt idx="159">
                  <c:v>1.0813972119852582</c:v>
                </c:pt>
                <c:pt idx="160">
                  <c:v>1.0807562890562405</c:v>
                </c:pt>
                <c:pt idx="161">
                  <c:v>1.0804358275917316</c:v>
                </c:pt>
                <c:pt idx="162">
                  <c:v>1.0815574427175128</c:v>
                </c:pt>
                <c:pt idx="163">
                  <c:v>1.0916519788495427</c:v>
                </c:pt>
                <c:pt idx="164">
                  <c:v>1.0927735939753238</c:v>
                </c:pt>
                <c:pt idx="165">
                  <c:v>1.1004646691235374</c:v>
                </c:pt>
                <c:pt idx="166">
                  <c:v>1.1071943598782239</c:v>
                </c:pt>
                <c:pt idx="167">
                  <c:v>1.1078352828072418</c:v>
                </c:pt>
                <c:pt idx="168">
                  <c:v>1.1022272071783361</c:v>
                </c:pt>
                <c:pt idx="169">
                  <c:v>1.1067136676814604</c:v>
                </c:pt>
                <c:pt idx="170">
                  <c:v>1.1204935106553431</c:v>
                </c:pt>
                <c:pt idx="171">
                  <c:v>1.1060727447524428</c:v>
                </c:pt>
                <c:pt idx="172">
                  <c:v>1.0988623618009925</c:v>
                </c:pt>
                <c:pt idx="173">
                  <c:v>1.1009453613203002</c:v>
                </c:pt>
                <c:pt idx="174">
                  <c:v>1.0982214388719747</c:v>
                </c:pt>
                <c:pt idx="175">
                  <c:v>1.0979009774074655</c:v>
                </c:pt>
                <c:pt idx="176">
                  <c:v>1.0995032847300101</c:v>
                </c:pt>
                <c:pt idx="177">
                  <c:v>1.0982214388719747</c:v>
                </c:pt>
                <c:pt idx="178">
                  <c:v>1.1126422047748747</c:v>
                </c:pt>
                <c:pt idx="179">
                  <c:v>1.1227367409069049</c:v>
                </c:pt>
                <c:pt idx="180">
                  <c:v>1.1134433584361469</c:v>
                </c:pt>
                <c:pt idx="181">
                  <c:v>1.0987021310687377</c:v>
                </c:pt>
                <c:pt idx="182">
                  <c:v>1.1184105111360347</c:v>
                </c:pt>
                <c:pt idx="183">
                  <c:v>1.1123217433103658</c:v>
                </c:pt>
                <c:pt idx="184">
                  <c:v>1.0967793622816846</c:v>
                </c:pt>
                <c:pt idx="185">
                  <c:v>1.0948565934946313</c:v>
                </c:pt>
                <c:pt idx="186">
                  <c:v>1.091171286652779</c:v>
                </c:pt>
                <c:pt idx="187">
                  <c:v>1.0897292100624891</c:v>
                </c:pt>
                <c:pt idx="188">
                  <c:v>1.0805960583239855</c:v>
                </c:pt>
                <c:pt idx="189">
                  <c:v>1.0639320621695232</c:v>
                </c:pt>
                <c:pt idx="190">
                  <c:v>1.0539977567697474</c:v>
                </c:pt>
                <c:pt idx="191">
                  <c:v>1.0511136035891673</c:v>
                </c:pt>
                <c:pt idx="192">
                  <c:v>1.0504726806601496</c:v>
                </c:pt>
                <c:pt idx="193">
                  <c:v>1.0448646050312438</c:v>
                </c:pt>
                <c:pt idx="194">
                  <c:v>1.0437429899054627</c:v>
                </c:pt>
                <c:pt idx="195">
                  <c:v>1.0314052235218703</c:v>
                </c:pt>
                <c:pt idx="196">
                  <c:v>1.01842653420926</c:v>
                </c:pt>
                <c:pt idx="197">
                  <c:v>1.031725684986379</c:v>
                </c:pt>
                <c:pt idx="198">
                  <c:v>1.0235539176414024</c:v>
                </c:pt>
                <c:pt idx="199">
                  <c:v>1.0235539176414024</c:v>
                </c:pt>
                <c:pt idx="200">
                  <c:v>1.0376542220797935</c:v>
                </c:pt>
                <c:pt idx="201">
                  <c:v>1.0350905303637221</c:v>
                </c:pt>
                <c:pt idx="202">
                  <c:v>1.0511136035891666</c:v>
                </c:pt>
                <c:pt idx="203">
                  <c:v>1.045505527960261</c:v>
                </c:pt>
                <c:pt idx="204">
                  <c:v>1.0378144528120474</c:v>
                </c:pt>
                <c:pt idx="205">
                  <c:v>1.0237141483736563</c:v>
                </c:pt>
                <c:pt idx="206">
                  <c:v>1.0306040698605972</c:v>
                </c:pt>
                <c:pt idx="207">
                  <c:v>1.0426213747796806</c:v>
                </c:pt>
                <c:pt idx="208">
                  <c:v>1.0554398333600363</c:v>
                </c:pt>
                <c:pt idx="209">
                  <c:v>1.0523954494472019</c:v>
                </c:pt>
                <c:pt idx="210">
                  <c:v>1.0423009133151717</c:v>
                </c:pt>
                <c:pt idx="211">
                  <c:v>1.0554398333600366</c:v>
                </c:pt>
                <c:pt idx="212">
                  <c:v>1.0721038295144989</c:v>
                </c:pt>
                <c:pt idx="213">
                  <c:v>1.0721038295144989</c:v>
                </c:pt>
                <c:pt idx="214">
                  <c:v>1.0775516744111502</c:v>
                </c:pt>
                <c:pt idx="215">
                  <c:v>1.0729049831757711</c:v>
                </c:pt>
                <c:pt idx="216">
                  <c:v>1.0786732895369311</c:v>
                </c:pt>
                <c:pt idx="217">
                  <c:v>1.0714629065854813</c:v>
                </c:pt>
                <c:pt idx="218">
                  <c:v>1.078513058804677</c:v>
                </c:pt>
                <c:pt idx="219">
                  <c:v>1.0721038295144989</c:v>
                </c:pt>
                <c:pt idx="220">
                  <c:v>1.0759493670886058</c:v>
                </c:pt>
                <c:pt idx="221">
                  <c:v>1.0769107514821323</c:v>
                </c:pt>
                <c:pt idx="222">
                  <c:v>1.0729049831757711</c:v>
                </c:pt>
                <c:pt idx="223">
                  <c:v>1.0669764460823568</c:v>
                </c:pt>
                <c:pt idx="224">
                  <c:v>1.0770709822143867</c:v>
                </c:pt>
                <c:pt idx="225">
                  <c:v>1.061047908988942</c:v>
                </c:pt>
                <c:pt idx="226">
                  <c:v>1.066495753885593</c:v>
                </c:pt>
                <c:pt idx="227">
                  <c:v>1.0751482134273329</c:v>
                </c:pt>
                <c:pt idx="228">
                  <c:v>1.0685787534049007</c:v>
                </c:pt>
                <c:pt idx="229">
                  <c:v>1.0679378304758831</c:v>
                </c:pt>
                <c:pt idx="230">
                  <c:v>1.0820381349142743</c:v>
                </c:pt>
                <c:pt idx="231">
                  <c:v>1.0769107514821319</c:v>
                </c:pt>
                <c:pt idx="232">
                  <c:v>1.0778721358756587</c:v>
                </c:pt>
                <c:pt idx="233">
                  <c:v>1.0722640602467532</c:v>
                </c:pt>
                <c:pt idx="234">
                  <c:v>1.0783528280724222</c:v>
                </c:pt>
                <c:pt idx="235">
                  <c:v>1.0849222880948544</c:v>
                </c:pt>
                <c:pt idx="236">
                  <c:v>1.0860439032206355</c:v>
                </c:pt>
                <c:pt idx="237">
                  <c:v>1.0866848261496531</c:v>
                </c:pt>
                <c:pt idx="238">
                  <c:v>1.0697003685306821</c:v>
                </c:pt>
                <c:pt idx="239">
                  <c:v>1.085563211023872</c:v>
                </c:pt>
                <c:pt idx="240">
                  <c:v>1.0538375260374917</c:v>
                </c:pt>
                <c:pt idx="241">
                  <c:v>1.0557602948245453</c:v>
                </c:pt>
                <c:pt idx="242">
                  <c:v>1.0692196763339188</c:v>
                </c:pt>
                <c:pt idx="243">
                  <c:v>1.0799551353949668</c:v>
                </c:pt>
                <c:pt idx="244">
                  <c:v>1.0964589008171748</c:v>
                </c:pt>
                <c:pt idx="245">
                  <c:v>1.1046306681621514</c:v>
                </c:pt>
                <c:pt idx="246">
                  <c:v>1.1035090530363705</c:v>
                </c:pt>
                <c:pt idx="247">
                  <c:v>1.1020669764460804</c:v>
                </c:pt>
                <c:pt idx="248">
                  <c:v>1.107995513539495</c:v>
                </c:pt>
                <c:pt idx="249">
                  <c:v>1.1216151257811227</c:v>
                </c:pt>
                <c:pt idx="250">
                  <c:v>1.1148854350264359</c:v>
                </c:pt>
                <c:pt idx="251">
                  <c:v>1.1331517385034426</c:v>
                </c:pt>
                <c:pt idx="252">
                  <c:v>1.1389200448646026</c:v>
                </c:pt>
                <c:pt idx="253">
                  <c:v>1.121775356513377</c:v>
                </c:pt>
                <c:pt idx="254">
                  <c:v>1.1140842813651635</c:v>
                </c:pt>
                <c:pt idx="255">
                  <c:v>1.1124819740426191</c:v>
                </c:pt>
                <c:pt idx="256">
                  <c:v>1.1172888960102525</c:v>
                </c:pt>
                <c:pt idx="257">
                  <c:v>1.1171286652779979</c:v>
                </c:pt>
                <c:pt idx="258">
                  <c:v>1.1225765101746492</c:v>
                </c:pt>
                <c:pt idx="259">
                  <c:v>1.1326710463066794</c:v>
                </c:pt>
                <c:pt idx="260">
                  <c:v>1.1387598141323483</c:v>
                </c:pt>
                <c:pt idx="261">
                  <c:v>1.1429258131709641</c:v>
                </c:pt>
                <c:pt idx="262">
                  <c:v>1.1469315814773251</c:v>
                </c:pt>
                <c:pt idx="263">
                  <c:v>1.1355551994872595</c:v>
                </c:pt>
                <c:pt idx="264">
                  <c:v>1.1320301233776617</c:v>
                </c:pt>
                <c:pt idx="265">
                  <c:v>1.1313892004486439</c:v>
                </c:pt>
                <c:pt idx="266">
                  <c:v>1.1196923569940691</c:v>
                </c:pt>
                <c:pt idx="267">
                  <c:v>1.1281845858035546</c:v>
                </c:pt>
                <c:pt idx="268">
                  <c:v>1.1208139721198502</c:v>
                </c:pt>
                <c:pt idx="269">
                  <c:v>1.1107194359878199</c:v>
                </c:pt>
                <c:pt idx="270">
                  <c:v>1.114244512097418</c:v>
                </c:pt>
                <c:pt idx="271">
                  <c:v>1.1196923569940691</c:v>
                </c:pt>
                <c:pt idx="272">
                  <c:v>1.1120012818458558</c:v>
                </c:pt>
                <c:pt idx="273">
                  <c:v>1.0987021310687366</c:v>
                </c:pt>
                <c:pt idx="274">
                  <c:v>1.1036692837686246</c:v>
                </c:pt>
                <c:pt idx="275">
                  <c:v>1.1051113603589147</c:v>
                </c:pt>
                <c:pt idx="276">
                  <c:v>1.103028360839607</c:v>
                </c:pt>
                <c:pt idx="277">
                  <c:v>1.0924531325108136</c:v>
                </c:pt>
                <c:pt idx="278">
                  <c:v>1.0753084441595877</c:v>
                </c:pt>
                <c:pt idx="279">
                  <c:v>1.0664957538855933</c:v>
                </c:pt>
                <c:pt idx="280">
                  <c:v>1.0759493670886056</c:v>
                </c:pt>
                <c:pt idx="281">
                  <c:v>1.0889280564012156</c:v>
                </c:pt>
                <c:pt idx="282">
                  <c:v>1.1095978208620392</c:v>
                </c:pt>
                <c:pt idx="283">
                  <c:v>1.0948565934946302</c:v>
                </c:pt>
                <c:pt idx="284">
                  <c:v>1.1110398974523292</c:v>
                </c:pt>
                <c:pt idx="285">
                  <c:v>1.1060727447524414</c:v>
                </c:pt>
                <c:pt idx="286">
                  <c:v>1.097260054478447</c:v>
                </c:pt>
                <c:pt idx="287">
                  <c:v>1.0956577471559024</c:v>
                </c:pt>
                <c:pt idx="288">
                  <c:v>1.0964589008171748</c:v>
                </c:pt>
                <c:pt idx="289">
                  <c:v>1.1012658227848082</c:v>
                </c:pt>
                <c:pt idx="290">
                  <c:v>1.0733856753725344</c:v>
                </c:pt>
                <c:pt idx="291">
                  <c:v>1.0740265983015522</c:v>
                </c:pt>
                <c:pt idx="292">
                  <c:v>1.0648934465630486</c:v>
                </c:pt>
                <c:pt idx="293">
                  <c:v>1.0599262938631611</c:v>
                </c:pt>
                <c:pt idx="294">
                  <c:v>1.0623297548469777</c:v>
                </c:pt>
                <c:pt idx="295">
                  <c:v>1.0629706777759955</c:v>
                </c:pt>
                <c:pt idx="296">
                  <c:v>1.0610479089889422</c:v>
                </c:pt>
                <c:pt idx="297">
                  <c:v>1.0599262938631611</c:v>
                </c:pt>
                <c:pt idx="298">
                  <c:v>1.041980451850663</c:v>
                </c:pt>
                <c:pt idx="299">
                  <c:v>1.0503124499278942</c:v>
                </c:pt>
                <c:pt idx="300">
                  <c:v>1.0828392885755467</c:v>
                </c:pt>
                <c:pt idx="301">
                  <c:v>1.0884473642044523</c:v>
                </c:pt>
                <c:pt idx="302">
                  <c:v>1.07899375100144</c:v>
                </c:pt>
                <c:pt idx="303">
                  <c:v>1.0921326710463046</c:v>
                </c:pt>
                <c:pt idx="304">
                  <c:v>1.1113603589168382</c:v>
                </c:pt>
                <c:pt idx="305">
                  <c:v>1.1358756609517684</c:v>
                </c:pt>
                <c:pt idx="306">
                  <c:v>1.1506168883191776</c:v>
                </c:pt>
                <c:pt idx="307">
                  <c:v>1.1328312770389342</c:v>
                </c:pt>
                <c:pt idx="308">
                  <c:v>1.1248197404262119</c:v>
                </c:pt>
                <c:pt idx="309">
                  <c:v>1.1323505848421709</c:v>
                </c:pt>
                <c:pt idx="310">
                  <c:v>1.1285050472680642</c:v>
                </c:pt>
                <c:pt idx="311">
                  <c:v>1.1272232014100285</c:v>
                </c:pt>
                <c:pt idx="312">
                  <c:v>1.1416439673129288</c:v>
                </c:pt>
                <c:pt idx="313">
                  <c:v>1.1395609677936211</c:v>
                </c:pt>
                <c:pt idx="314">
                  <c:v>1.1443678897612544</c:v>
                </c:pt>
                <c:pt idx="315">
                  <c:v>1.1345938150937331</c:v>
                </c:pt>
                <c:pt idx="316">
                  <c:v>1.1345938150937331</c:v>
                </c:pt>
                <c:pt idx="317">
                  <c:v>1.1361961224162775</c:v>
                </c:pt>
                <c:pt idx="318">
                  <c:v>1.1377984297388222</c:v>
                </c:pt>
                <c:pt idx="319">
                  <c:v>1.1494952731933965</c:v>
                </c:pt>
                <c:pt idx="320">
                  <c:v>1.1661592693478591</c:v>
                </c:pt>
                <c:pt idx="321">
                  <c:v>1.173690113763818</c:v>
                </c:pt>
                <c:pt idx="322">
                  <c:v>1.1845858035571204</c:v>
                </c:pt>
                <c:pt idx="323">
                  <c:v>1.1943598782246416</c:v>
                </c:pt>
                <c:pt idx="324">
                  <c:v>1.1930780323666059</c:v>
                </c:pt>
                <c:pt idx="325">
                  <c:v>1.2097420285210685</c:v>
                </c:pt>
                <c:pt idx="326">
                  <c:v>1.2004486460503105</c:v>
                </c:pt>
                <c:pt idx="327">
                  <c:v>1.2079794904662693</c:v>
                </c:pt>
                <c:pt idx="328">
                  <c:v>1.2320141003044363</c:v>
                </c:pt>
                <c:pt idx="329">
                  <c:v>1.2289697163916018</c:v>
                </c:pt>
                <c:pt idx="330">
                  <c:v>1.2331357154302174</c:v>
                </c:pt>
                <c:pt idx="331">
                  <c:v>1.2163114885435007</c:v>
                </c:pt>
                <c:pt idx="332">
                  <c:v>1.2209581797788798</c:v>
                </c:pt>
                <c:pt idx="333">
                  <c:v>1.2185547187950629</c:v>
                </c:pt>
                <c:pt idx="334">
                  <c:v>1.2191956417240808</c:v>
                </c:pt>
                <c:pt idx="335">
                  <c:v>1.2126261817016486</c:v>
                </c:pt>
                <c:pt idx="336">
                  <c:v>1.2204774875821163</c:v>
                </c:pt>
                <c:pt idx="337">
                  <c:v>1.2304117929818921</c:v>
                </c:pt>
                <c:pt idx="338">
                  <c:v>1.2100624899855772</c:v>
                </c:pt>
                <c:pt idx="339">
                  <c:v>1.1897131869892628</c:v>
                </c:pt>
                <c:pt idx="340">
                  <c:v>1.1815414196442859</c:v>
                </c:pt>
                <c:pt idx="341">
                  <c:v>1.169684345457457</c:v>
                </c:pt>
                <c:pt idx="342">
                  <c:v>1.1640762698285514</c:v>
                </c:pt>
                <c:pt idx="343">
                  <c:v>1.1770549591411614</c:v>
                </c:pt>
                <c:pt idx="344">
                  <c:v>1.1418041980451834</c:v>
                </c:pt>
                <c:pt idx="345">
                  <c:v>1.1301073545906088</c:v>
                </c:pt>
                <c:pt idx="346">
                  <c:v>1.1344335843614788</c:v>
                </c:pt>
                <c:pt idx="347">
                  <c:v>1.1597500400576812</c:v>
                </c:pt>
                <c:pt idx="348">
                  <c:v>1.1478929658708523</c:v>
                </c:pt>
                <c:pt idx="349">
                  <c:v>1.1570261176093557</c:v>
                </c:pt>
                <c:pt idx="350">
                  <c:v>1.1483736580676156</c:v>
                </c:pt>
                <c:pt idx="351">
                  <c:v>1.1344335843614786</c:v>
                </c:pt>
                <c:pt idx="352">
                  <c:v>1.1426053517064554</c:v>
                </c:pt>
                <c:pt idx="353">
                  <c:v>1.1310687389841354</c:v>
                </c:pt>
                <c:pt idx="354">
                  <c:v>1.1445281204935089</c:v>
                </c:pt>
                <c:pt idx="355">
                  <c:v>1.1480531966031067</c:v>
                </c:pt>
                <c:pt idx="356">
                  <c:v>1.1599102707899356</c:v>
                </c:pt>
                <c:pt idx="357">
                  <c:v>1.1486941195321243</c:v>
                </c:pt>
                <c:pt idx="358">
                  <c:v>1.1462906585483077</c:v>
                </c:pt>
                <c:pt idx="359">
                  <c:v>1.1494952731933965</c:v>
                </c:pt>
                <c:pt idx="360">
                  <c:v>1.163275116167279</c:v>
                </c:pt>
                <c:pt idx="361">
                  <c:v>1.1865085723441737</c:v>
                </c:pt>
                <c:pt idx="362">
                  <c:v>1.1857074186829015</c:v>
                </c:pt>
                <c:pt idx="363">
                  <c:v>1.1890722640602447</c:v>
                </c:pt>
                <c:pt idx="364">
                  <c:v>1.2076590290017606</c:v>
                </c:pt>
                <c:pt idx="365">
                  <c:v>1.190995032847298</c:v>
                </c:pt>
                <c:pt idx="366">
                  <c:v>1.1890722640602447</c:v>
                </c:pt>
                <c:pt idx="367">
                  <c:v>1.1970838006729669</c:v>
                </c:pt>
                <c:pt idx="368">
                  <c:v>1.1913154943118069</c:v>
                </c:pt>
                <c:pt idx="369">
                  <c:v>1.1966031084762039</c:v>
                </c:pt>
                <c:pt idx="370">
                  <c:v>1.2038134914276537</c:v>
                </c:pt>
                <c:pt idx="371">
                  <c:v>1.18025957378625</c:v>
                </c:pt>
                <c:pt idx="372">
                  <c:v>1.1518987341772131</c:v>
                </c:pt>
                <c:pt idx="373">
                  <c:v>1.1430860439032187</c:v>
                </c:pt>
                <c:pt idx="374">
                  <c:v>1.0905303637237602</c:v>
                </c:pt>
                <c:pt idx="375">
                  <c:v>1.0629706777759955</c:v>
                </c:pt>
                <c:pt idx="376">
                  <c:v>1.0698605992629366</c:v>
                </c:pt>
                <c:pt idx="377">
                  <c:v>1.0491908348021133</c:v>
                </c:pt>
                <c:pt idx="378">
                  <c:v>1.0394167601345921</c:v>
                </c:pt>
                <c:pt idx="379">
                  <c:v>1.0507931421246577</c:v>
                </c:pt>
                <c:pt idx="380">
                  <c:v>1.0618490626502146</c:v>
                </c:pt>
                <c:pt idx="381">
                  <c:v>1.0868450568819081</c:v>
                </c:pt>
                <c:pt idx="382">
                  <c:v>1.1057522832879327</c:v>
                </c:pt>
                <c:pt idx="383">
                  <c:v>1.1147252042941815</c:v>
                </c:pt>
                <c:pt idx="384">
                  <c:v>1.1105592052555662</c:v>
                </c:pt>
                <c:pt idx="385">
                  <c:v>1.1113603589168384</c:v>
                </c:pt>
                <c:pt idx="386">
                  <c:v>1.1236981253004308</c:v>
                </c:pt>
                <c:pt idx="387">
                  <c:v>1.1512578112481955</c:v>
                </c:pt>
                <c:pt idx="388">
                  <c:v>1.1120012818458564</c:v>
                </c:pt>
                <c:pt idx="389">
                  <c:v>1.1235378945681764</c:v>
                </c:pt>
                <c:pt idx="390">
                  <c:v>1.1224162794423951</c:v>
                </c:pt>
                <c:pt idx="391">
                  <c:v>1.1187309726005428</c:v>
                </c:pt>
                <c:pt idx="392">
                  <c:v>1.1257811248197385</c:v>
                </c:pt>
                <c:pt idx="393">
                  <c:v>1.1203332799230874</c:v>
                </c:pt>
                <c:pt idx="394">
                  <c:v>1.1156865886877083</c:v>
                </c:pt>
                <c:pt idx="395">
                  <c:v>1.1156865886877083</c:v>
                </c:pt>
                <c:pt idx="396">
                  <c:v>1.1177695882070162</c:v>
                </c:pt>
                <c:pt idx="397">
                  <c:v>1.102227207178335</c:v>
                </c:pt>
                <c:pt idx="398">
                  <c:v>1.1092773593975305</c:v>
                </c:pt>
                <c:pt idx="399">
                  <c:v>1.0945361320301215</c:v>
                </c:pt>
                <c:pt idx="400">
                  <c:v>1.0974202852107013</c:v>
                </c:pt>
                <c:pt idx="401">
                  <c:v>1.1124819740426195</c:v>
                </c:pt>
                <c:pt idx="402">
                  <c:v>1.1264220477487561</c:v>
                </c:pt>
                <c:pt idx="403">
                  <c:v>1.1331517385034429</c:v>
                </c:pt>
                <c:pt idx="404">
                  <c:v>1.1341131228969696</c:v>
                </c:pt>
                <c:pt idx="405">
                  <c:v>1.1748117288895987</c:v>
                </c:pt>
                <c:pt idx="406">
                  <c:v>1.1849062650216289</c:v>
                </c:pt>
                <c:pt idx="407">
                  <c:v>1.1861881108796644</c:v>
                </c:pt>
                <c:pt idx="408">
                  <c:v>1.1837846498958475</c:v>
                </c:pt>
                <c:pt idx="409">
                  <c:v>1.1911552635795524</c:v>
                </c:pt>
                <c:pt idx="410">
                  <c:v>1.1937189552956236</c:v>
                </c:pt>
                <c:pt idx="411">
                  <c:v>1.1893927255247536</c:v>
                </c:pt>
                <c:pt idx="412">
                  <c:v>1.1911552635795526</c:v>
                </c:pt>
                <c:pt idx="413">
                  <c:v>1.2044544143566716</c:v>
                </c:pt>
                <c:pt idx="414">
                  <c:v>1.209742028521068</c:v>
                </c:pt>
                <c:pt idx="415">
                  <c:v>1.2095817977888135</c:v>
                </c:pt>
                <c:pt idx="416">
                  <c:v>1.2292901778561103</c:v>
                </c:pt>
                <c:pt idx="417">
                  <c:v>1.2395449447203948</c:v>
                </c:pt>
                <c:pt idx="418">
                  <c:v>1.2430700208299925</c:v>
                </c:pt>
                <c:pt idx="419">
                  <c:v>1.2409870213106848</c:v>
                </c:pt>
                <c:pt idx="420">
                  <c:v>1.2456337125460635</c:v>
                </c:pt>
                <c:pt idx="421">
                  <c:v>1.2449927896170458</c:v>
                </c:pt>
                <c:pt idx="422">
                  <c:v>1.2280083319980746</c:v>
                </c:pt>
                <c:pt idx="423">
                  <c:v>1.2206377183143702</c:v>
                </c:pt>
                <c:pt idx="424">
                  <c:v>1.2244832558884768</c:v>
                </c:pt>
                <c:pt idx="425">
                  <c:v>1.2320141003044356</c:v>
                </c:pt>
                <c:pt idx="426">
                  <c:v>1.2131068738984108</c:v>
                </c:pt>
                <c:pt idx="427">
                  <c:v>1.2167921807402631</c:v>
                </c:pt>
                <c:pt idx="428">
                  <c:v>1.1990065694600196</c:v>
                </c:pt>
                <c:pt idx="429">
                  <c:v>1.1911552635795519</c:v>
                </c:pt>
                <c:pt idx="430">
                  <c:v>1.2082999519307773</c:v>
                </c:pt>
                <c:pt idx="431">
                  <c:v>1.1953212626181671</c:v>
                </c:pt>
                <c:pt idx="432">
                  <c:v>1.1983656465310017</c:v>
                </c:pt>
                <c:pt idx="433">
                  <c:v>1.235859637878542</c:v>
                </c:pt>
                <c:pt idx="434">
                  <c:v>1.2348982534850153</c:v>
                </c:pt>
                <c:pt idx="435">
                  <c:v>1.2398654061849033</c:v>
                </c:pt>
                <c:pt idx="436">
                  <c:v>1.2517224803717324</c:v>
                </c:pt>
                <c:pt idx="437">
                  <c:v>1.2183944880628077</c:v>
                </c:pt>
                <c:pt idx="438">
                  <c:v>1.2283287934625831</c:v>
                </c:pt>
                <c:pt idx="439">
                  <c:v>1.1977247236019839</c:v>
                </c:pt>
                <c:pt idx="440">
                  <c:v>1.1932382630988594</c:v>
                </c:pt>
                <c:pt idx="441">
                  <c:v>1.2010895689793273</c:v>
                </c:pt>
                <c:pt idx="442">
                  <c:v>1.183624419163593</c:v>
                </c:pt>
                <c:pt idx="443">
                  <c:v>1.1674411152058939</c:v>
                </c:pt>
                <c:pt idx="444">
                  <c:v>1.1632751161672781</c:v>
                </c:pt>
                <c:pt idx="445">
                  <c:v>1.1498157346579048</c:v>
                </c:pt>
                <c:pt idx="446">
                  <c:v>1.1220958179778855</c:v>
                </c:pt>
                <c:pt idx="447">
                  <c:v>1.1031885915718609</c:v>
                </c:pt>
                <c:pt idx="448">
                  <c:v>1.1150456657586902</c:v>
                </c:pt>
                <c:pt idx="449">
                  <c:v>1.0703412914596997</c:v>
                </c:pt>
                <c:pt idx="450">
                  <c:v>1.0496715269988763</c:v>
                </c:pt>
                <c:pt idx="451">
                  <c:v>1.0804358275917301</c:v>
                </c:pt>
                <c:pt idx="452">
                  <c:v>1.1033488223041157</c:v>
                </c:pt>
                <c:pt idx="453">
                  <c:v>1.0788335202691854</c:v>
                </c:pt>
                <c:pt idx="454">
                  <c:v>1.0432622977086985</c:v>
                </c:pt>
                <c:pt idx="455">
                  <c:v>1.0216311488543484</c:v>
                </c:pt>
                <c:pt idx="456">
                  <c:v>1.0233936869091473</c:v>
                </c:pt>
                <c:pt idx="457">
                  <c:v>1.0197083800672953</c:v>
                </c:pt>
                <c:pt idx="458">
                  <c:v>0.98573946482935271</c:v>
                </c:pt>
                <c:pt idx="459">
                  <c:v>1.0104149975965373</c:v>
                </c:pt>
                <c:pt idx="460">
                  <c:v>0.99583400096138264</c:v>
                </c:pt>
                <c:pt idx="461">
                  <c:v>1.0166639961544606</c:v>
                </c:pt>
                <c:pt idx="462">
                  <c:v>1.0352507610959762</c:v>
                </c:pt>
                <c:pt idx="463">
                  <c:v>1.0217913795866027</c:v>
                </c:pt>
                <c:pt idx="464">
                  <c:v>0.99599423169363677</c:v>
                </c:pt>
                <c:pt idx="465">
                  <c:v>1.0144207659028981</c:v>
                </c:pt>
                <c:pt idx="466">
                  <c:v>1.0229129947123838</c:v>
                </c:pt>
                <c:pt idx="467">
                  <c:v>1.0434225284409528</c:v>
                </c:pt>
                <c:pt idx="468">
                  <c:v>1.0429418362441896</c:v>
                </c:pt>
                <c:pt idx="469">
                  <c:v>1.0512738343214207</c:v>
                </c:pt>
                <c:pt idx="470">
                  <c:v>1.0801153661272211</c:v>
                </c:pt>
                <c:pt idx="471">
                  <c:v>1.0700208299951912</c:v>
                </c:pt>
                <c:pt idx="472">
                  <c:v>1.074186829033807</c:v>
                </c:pt>
                <c:pt idx="473">
                  <c:v>1.0637718314372679</c:v>
                </c:pt>
                <c:pt idx="474">
                  <c:v>1.068418522672647</c:v>
                </c:pt>
                <c:pt idx="475">
                  <c:v>1.0749879826950794</c:v>
                </c:pt>
                <c:pt idx="476">
                  <c:v>1.0544784489665104</c:v>
                </c:pt>
                <c:pt idx="477">
                  <c:v>1.0618490626502148</c:v>
                </c:pt>
                <c:pt idx="478">
                  <c:v>1.0535170645729837</c:v>
                </c:pt>
                <c:pt idx="479">
                  <c:v>1.1031885915718618</c:v>
                </c:pt>
                <c:pt idx="480">
                  <c:v>1.0908508251882694</c:v>
                </c:pt>
                <c:pt idx="481">
                  <c:v>1.0778721358756591</c:v>
                </c:pt>
                <c:pt idx="482">
                  <c:v>1.0897292100624882</c:v>
                </c:pt>
                <c:pt idx="483">
                  <c:v>1.0995032847300095</c:v>
                </c:pt>
                <c:pt idx="484">
                  <c:v>1.0802755968594759</c:v>
                </c:pt>
                <c:pt idx="485">
                  <c:v>1.1031885915718616</c:v>
                </c:pt>
                <c:pt idx="486">
                  <c:v>1.1081557442717496</c:v>
                </c:pt>
                <c:pt idx="487">
                  <c:v>1.1176093574747619</c:v>
                </c:pt>
                <c:pt idx="488">
                  <c:v>1.1301073545906086</c:v>
                </c:pt>
                <c:pt idx="489">
                  <c:v>1.136676814613041</c:v>
                </c:pt>
                <c:pt idx="490">
                  <c:v>1.1249799711584665</c:v>
                </c:pt>
                <c:pt idx="491">
                  <c:v>1.1166479730812353</c:v>
                </c:pt>
                <c:pt idx="492">
                  <c:v>1.1445281204935089</c:v>
                </c:pt>
                <c:pt idx="493">
                  <c:v>1.1435667360999822</c:v>
                </c:pt>
                <c:pt idx="494">
                  <c:v>1.1381188912033309</c:v>
                </c:pt>
                <c:pt idx="495">
                  <c:v>1.1317096619131528</c:v>
                </c:pt>
                <c:pt idx="496">
                  <c:v>1.1387598141323485</c:v>
                </c:pt>
                <c:pt idx="497">
                  <c:v>1.1334721999679518</c:v>
                </c:pt>
                <c:pt idx="498">
                  <c:v>1.1408428136516564</c:v>
                </c:pt>
                <c:pt idx="499">
                  <c:v>1.1349142765582418</c:v>
                </c:pt>
                <c:pt idx="500">
                  <c:v>1.1608716551834621</c:v>
                </c:pt>
                <c:pt idx="501">
                  <c:v>1.1643967312930599</c:v>
                </c:pt>
                <c:pt idx="502">
                  <c:v>1.1629546547027698</c:v>
                </c:pt>
                <c:pt idx="503">
                  <c:v>1.1488543502643787</c:v>
                </c:pt>
                <c:pt idx="504">
                  <c:v>1.1293062009293362</c:v>
                </c:pt>
                <c:pt idx="505">
                  <c:v>1.1156865886877081</c:v>
                </c:pt>
                <c:pt idx="506">
                  <c:v>1.116007050152217</c:v>
                </c:pt>
                <c:pt idx="507">
                  <c:v>1.1315494311808982</c:v>
                </c:pt>
                <c:pt idx="508">
                  <c:v>1.1246595096939569</c:v>
                </c:pt>
                <c:pt idx="509">
                  <c:v>1.1361961224162771</c:v>
                </c:pt>
                <c:pt idx="510">
                  <c:v>1.1432462746354728</c:v>
                </c:pt>
                <c:pt idx="511">
                  <c:v>1.1323505848421704</c:v>
                </c:pt>
                <c:pt idx="512">
                  <c:v>1.1405223521871473</c:v>
                </c:pt>
                <c:pt idx="513">
                  <c:v>1.1296266623938449</c:v>
                </c:pt>
                <c:pt idx="514">
                  <c:v>1.1296266623938449</c:v>
                </c:pt>
                <c:pt idx="515">
                  <c:v>1.1398814292581294</c:v>
                </c:pt>
                <c:pt idx="516">
                  <c:v>1.1152058964909446</c:v>
                </c:pt>
                <c:pt idx="517">
                  <c:v>1.1376381990065672</c:v>
                </c:pt>
                <c:pt idx="518">
                  <c:v>1.1453292741547805</c:v>
                </c:pt>
                <c:pt idx="519">
                  <c:v>1.1456497356192894</c:v>
                </c:pt>
                <c:pt idx="520">
                  <c:v>1.1549431180900471</c:v>
                </c:pt>
                <c:pt idx="521">
                  <c:v>1.1470918122095792</c:v>
                </c:pt>
                <c:pt idx="522">
                  <c:v>1.1429258131709636</c:v>
                </c:pt>
                <c:pt idx="523">
                  <c:v>1.1413235058484192</c:v>
                </c:pt>
                <c:pt idx="524">
                  <c:v>1.1139240506329089</c:v>
                </c:pt>
                <c:pt idx="525">
                  <c:v>1.1027078993750976</c:v>
                </c:pt>
                <c:pt idx="526">
                  <c:v>1.10927735939753</c:v>
                </c:pt>
                <c:pt idx="527">
                  <c:v>1.109597820862039</c:v>
                </c:pt>
                <c:pt idx="528">
                  <c:v>1.1152058964909444</c:v>
                </c:pt>
                <c:pt idx="529">
                  <c:v>1.1001442076590264</c:v>
                </c:pt>
                <c:pt idx="530">
                  <c:v>1.1038295145008787</c:v>
                </c:pt>
                <c:pt idx="531">
                  <c:v>1.1038295145008787</c:v>
                </c:pt>
                <c:pt idx="532">
                  <c:v>1.0988623618009909</c:v>
                </c:pt>
                <c:pt idx="533">
                  <c:v>1.1070341291459678</c:v>
                </c:pt>
                <c:pt idx="534">
                  <c:v>1.1089568979330209</c:v>
                </c:pt>
                <c:pt idx="535">
                  <c:v>1.1113603589168377</c:v>
                </c:pt>
                <c:pt idx="536">
                  <c:v>1.0881269027399429</c:v>
                </c:pt>
                <c:pt idx="537">
                  <c:v>1.0974202852107007</c:v>
                </c:pt>
                <c:pt idx="538">
                  <c:v>1.0969395930139372</c:v>
                </c:pt>
                <c:pt idx="539">
                  <c:v>1.0785130588046761</c:v>
                </c:pt>
                <c:pt idx="540">
                  <c:v>1.0637718314372671</c:v>
                </c:pt>
                <c:pt idx="541">
                  <c:v>1.0849222880948539</c:v>
                </c:pt>
                <c:pt idx="542">
                  <c:v>1.0914917481172863</c:v>
                </c:pt>
                <c:pt idx="543">
                  <c:v>1.0868450568819072</c:v>
                </c:pt>
                <c:pt idx="544">
                  <c:v>1.0938952091011027</c:v>
                </c:pt>
                <c:pt idx="545">
                  <c:v>1.0855632110238715</c:v>
                </c:pt>
                <c:pt idx="546">
                  <c:v>1.0972600544784461</c:v>
                </c:pt>
                <c:pt idx="547">
                  <c:v>1.0767505207498771</c:v>
                </c:pt>
                <c:pt idx="548">
                  <c:v>1.0725845217112613</c:v>
                </c:pt>
                <c:pt idx="549">
                  <c:v>1.0669764460823559</c:v>
                </c:pt>
                <c:pt idx="550">
                  <c:v>1.0672969075468648</c:v>
                </c:pt>
                <c:pt idx="551">
                  <c:v>1.0600865245954147</c:v>
                </c:pt>
                <c:pt idx="552">
                  <c:v>1.0414997596538991</c:v>
                </c:pt>
                <c:pt idx="553">
                  <c:v>1.0243550713026734</c:v>
                </c:pt>
                <c:pt idx="554">
                  <c:v>1.0437429899054613</c:v>
                </c:pt>
                <c:pt idx="555">
                  <c:v>1.0615286011857048</c:v>
                </c:pt>
                <c:pt idx="556">
                  <c:v>1.0666559846178469</c:v>
                </c:pt>
                <c:pt idx="557">
                  <c:v>1.0491908348021126</c:v>
                </c:pt>
                <c:pt idx="558">
                  <c:v>1.0572023714148349</c:v>
                </c:pt>
                <c:pt idx="559">
                  <c:v>1.0487101426053491</c:v>
                </c:pt>
                <c:pt idx="560">
                  <c:v>1.0322063771831411</c:v>
                </c:pt>
                <c:pt idx="561">
                  <c:v>1.048069219676331</c:v>
                </c:pt>
                <c:pt idx="562">
                  <c:v>1.0618490626502135</c:v>
                </c:pt>
                <c:pt idx="563">
                  <c:v>1.0762698285531138</c:v>
                </c:pt>
                <c:pt idx="564">
                  <c:v>1.0834802115045639</c:v>
                </c:pt>
                <c:pt idx="565">
                  <c:v>1.0730652139080248</c:v>
                </c:pt>
                <c:pt idx="566">
                  <c:v>1.0735459061047881</c:v>
                </c:pt>
                <c:pt idx="567">
                  <c:v>1.0519147572504379</c:v>
                </c:pt>
                <c:pt idx="568">
                  <c:v>1.0312449927896143</c:v>
                </c:pt>
                <c:pt idx="569">
                  <c:v>1.0206697644608209</c:v>
                </c:pt>
                <c:pt idx="570">
                  <c:v>1.0525556801794558</c:v>
                </c:pt>
                <c:pt idx="571">
                  <c:v>1.0538375260374913</c:v>
                </c:pt>
                <c:pt idx="572">
                  <c:v>1.0567216792180714</c:v>
                </c:pt>
                <c:pt idx="573">
                  <c:v>1.0721038295144982</c:v>
                </c:pt>
                <c:pt idx="574">
                  <c:v>1.0767505207498773</c:v>
                </c:pt>
                <c:pt idx="575">
                  <c:v>1.0846018266303452</c:v>
                </c:pt>
                <c:pt idx="576">
                  <c:v>1.0772312129466408</c:v>
                </c:pt>
                <c:pt idx="577">
                  <c:v>1.0826790578432919</c:v>
                </c:pt>
                <c:pt idx="578">
                  <c:v>1.1107194359878199</c:v>
                </c:pt>
                <c:pt idx="579">
                  <c:v>1.118570741868288</c:v>
                </c:pt>
                <c:pt idx="580">
                  <c:v>1.1163275116167257</c:v>
                </c:pt>
                <c:pt idx="581">
                  <c:v>1.1172888960102525</c:v>
                </c:pt>
                <c:pt idx="582">
                  <c:v>1.1161672808844711</c:v>
                </c:pt>
                <c:pt idx="583">
                  <c:v>1.1163275116167257</c:v>
                </c:pt>
                <c:pt idx="584">
                  <c:v>1.103829514500879</c:v>
                </c:pt>
                <c:pt idx="585">
                  <c:v>1.1099182823265479</c:v>
                </c:pt>
                <c:pt idx="586">
                  <c:v>1.1041499759653879</c:v>
                </c:pt>
                <c:pt idx="587">
                  <c:v>1.1126422047748734</c:v>
                </c:pt>
                <c:pt idx="588">
                  <c:v>1.1123217433103645</c:v>
                </c:pt>
                <c:pt idx="589">
                  <c:v>1.1155263579554535</c:v>
                </c:pt>
                <c:pt idx="590">
                  <c:v>1.1211344335843592</c:v>
                </c:pt>
                <c:pt idx="591">
                  <c:v>1.1200128184585783</c:v>
                </c:pt>
                <c:pt idx="592">
                  <c:v>1.093734978368849</c:v>
                </c:pt>
                <c:pt idx="593">
                  <c:v>1.1068738984137136</c:v>
                </c:pt>
                <c:pt idx="594">
                  <c:v>1.1052715910911692</c:v>
                </c:pt>
                <c:pt idx="595">
                  <c:v>1.1071943598782226</c:v>
                </c:pt>
                <c:pt idx="596">
                  <c:v>1.0937349783688493</c:v>
                </c:pt>
                <c:pt idx="597">
                  <c:v>1.0906905944560146</c:v>
                </c:pt>
                <c:pt idx="598">
                  <c:v>1.0990225925332457</c:v>
                </c:pt>
                <c:pt idx="599">
                  <c:v>1.1060727447524414</c:v>
                </c:pt>
                <c:pt idx="600">
                  <c:v>1.1027078993750978</c:v>
                </c:pt>
                <c:pt idx="601">
                  <c:v>1.101265822784808</c:v>
                </c:pt>
                <c:pt idx="602">
                  <c:v>1.1113603589168379</c:v>
                </c:pt>
                <c:pt idx="603">
                  <c:v>1.0999839769267723</c:v>
                </c:pt>
                <c:pt idx="604">
                  <c:v>1.1060727447524412</c:v>
                </c:pt>
                <c:pt idx="605">
                  <c:v>1.0921326710463044</c:v>
                </c:pt>
                <c:pt idx="606">
                  <c:v>1.0679378304758831</c:v>
                </c:pt>
                <c:pt idx="607">
                  <c:v>1.0640922929017762</c:v>
                </c:pt>
                <c:pt idx="608">
                  <c:v>1.0608876782566872</c:v>
                </c:pt>
                <c:pt idx="609">
                  <c:v>1.0592853709341428</c:v>
                </c:pt>
                <c:pt idx="610">
                  <c:v>1.0596058323986517</c:v>
                </c:pt>
                <c:pt idx="611">
                  <c:v>1.0559205255567996</c:v>
                </c:pt>
                <c:pt idx="612">
                  <c:v>1.0490306040698583</c:v>
                </c:pt>
                <c:pt idx="613">
                  <c:v>1.0349302996314671</c:v>
                </c:pt>
                <c:pt idx="614">
                  <c:v>1.0349302996314671</c:v>
                </c:pt>
                <c:pt idx="615">
                  <c:v>1.0309245313251059</c:v>
                </c:pt>
                <c:pt idx="616">
                  <c:v>1.0403781445281182</c:v>
                </c:pt>
                <c:pt idx="617">
                  <c:v>1.0326870693799046</c:v>
                </c:pt>
                <c:pt idx="618">
                  <c:v>1.0434225284409524</c:v>
                </c:pt>
                <c:pt idx="619">
                  <c:v>1.0483896811408404</c:v>
                </c:pt>
                <c:pt idx="620">
                  <c:v>1.047588527479568</c:v>
                </c:pt>
                <c:pt idx="621">
                  <c:v>1.0653741387598115</c:v>
                </c:pt>
                <c:pt idx="622">
                  <c:v>1.0700208299951905</c:v>
                </c:pt>
                <c:pt idx="623">
                  <c:v>1.0637718314372671</c:v>
                </c:pt>
                <c:pt idx="624">
                  <c:v>1.0618490626502135</c:v>
                </c:pt>
                <c:pt idx="625">
                  <c:v>1.0616888319179592</c:v>
                </c:pt>
                <c:pt idx="626">
                  <c:v>1.0610479089889413</c:v>
                </c:pt>
                <c:pt idx="627">
                  <c:v>1.0725845217112615</c:v>
                </c:pt>
                <c:pt idx="628">
                  <c:v>1.0783528280724215</c:v>
                </c:pt>
                <c:pt idx="629">
                  <c:v>1.0572023714148346</c:v>
                </c:pt>
                <c:pt idx="630">
                  <c:v>1.0656946002243204</c:v>
                </c:pt>
                <c:pt idx="631">
                  <c:v>1.0575228328793436</c:v>
                </c:pt>
                <c:pt idx="632">
                  <c:v>1.0419804518506623</c:v>
                </c:pt>
                <c:pt idx="633">
                  <c:v>1.0522352187149469</c:v>
                </c:pt>
                <c:pt idx="634">
                  <c:v>1.0525556801794556</c:v>
                </c:pt>
                <c:pt idx="635">
                  <c:v>1.0370132991507743</c:v>
                </c:pt>
                <c:pt idx="636">
                  <c:v>1.0370132991507743</c:v>
                </c:pt>
                <c:pt idx="637">
                  <c:v>1.0485499118730945</c:v>
                </c:pt>
                <c:pt idx="638">
                  <c:v>1.0564012177535627</c:v>
                </c:pt>
                <c:pt idx="639">
                  <c:v>1.0684185226726459</c:v>
                </c:pt>
                <c:pt idx="640">
                  <c:v>1.0554398333600357</c:v>
                </c:pt>
                <c:pt idx="641">
                  <c:v>1.0477487582118221</c:v>
                </c:pt>
                <c:pt idx="642">
                  <c:v>1.0432622977086976</c:v>
                </c:pt>
                <c:pt idx="643">
                  <c:v>1.0562409870213076</c:v>
                </c:pt>
                <c:pt idx="644">
                  <c:v>1.0716231373177345</c:v>
                </c:pt>
                <c:pt idx="645">
                  <c:v>1.0753084441595868</c:v>
                </c:pt>
                <c:pt idx="646">
                  <c:v>1.0711424451209712</c:v>
                </c:pt>
                <c:pt idx="647">
                  <c:v>1.0588046787373788</c:v>
                </c:pt>
                <c:pt idx="648">
                  <c:v>1.050632911392402</c:v>
                </c:pt>
                <c:pt idx="649">
                  <c:v>1.0613683704534498</c:v>
                </c:pt>
                <c:pt idx="650">
                  <c:v>1.0807562890562379</c:v>
                </c:pt>
                <c:pt idx="651">
                  <c:v>1.096939593013937</c:v>
                </c:pt>
                <c:pt idx="652">
                  <c:v>1.0940554398333571</c:v>
                </c:pt>
                <c:pt idx="653">
                  <c:v>1.0959782086204106</c:v>
                </c:pt>
                <c:pt idx="654">
                  <c:v>1.0959782086204106</c:v>
                </c:pt>
                <c:pt idx="655">
                  <c:v>1.0765902900176225</c:v>
                </c:pt>
                <c:pt idx="656">
                  <c:v>1.0741868290338059</c:v>
                </c:pt>
                <c:pt idx="657">
                  <c:v>1.074667521230569</c:v>
                </c:pt>
                <c:pt idx="658">
                  <c:v>1.0615286011857046</c:v>
                </c:pt>
                <c:pt idx="659">
                  <c:v>1.0615286011857046</c:v>
                </c:pt>
                <c:pt idx="660">
                  <c:v>1.0373337606152833</c:v>
                </c:pt>
                <c:pt idx="661">
                  <c:v>1.0253164556962</c:v>
                </c:pt>
                <c:pt idx="662">
                  <c:v>1.0251562249639454</c:v>
                </c:pt>
                <c:pt idx="663">
                  <c:v>1.0299631469315789</c:v>
                </c:pt>
                <c:pt idx="664">
                  <c:v>1.0322063771831411</c:v>
                </c:pt>
                <c:pt idx="665">
                  <c:v>1.0290017625380521</c:v>
                </c:pt>
                <c:pt idx="666">
                  <c:v>1.0346098381669575</c:v>
                </c:pt>
                <c:pt idx="667">
                  <c:v>1.0264380708219809</c:v>
                </c:pt>
                <c:pt idx="668">
                  <c:v>1.0097740746675186</c:v>
                </c:pt>
                <c:pt idx="669">
                  <c:v>1.0142605351706429</c:v>
                </c:pt>
                <c:pt idx="670">
                  <c:v>1.0120173049190806</c:v>
                </c:pt>
                <c:pt idx="671">
                  <c:v>1.0173049190834773</c:v>
                </c:pt>
                <c:pt idx="672">
                  <c:v>1.0108956897932995</c:v>
                </c:pt>
                <c:pt idx="673">
                  <c:v>1.0137798429738796</c:v>
                </c:pt>
                <c:pt idx="674">
                  <c:v>1.0177856112802408</c:v>
                </c:pt>
                <c:pt idx="675">
                  <c:v>1.0118570741868262</c:v>
                </c:pt>
                <c:pt idx="676">
                  <c:v>1.0195481493350396</c:v>
                </c:pt>
                <c:pt idx="677">
                  <c:v>1.019387918602785</c:v>
                </c:pt>
                <c:pt idx="678">
                  <c:v>1.0232334561768919</c:v>
                </c:pt>
                <c:pt idx="679">
                  <c:v>1.018586764941513</c:v>
                </c:pt>
                <c:pt idx="680">
                  <c:v>1.0088126902739918</c:v>
                </c:pt>
                <c:pt idx="681">
                  <c:v>1.0036853068418494</c:v>
                </c:pt>
                <c:pt idx="682">
                  <c:v>0.98830315654542256</c:v>
                </c:pt>
                <c:pt idx="683">
                  <c:v>0.99054638679698481</c:v>
                </c:pt>
                <c:pt idx="684">
                  <c:v>1.0035250761095951</c:v>
                </c:pt>
                <c:pt idx="685">
                  <c:v>1.0123377663835895</c:v>
                </c:pt>
                <c:pt idx="686">
                  <c:v>1.0165037654222049</c:v>
                </c:pt>
                <c:pt idx="687">
                  <c:v>1.0177856112802406</c:v>
                </c:pt>
                <c:pt idx="688">
                  <c:v>1.0299631469315784</c:v>
                </c:pt>
                <c:pt idx="689">
                  <c:v>1.0450248357634961</c:v>
                </c:pt>
                <c:pt idx="690">
                  <c:v>1.0405383752603716</c:v>
                </c:pt>
                <c:pt idx="691">
                  <c:v>1.0314052235218683</c:v>
                </c:pt>
                <c:pt idx="692">
                  <c:v>1.0257971478929626</c:v>
                </c:pt>
                <c:pt idx="693">
                  <c:v>1.0267585322864894</c:v>
                </c:pt>
                <c:pt idx="694">
                  <c:v>1.0160230732254416</c:v>
                </c:pt>
                <c:pt idx="695">
                  <c:v>1.0141003044383883</c:v>
                </c:pt>
                <c:pt idx="696">
                  <c:v>1.0126582278480984</c:v>
                </c:pt>
                <c:pt idx="697">
                  <c:v>0.9823746194520081</c:v>
                </c:pt>
                <c:pt idx="698">
                  <c:v>0.9634673930459835</c:v>
                </c:pt>
                <c:pt idx="699">
                  <c:v>0.94263739785290546</c:v>
                </c:pt>
                <c:pt idx="700">
                  <c:v>0.94423970517544986</c:v>
                </c:pt>
                <c:pt idx="701">
                  <c:v>0.90033648453773163</c:v>
                </c:pt>
                <c:pt idx="702">
                  <c:v>0.9107514821342706</c:v>
                </c:pt>
                <c:pt idx="703">
                  <c:v>0.90979009774074382</c:v>
                </c:pt>
                <c:pt idx="704">
                  <c:v>0.9045024835763471</c:v>
                </c:pt>
                <c:pt idx="705">
                  <c:v>0.91732094215670279</c:v>
                </c:pt>
                <c:pt idx="706">
                  <c:v>0.92645409389520605</c:v>
                </c:pt>
                <c:pt idx="707">
                  <c:v>0.93911232174330728</c:v>
                </c:pt>
                <c:pt idx="708">
                  <c:v>0.95433424130747957</c:v>
                </c:pt>
                <c:pt idx="709">
                  <c:v>0.93959301394007044</c:v>
                </c:pt>
                <c:pt idx="710">
                  <c:v>0.95016824226886387</c:v>
                </c:pt>
                <c:pt idx="711">
                  <c:v>0.9599423169363851</c:v>
                </c:pt>
                <c:pt idx="712">
                  <c:v>0.95737862522031403</c:v>
                </c:pt>
                <c:pt idx="713">
                  <c:v>0.94904662714308285</c:v>
                </c:pt>
                <c:pt idx="714">
                  <c:v>0.93959301394007055</c:v>
                </c:pt>
                <c:pt idx="715">
                  <c:v>0.92981893927254933</c:v>
                </c:pt>
                <c:pt idx="716">
                  <c:v>0.92196763339208143</c:v>
                </c:pt>
                <c:pt idx="717">
                  <c:v>0.94568178176573936</c:v>
                </c:pt>
                <c:pt idx="718">
                  <c:v>0.95096939593013607</c:v>
                </c:pt>
                <c:pt idx="719">
                  <c:v>0.95914116327511267</c:v>
                </c:pt>
                <c:pt idx="720">
                  <c:v>0.94103509053036027</c:v>
                </c:pt>
                <c:pt idx="721">
                  <c:v>0.94824547348181043</c:v>
                </c:pt>
                <c:pt idx="722">
                  <c:v>0.95641724082678725</c:v>
                </c:pt>
                <c:pt idx="723">
                  <c:v>0.9673129306200895</c:v>
                </c:pt>
                <c:pt idx="724">
                  <c:v>0.98541900336484201</c:v>
                </c:pt>
                <c:pt idx="725">
                  <c:v>0.99118730972600211</c:v>
                </c:pt>
                <c:pt idx="726">
                  <c:v>0.98862361800993104</c:v>
                </c:pt>
                <c:pt idx="727">
                  <c:v>0.98141323505848088</c:v>
                </c:pt>
                <c:pt idx="728">
                  <c:v>0.97420285210703073</c:v>
                </c:pt>
                <c:pt idx="729">
                  <c:v>0.96138439352667515</c:v>
                </c:pt>
                <c:pt idx="730">
                  <c:v>0.96651177695881751</c:v>
                </c:pt>
                <c:pt idx="731">
                  <c:v>0.95497516423649742</c:v>
                </c:pt>
                <c:pt idx="732">
                  <c:v>0.99311007851305544</c:v>
                </c:pt>
                <c:pt idx="733">
                  <c:v>0.99006569460022098</c:v>
                </c:pt>
                <c:pt idx="734">
                  <c:v>0.99535330876461781</c:v>
                </c:pt>
                <c:pt idx="735">
                  <c:v>0.99807723121294334</c:v>
                </c:pt>
                <c:pt idx="736">
                  <c:v>0.99503284730010899</c:v>
                </c:pt>
                <c:pt idx="737">
                  <c:v>0.99711584681941667</c:v>
                </c:pt>
                <c:pt idx="738">
                  <c:v>1.00192276878705</c:v>
                </c:pt>
                <c:pt idx="739">
                  <c:v>1.0044864605031212</c:v>
                </c:pt>
                <c:pt idx="740">
                  <c:v>1.0060887678256656</c:v>
                </c:pt>
                <c:pt idx="741">
                  <c:v>1.0092933824707546</c:v>
                </c:pt>
                <c:pt idx="742">
                  <c:v>1.0012818458580324</c:v>
                </c:pt>
                <c:pt idx="743">
                  <c:v>1.0056080756289023</c:v>
                </c:pt>
                <c:pt idx="744">
                  <c:v>1.0179458420124947</c:v>
                </c:pt>
                <c:pt idx="745">
                  <c:v>1.0139400737061337</c:v>
                </c:pt>
                <c:pt idx="746">
                  <c:v>1.0067296907546837</c:v>
                </c:pt>
                <c:pt idx="747">
                  <c:v>1.0201890722640572</c:v>
                </c:pt>
                <c:pt idx="748">
                  <c:v>1.0179458420124949</c:v>
                </c:pt>
                <c:pt idx="749">
                  <c:v>1.0160230732254414</c:v>
                </c:pt>
                <c:pt idx="750">
                  <c:v>1.0225925332478736</c:v>
                </c:pt>
                <c:pt idx="751">
                  <c:v>1.018426534209258</c:v>
                </c:pt>
                <c:pt idx="752">
                  <c:v>1.0568819099503248</c:v>
                </c:pt>
                <c:pt idx="753">
                  <c:v>1.0431020669764426</c:v>
                </c:pt>
                <c:pt idx="754">
                  <c:v>1.0249959942316904</c:v>
                </c:pt>
                <c:pt idx="755">
                  <c:v>1.0131389200448613</c:v>
                </c:pt>
                <c:pt idx="756">
                  <c:v>1.0189072264060215</c:v>
                </c:pt>
                <c:pt idx="757">
                  <c:v>0.99823746194519791</c:v>
                </c:pt>
                <c:pt idx="758">
                  <c:v>0.99999999999999678</c:v>
                </c:pt>
                <c:pt idx="759">
                  <c:v>1.0033648453773401</c:v>
                </c:pt>
                <c:pt idx="760">
                  <c:v>1.0094536132030092</c:v>
                </c:pt>
                <c:pt idx="761">
                  <c:v>1.0088126902739913</c:v>
                </c:pt>
                <c:pt idx="762">
                  <c:v>1.0160230732254414</c:v>
                </c:pt>
                <c:pt idx="763">
                  <c:v>1.0147412273674059</c:v>
                </c:pt>
                <c:pt idx="764">
                  <c:v>1.0294824547348149</c:v>
                </c:pt>
                <c:pt idx="765">
                  <c:v>1.0333279923089216</c:v>
                </c:pt>
                <c:pt idx="766">
                  <c:v>1.0301233776638328</c:v>
                </c:pt>
                <c:pt idx="767">
                  <c:v>1.0339689152379394</c:v>
                </c:pt>
                <c:pt idx="768">
                  <c:v>1.0414997596538984</c:v>
                </c:pt>
                <c:pt idx="769">
                  <c:v>1.0330075308444127</c:v>
                </c:pt>
                <c:pt idx="770">
                  <c:v>1.0328473001121581</c:v>
                </c:pt>
                <c:pt idx="771">
                  <c:v>1.0088126902739913</c:v>
                </c:pt>
                <c:pt idx="772">
                  <c:v>1.0145809966351516</c:v>
                </c:pt>
                <c:pt idx="773">
                  <c:v>1.0035250761095948</c:v>
                </c:pt>
                <c:pt idx="774">
                  <c:v>0.98894407947444019</c:v>
                </c:pt>
                <c:pt idx="775">
                  <c:v>0.97836885114564676</c:v>
                </c:pt>
                <c:pt idx="776">
                  <c:v>0.97708700528761105</c:v>
                </c:pt>
                <c:pt idx="777">
                  <c:v>0.97211985258772338</c:v>
                </c:pt>
                <c:pt idx="778">
                  <c:v>0.97388239064252224</c:v>
                </c:pt>
                <c:pt idx="779">
                  <c:v>0.96058323986540317</c:v>
                </c:pt>
                <c:pt idx="780">
                  <c:v>0.97788815894888326</c:v>
                </c:pt>
                <c:pt idx="781">
                  <c:v>0.98077231212946336</c:v>
                </c:pt>
                <c:pt idx="782">
                  <c:v>0.98702131068738685</c:v>
                </c:pt>
                <c:pt idx="783">
                  <c:v>0.98670084922287793</c:v>
                </c:pt>
                <c:pt idx="784">
                  <c:v>0.98461784970357025</c:v>
                </c:pt>
                <c:pt idx="785">
                  <c:v>1.0033648453773405</c:v>
                </c:pt>
                <c:pt idx="786">
                  <c:v>0.98525877263258821</c:v>
                </c:pt>
                <c:pt idx="787">
                  <c:v>0.96474923890401909</c:v>
                </c:pt>
                <c:pt idx="788">
                  <c:v>0.96827431501361683</c:v>
                </c:pt>
                <c:pt idx="789">
                  <c:v>0.96891523794263468</c:v>
                </c:pt>
                <c:pt idx="790">
                  <c:v>0.96202531645569356</c:v>
                </c:pt>
                <c:pt idx="791">
                  <c:v>0.96571062329754587</c:v>
                </c:pt>
                <c:pt idx="792">
                  <c:v>0.97692677455535704</c:v>
                </c:pt>
                <c:pt idx="793">
                  <c:v>0.96074347059765808</c:v>
                </c:pt>
                <c:pt idx="794">
                  <c:v>0.96603108476205468</c:v>
                </c:pt>
                <c:pt idx="795">
                  <c:v>0.98221438871975375</c:v>
                </c:pt>
                <c:pt idx="796">
                  <c:v>0.98109277359397262</c:v>
                </c:pt>
                <c:pt idx="797">
                  <c:v>0.98045185066495488</c:v>
                </c:pt>
                <c:pt idx="798">
                  <c:v>0.99343053997756514</c:v>
                </c:pt>
                <c:pt idx="799">
                  <c:v>0.98573946482935182</c:v>
                </c:pt>
                <c:pt idx="800">
                  <c:v>0.99278961704854751</c:v>
                </c:pt>
                <c:pt idx="801">
                  <c:v>0.97324146771350506</c:v>
                </c:pt>
                <c:pt idx="802">
                  <c:v>0.99166800192276627</c:v>
                </c:pt>
                <c:pt idx="803">
                  <c:v>0.99471238583560062</c:v>
                </c:pt>
                <c:pt idx="804">
                  <c:v>0.99503284730010966</c:v>
                </c:pt>
                <c:pt idx="805">
                  <c:v>0.98894407947444063</c:v>
                </c:pt>
                <c:pt idx="806">
                  <c:v>1.005608075628903</c:v>
                </c:pt>
                <c:pt idx="807">
                  <c:v>1.0027239224483229</c:v>
                </c:pt>
                <c:pt idx="808">
                  <c:v>1.0123377663835895</c:v>
                </c:pt>
                <c:pt idx="809">
                  <c:v>1.0189072264060219</c:v>
                </c:pt>
                <c:pt idx="810">
                  <c:v>1.0214709181220931</c:v>
                </c:pt>
                <c:pt idx="811">
                  <c:v>1.0265983015542353</c:v>
                </c:pt>
                <c:pt idx="812">
                  <c:v>1.0166639961544597</c:v>
                </c:pt>
                <c:pt idx="813">
                  <c:v>1.0235539176414008</c:v>
                </c:pt>
                <c:pt idx="814">
                  <c:v>1.015382150296424</c:v>
                </c:pt>
                <c:pt idx="815">
                  <c:v>1.016824226886714</c:v>
                </c:pt>
                <c:pt idx="816">
                  <c:v>1.0131389200448617</c:v>
                </c:pt>
                <c:pt idx="817">
                  <c:v>1.0221118410511107</c:v>
                </c:pt>
                <c:pt idx="818">
                  <c:v>1.0233936869091462</c:v>
                </c:pt>
                <c:pt idx="819">
                  <c:v>1.0217913795866018</c:v>
                </c:pt>
                <c:pt idx="820">
                  <c:v>1.0232334561768919</c:v>
                </c:pt>
                <c:pt idx="821">
                  <c:v>1.0280403781445253</c:v>
                </c:pt>
                <c:pt idx="822">
                  <c:v>1.0163435346899508</c:v>
                </c:pt>
                <c:pt idx="823">
                  <c:v>1.0447043742989877</c:v>
                </c:pt>
                <c:pt idx="824">
                  <c:v>1.0519147572504379</c:v>
                </c:pt>
                <c:pt idx="825">
                  <c:v>1.0455055279602601</c:v>
                </c:pt>
                <c:pt idx="826">
                  <c:v>1.0472680660150588</c:v>
                </c:pt>
                <c:pt idx="827">
                  <c:v>1.0431020669764433</c:v>
                </c:pt>
                <c:pt idx="828">
                  <c:v>1.0410190674571356</c:v>
                </c:pt>
                <c:pt idx="829">
                  <c:v>1.04406345136997</c:v>
                </c:pt>
                <c:pt idx="830">
                  <c:v>1.0509533728569111</c:v>
                </c:pt>
                <c:pt idx="831">
                  <c:v>1.0567216792180714</c:v>
                </c:pt>
                <c:pt idx="832">
                  <c:v>1.0386156064733187</c:v>
                </c:pt>
                <c:pt idx="833">
                  <c:v>1.0365326069540111</c:v>
                </c:pt>
                <c:pt idx="834">
                  <c:v>1.0286813010735432</c:v>
                </c:pt>
                <c:pt idx="835">
                  <c:v>1.0192276878705309</c:v>
                </c:pt>
                <c:pt idx="836">
                  <c:v>1.0057683063611575</c:v>
                </c:pt>
                <c:pt idx="837">
                  <c:v>1.0267585322864898</c:v>
                </c:pt>
                <c:pt idx="838">
                  <c:v>1.0325268386476498</c:v>
                </c:pt>
                <c:pt idx="839">
                  <c:v>1.0483896811408402</c:v>
                </c:pt>
                <c:pt idx="840">
                  <c:v>1.0580035250761068</c:v>
                </c:pt>
                <c:pt idx="841">
                  <c:v>1.0629706777759946</c:v>
                </c:pt>
                <c:pt idx="842">
                  <c:v>1.0693799070661723</c:v>
                </c:pt>
                <c:pt idx="843">
                  <c:v>1.0722640602467524</c:v>
                </c:pt>
                <c:pt idx="844">
                  <c:v>1.0605672167921778</c:v>
                </c:pt>
                <c:pt idx="845">
                  <c:v>1.0749879826950781</c:v>
                </c:pt>
                <c:pt idx="846">
                  <c:v>1.0693799070661723</c:v>
                </c:pt>
                <c:pt idx="847">
                  <c:v>1.0817176734497649</c:v>
                </c:pt>
                <c:pt idx="848">
                  <c:v>1.0874859798109249</c:v>
                </c:pt>
                <c:pt idx="849">
                  <c:v>1.0961384393526648</c:v>
                </c:pt>
                <c:pt idx="850">
                  <c:v>1.1017465149815706</c:v>
                </c:pt>
                <c:pt idx="851">
                  <c:v>1.1142445120974174</c:v>
                </c:pt>
                <c:pt idx="852">
                  <c:v>1.1259413555519917</c:v>
                </c:pt>
                <c:pt idx="853">
                  <c:v>1.1430860439032176</c:v>
                </c:pt>
                <c:pt idx="854">
                  <c:v>1.1419644287774364</c:v>
                </c:pt>
                <c:pt idx="855">
                  <c:v>1.1419644287774364</c:v>
                </c:pt>
                <c:pt idx="856">
                  <c:v>1.1450088126902709</c:v>
                </c:pt>
                <c:pt idx="857">
                  <c:v>1.1621535010414967</c:v>
                </c:pt>
                <c:pt idx="858">
                  <c:v>1.1581477327351355</c:v>
                </c:pt>
                <c:pt idx="859">
                  <c:v>1.1591091171286623</c:v>
                </c:pt>
                <c:pt idx="860">
                  <c:v>1.1571863483416089</c:v>
                </c:pt>
                <c:pt idx="861">
                  <c:v>1.167601345938148</c:v>
                </c:pt>
                <c:pt idx="862">
                  <c:v>1.1538215029642658</c:v>
                </c:pt>
                <c:pt idx="863">
                  <c:v>1.1342733536292233</c:v>
                </c:pt>
                <c:pt idx="864">
                  <c:v>1.145649735619289</c:v>
                </c:pt>
                <c:pt idx="865">
                  <c:v>1.1445281204935078</c:v>
                </c:pt>
                <c:pt idx="866">
                  <c:v>1.1297868931260988</c:v>
                </c:pt>
                <c:pt idx="867">
                  <c:v>1.1450088126902709</c:v>
                </c:pt>
                <c:pt idx="868">
                  <c:v>1.1651978849543312</c:v>
                </c:pt>
                <c:pt idx="869">
                  <c:v>1.1518987341772122</c:v>
                </c:pt>
                <c:pt idx="870">
                  <c:v>1.1514180419804489</c:v>
                </c:pt>
                <c:pt idx="871">
                  <c:v>1.1448485819580168</c:v>
                </c:pt>
                <c:pt idx="872">
                  <c:v>1.1329915077711876</c:v>
                </c:pt>
                <c:pt idx="873">
                  <c:v>1.1206537413875952</c:v>
                </c:pt>
                <c:pt idx="874">
                  <c:v>1.1350745072904955</c:v>
                </c:pt>
                <c:pt idx="875">
                  <c:v>1.1281845858035544</c:v>
                </c:pt>
                <c:pt idx="876">
                  <c:v>1.12081397211985</c:v>
                </c:pt>
                <c:pt idx="877">
                  <c:v>1.1233776638359212</c:v>
                </c:pt>
                <c:pt idx="878">
                  <c:v>1.1206537413875954</c:v>
                </c:pt>
                <c:pt idx="879">
                  <c:v>1.1083159750040033</c:v>
                </c:pt>
                <c:pt idx="880">
                  <c:v>1.1087966672007665</c:v>
                </c:pt>
                <c:pt idx="881">
                  <c:v>1.1184105111360332</c:v>
                </c:pt>
                <c:pt idx="882">
                  <c:v>1.111841051113601</c:v>
                </c:pt>
                <c:pt idx="883">
                  <c:v>1.1174491267425064</c:v>
                </c:pt>
                <c:pt idx="884">
                  <c:v>1.106873898413713</c:v>
                </c:pt>
                <c:pt idx="885">
                  <c:v>1.1022272071783341</c:v>
                </c:pt>
                <c:pt idx="886">
                  <c:v>1.1041499759653872</c:v>
                </c:pt>
                <c:pt idx="887">
                  <c:v>1.0918122095817948</c:v>
                </c:pt>
                <c:pt idx="888">
                  <c:v>1.0842813651658358</c:v>
                </c:pt>
                <c:pt idx="889">
                  <c:v>1.0898894407947413</c:v>
                </c:pt>
                <c:pt idx="890">
                  <c:v>1.0964589008171737</c:v>
                </c:pt>
                <c:pt idx="891">
                  <c:v>1.0983816696042268</c:v>
                </c:pt>
                <c:pt idx="892">
                  <c:v>1.0995032847300079</c:v>
                </c:pt>
                <c:pt idx="893">
                  <c:v>1.1027078993750965</c:v>
                </c:pt>
                <c:pt idx="894">
                  <c:v>1.1131228969716356</c:v>
                </c:pt>
                <c:pt idx="895">
                  <c:v>1.13347219996795</c:v>
                </c:pt>
                <c:pt idx="896">
                  <c:v>1.1418041980451814</c:v>
                </c:pt>
                <c:pt idx="897">
                  <c:v>1.1140842813651621</c:v>
                </c:pt>
                <c:pt idx="898">
                  <c:v>1.122736740906902</c:v>
                </c:pt>
                <c:pt idx="899">
                  <c:v>1.1233776638359199</c:v>
                </c:pt>
                <c:pt idx="900">
                  <c:v>1.1224162794423931</c:v>
                </c:pt>
                <c:pt idx="901">
                  <c:v>1.1236981253004286</c:v>
                </c:pt>
                <c:pt idx="902">
                  <c:v>1.1331517385034411</c:v>
                </c:pt>
                <c:pt idx="903">
                  <c:v>1.1261015862842454</c:v>
                </c:pt>
                <c:pt idx="904">
                  <c:v>1.1387598141323465</c:v>
                </c:pt>
                <c:pt idx="905">
                  <c:v>1.1293062009293344</c:v>
                </c:pt>
                <c:pt idx="906">
                  <c:v>1.1403621214548914</c:v>
                </c:pt>
                <c:pt idx="907">
                  <c:v>1.1454895048870335</c:v>
                </c:pt>
                <c:pt idx="908">
                  <c:v>1.1514180419804483</c:v>
                </c:pt>
                <c:pt idx="909">
                  <c:v>1.1663195000801119</c:v>
                </c:pt>
                <c:pt idx="910">
                  <c:v>1.1873097260054439</c:v>
                </c:pt>
                <c:pt idx="911">
                  <c:v>1.1892324947924973</c:v>
                </c:pt>
                <c:pt idx="912">
                  <c:v>1.1578272712706259</c:v>
                </c:pt>
                <c:pt idx="913">
                  <c:v>1.1676013459381471</c:v>
                </c:pt>
                <c:pt idx="914">
                  <c:v>1.1741708059605793</c:v>
                </c:pt>
                <c:pt idx="915">
                  <c:v>1.1754526518186148</c:v>
                </c:pt>
                <c:pt idx="916">
                  <c:v>1.179458420124976</c:v>
                </c:pt>
                <c:pt idx="917">
                  <c:v>1.1815414196442837</c:v>
                </c:pt>
                <c:pt idx="918">
                  <c:v>1.1884313411312251</c:v>
                </c:pt>
                <c:pt idx="919">
                  <c:v>1.1876301874699529</c:v>
                </c:pt>
                <c:pt idx="920">
                  <c:v>1.1874699567376983</c:v>
                </c:pt>
                <c:pt idx="921">
                  <c:v>1.192757570902095</c:v>
                </c:pt>
                <c:pt idx="922">
                  <c:v>1.2006088767825631</c:v>
                </c:pt>
                <c:pt idx="923">
                  <c:v>1.1980451850664919</c:v>
                </c:pt>
                <c:pt idx="924">
                  <c:v>1.2065374138759775</c:v>
                </c:pt>
                <c:pt idx="925">
                  <c:v>1.2050953372856874</c:v>
                </c:pt>
                <c:pt idx="926">
                  <c:v>1.208460182663031</c:v>
                </c:pt>
                <c:pt idx="927">
                  <c:v>1.2163114885434987</c:v>
                </c:pt>
                <c:pt idx="928">
                  <c:v>1.206697644608232</c:v>
                </c:pt>
                <c:pt idx="929">
                  <c:v>1.206697644608232</c:v>
                </c:pt>
                <c:pt idx="930">
                  <c:v>1.2132671046306642</c:v>
                </c:pt>
                <c:pt idx="931">
                  <c:v>1.2224002563691676</c:v>
                </c:pt>
                <c:pt idx="932">
                  <c:v>1.2206377183143686</c:v>
                </c:pt>
                <c:pt idx="933">
                  <c:v>1.2310527159109073</c:v>
                </c:pt>
                <c:pt idx="934">
                  <c:v>1.2280083319980728</c:v>
                </c:pt>
                <c:pt idx="935">
                  <c:v>1.2163114885434982</c:v>
                </c:pt>
                <c:pt idx="936">
                  <c:v>1.2286492549270909</c:v>
                </c:pt>
                <c:pt idx="937">
                  <c:v>1.2344175612882511</c:v>
                </c:pt>
                <c:pt idx="938">
                  <c:v>1.2382630988623577</c:v>
                </c:pt>
                <c:pt idx="939">
                  <c:v>1.2409870213106833</c:v>
                </c:pt>
                <c:pt idx="940">
                  <c:v>1.2584521711264181</c:v>
                </c:pt>
                <c:pt idx="941">
                  <c:v>1.2680660150616847</c:v>
                </c:pt>
                <c:pt idx="942">
                  <c:v>1.2671046306681579</c:v>
                </c:pt>
                <c:pt idx="943">
                  <c:v>1.2574907867328913</c:v>
                </c:pt>
                <c:pt idx="944">
                  <c:v>1.2501201730491867</c:v>
                </c:pt>
                <c:pt idx="945">
                  <c:v>1.2831277038936024</c:v>
                </c:pt>
                <c:pt idx="946">
                  <c:v>1.2871334721999634</c:v>
                </c:pt>
                <c:pt idx="947">
                  <c:v>1.2780003204614603</c:v>
                </c:pt>
                <c:pt idx="948">
                  <c:v>1.284730011216147</c:v>
                </c:pt>
                <c:pt idx="949">
                  <c:v>1.2759173209421524</c:v>
                </c:pt>
                <c:pt idx="950">
                  <c:v>1.2885755487902537</c:v>
                </c:pt>
                <c:pt idx="951">
                  <c:v>1.2943438551514137</c:v>
                </c:pt>
                <c:pt idx="952">
                  <c:v>1.3047588527479528</c:v>
                </c:pt>
                <c:pt idx="953">
                  <c:v>1.3053997756769704</c:v>
                </c:pt>
                <c:pt idx="954">
                  <c:v>1.3049190834802071</c:v>
                </c:pt>
                <c:pt idx="955">
                  <c:v>1.3028360839608994</c:v>
                </c:pt>
                <c:pt idx="956">
                  <c:v>1.2728729370293179</c:v>
                </c:pt>
                <c:pt idx="957">
                  <c:v>1.2735138599583358</c:v>
                </c:pt>
                <c:pt idx="958">
                  <c:v>1.2626181701650334</c:v>
                </c:pt>
                <c:pt idx="959">
                  <c:v>1.2587726325909268</c:v>
                </c:pt>
                <c:pt idx="960">
                  <c:v>1.2698285531164835</c:v>
                </c:pt>
                <c:pt idx="961">
                  <c:v>1.285851626341928</c:v>
                </c:pt>
                <c:pt idx="962">
                  <c:v>1.2916199327030882</c:v>
                </c:pt>
                <c:pt idx="963">
                  <c:v>1.3172568498637995</c:v>
                </c:pt>
                <c:pt idx="964">
                  <c:v>1.3055600064092252</c:v>
                </c:pt>
                <c:pt idx="965">
                  <c:v>1.3130908508251842</c:v>
                </c:pt>
                <c:pt idx="966">
                  <c:v>1.3079634673930418</c:v>
                </c:pt>
                <c:pt idx="967">
                  <c:v>1.3033167761576629</c:v>
                </c:pt>
                <c:pt idx="968">
                  <c:v>1.3158147732735097</c:v>
                </c:pt>
                <c:pt idx="969">
                  <c:v>1.3073225444640242</c:v>
                </c:pt>
                <c:pt idx="970">
                  <c:v>1.2879346258612361</c:v>
                </c:pt>
                <c:pt idx="971">
                  <c:v>1.2980291619932662</c:v>
                </c:pt>
                <c:pt idx="972">
                  <c:v>1.270309245313247</c:v>
                </c:pt>
                <c:pt idx="973">
                  <c:v>1.2672648614004125</c:v>
                </c:pt>
                <c:pt idx="974">
                  <c:v>1.2804037814452771</c:v>
                </c:pt>
                <c:pt idx="975">
                  <c:v>1.2518827111039856</c:v>
                </c:pt>
                <c:pt idx="976">
                  <c:v>1.2369812530043223</c:v>
                </c:pt>
                <c:pt idx="977">
                  <c:v>1.2555680179458379</c:v>
                </c:pt>
                <c:pt idx="978">
                  <c:v>1.2425893286332277</c:v>
                </c:pt>
                <c:pt idx="979">
                  <c:v>1.2448325588847899</c:v>
                </c:pt>
                <c:pt idx="980">
                  <c:v>1.2687069379907026</c:v>
                </c:pt>
                <c:pt idx="981">
                  <c:v>1.2722320141003003</c:v>
                </c:pt>
                <c:pt idx="982">
                  <c:v>1.2576510174651456</c:v>
                </c:pt>
                <c:pt idx="983">
                  <c:v>1.2554077872135834</c:v>
                </c:pt>
                <c:pt idx="984">
                  <c:v>1.2510815574427134</c:v>
                </c:pt>
                <c:pt idx="985">
                  <c:v>1.2698285531164837</c:v>
                </c:pt>
                <c:pt idx="986">
                  <c:v>1.2808844736420404</c:v>
                </c:pt>
                <c:pt idx="987">
                  <c:v>1.2890562409870172</c:v>
                </c:pt>
                <c:pt idx="988">
                  <c:v>1.2896971639160348</c:v>
                </c:pt>
                <c:pt idx="989">
                  <c:v>1.3121294664316574</c:v>
                </c:pt>
                <c:pt idx="990">
                  <c:v>1.3050793142124617</c:v>
                </c:pt>
                <c:pt idx="991">
                  <c:v>1.3074827751962783</c:v>
                </c:pt>
                <c:pt idx="992">
                  <c:v>1.3283127703893565</c:v>
                </c:pt>
                <c:pt idx="993">
                  <c:v>1.3283127703893565</c:v>
                </c:pt>
                <c:pt idx="994">
                  <c:v>1.32879346258612</c:v>
                </c:pt>
                <c:pt idx="995">
                  <c:v>1.3002723922448285</c:v>
                </c:pt>
                <c:pt idx="996">
                  <c:v>1.2890562409870172</c:v>
                </c:pt>
                <c:pt idx="997">
                  <c:v>1.2888960102547626</c:v>
                </c:pt>
                <c:pt idx="998">
                  <c:v>1.2929017785611239</c:v>
                </c:pt>
                <c:pt idx="999">
                  <c:v>1.2768787053356794</c:v>
                </c:pt>
                <c:pt idx="1000">
                  <c:v>1.2608556321102349</c:v>
                </c:pt>
                <c:pt idx="1001">
                  <c:v>1.2517224803717317</c:v>
                </c:pt>
                <c:pt idx="1002">
                  <c:v>1.2438711744912636</c:v>
                </c:pt>
                <c:pt idx="1003">
                  <c:v>1.243230251562246</c:v>
                </c:pt>
                <c:pt idx="1004">
                  <c:v>1.2440314052235182</c:v>
                </c:pt>
                <c:pt idx="1005">
                  <c:v>1.2340970998237424</c:v>
                </c:pt>
                <c:pt idx="1006">
                  <c:v>1.2289697163916002</c:v>
                </c:pt>
                <c:pt idx="1007">
                  <c:v>1.1999679538535455</c:v>
                </c:pt>
                <c:pt idx="1008">
                  <c:v>1.2054157987501966</c:v>
                </c:pt>
                <c:pt idx="1009">
                  <c:v>1.2246434866207301</c:v>
                </c:pt>
                <c:pt idx="1010">
                  <c:v>1.2187149495273155</c:v>
                </c:pt>
                <c:pt idx="1011">
                  <c:v>1.2254446402820023</c:v>
                </c:pt>
                <c:pt idx="1012">
                  <c:v>1.2225604871014222</c:v>
                </c:pt>
                <c:pt idx="1013">
                  <c:v>1.2190354109918244</c:v>
                </c:pt>
                <c:pt idx="1014">
                  <c:v>1.2139080275596823</c:v>
                </c:pt>
                <c:pt idx="1015">
                  <c:v>1.2127864124339012</c:v>
                </c:pt>
                <c:pt idx="1016">
                  <c:v>1.2220797949046591</c:v>
                </c:pt>
                <c:pt idx="1017">
                  <c:v>1.2350584842172694</c:v>
                </c:pt>
                <c:pt idx="1018">
                  <c:v>1.2212786412433871</c:v>
                </c:pt>
                <c:pt idx="1019">
                  <c:v>1.2182342573305527</c:v>
                </c:pt>
                <c:pt idx="1020">
                  <c:v>1.217913795866044</c:v>
                </c:pt>
                <c:pt idx="1021">
                  <c:v>1.2110238743791026</c:v>
                </c:pt>
                <c:pt idx="1022">
                  <c:v>1.1969235699407115</c:v>
                </c:pt>
                <c:pt idx="1023">
                  <c:v>1.2126261817016473</c:v>
                </c:pt>
                <c:pt idx="1024">
                  <c:v>1.230411792981891</c:v>
                </c:pt>
                <c:pt idx="1025">
                  <c:v>1.2614965550392534</c:v>
                </c:pt>
                <c:pt idx="1026">
                  <c:v>1.2632590930940524</c:v>
                </c:pt>
                <c:pt idx="1027">
                  <c:v>1.28264701169684</c:v>
                </c:pt>
                <c:pt idx="1028">
                  <c:v>1.2549270950168208</c:v>
                </c:pt>
                <c:pt idx="1029">
                  <c:v>1.2608556321102353</c:v>
                </c:pt>
                <c:pt idx="1030">
                  <c:v>1.2736740906905908</c:v>
                </c:pt>
                <c:pt idx="1031">
                  <c:v>1.244191635955773</c:v>
                </c:pt>
                <c:pt idx="1032">
                  <c:v>1.2270469476045471</c:v>
                </c:pt>
                <c:pt idx="1033">
                  <c:v>1.2296106393206183</c:v>
                </c:pt>
                <c:pt idx="1034">
                  <c:v>1.2552475564813299</c:v>
                </c:pt>
                <c:pt idx="1035">
                  <c:v>1.2478769427976253</c:v>
                </c:pt>
                <c:pt idx="1036">
                  <c:v>1.2546066335523123</c:v>
                </c:pt>
                <c:pt idx="1037">
                  <c:v>1.2435507130267556</c:v>
                </c:pt>
                <c:pt idx="1038">
                  <c:v>1.2560487101426023</c:v>
                </c:pt>
                <c:pt idx="1039">
                  <c:v>1.2546066335523123</c:v>
                </c:pt>
                <c:pt idx="1040">
                  <c:v>1.2520429418362411</c:v>
                </c:pt>
                <c:pt idx="1041">
                  <c:v>1.265662554077869</c:v>
                </c:pt>
                <c:pt idx="1042">
                  <c:v>1.2720717833680468</c:v>
                </c:pt>
                <c:pt idx="1043">
                  <c:v>1.2698285531164846</c:v>
                </c:pt>
                <c:pt idx="1044">
                  <c:v>1.2727127062970647</c:v>
                </c:pt>
                <c:pt idx="1045">
                  <c:v>1.2674250921326677</c:v>
                </c:pt>
                <c:pt idx="1046">
                  <c:v>1.2792821663194969</c:v>
                </c:pt>
                <c:pt idx="1047">
                  <c:v>1.2860118570741836</c:v>
                </c:pt>
                <c:pt idx="1048">
                  <c:v>1.2858516263419291</c:v>
                </c:pt>
                <c:pt idx="1049">
                  <c:v>1.2861720878064378</c:v>
                </c:pt>
                <c:pt idx="1050">
                  <c:v>1.2797628585162601</c:v>
                </c:pt>
                <c:pt idx="1051">
                  <c:v>1.2733536292260821</c:v>
                </c:pt>
                <c:pt idx="1052">
                  <c:v>1.2786412433904786</c:v>
                </c:pt>
                <c:pt idx="1053">
                  <c:v>1.2502804037814417</c:v>
                </c:pt>
                <c:pt idx="1054">
                  <c:v>1.2693478609197206</c:v>
                </c:pt>
                <c:pt idx="1055">
                  <c:v>1.2711103989745196</c:v>
                </c:pt>
                <c:pt idx="1056">
                  <c:v>1.2504406345136962</c:v>
                </c:pt>
                <c:pt idx="1057">
                  <c:v>1.2416279442397016</c:v>
                </c:pt>
                <c:pt idx="1058">
                  <c:v>1.2158307963467359</c:v>
                </c:pt>
                <c:pt idx="1059">
                  <c:v>1.238423329594613</c:v>
                </c:pt>
                <c:pt idx="1060">
                  <c:v>1.2520429418362409</c:v>
                </c:pt>
                <c:pt idx="1061">
                  <c:v>1.2403460983816663</c:v>
                </c:pt>
                <c:pt idx="1062">
                  <c:v>1.2365005608075597</c:v>
                </c:pt>
                <c:pt idx="1063">
                  <c:v>1.2395449447203941</c:v>
                </c:pt>
                <c:pt idx="1064">
                  <c:v>1.2637397852908157</c:v>
                </c:pt>
                <c:pt idx="1065">
                  <c:v>1.2690273994552124</c:v>
                </c:pt>
                <c:pt idx="1066">
                  <c:v>1.2602147091812179</c:v>
                </c:pt>
                <c:pt idx="1067">
                  <c:v>1.2648614004165968</c:v>
                </c:pt>
                <c:pt idx="1068">
                  <c:v>1.2699887838487391</c:v>
                </c:pt>
                <c:pt idx="1069">
                  <c:v>1.2618170165037623</c:v>
                </c:pt>
                <c:pt idx="1070">
                  <c:v>1.2525236340330044</c:v>
                </c:pt>
                <c:pt idx="1071">
                  <c:v>1.2324947925011986</c:v>
                </c:pt>
                <c:pt idx="1072">
                  <c:v>1.2406665598461755</c:v>
                </c:pt>
                <c:pt idx="1073">
                  <c:v>1.2403460983816663</c:v>
                </c:pt>
                <c:pt idx="1074">
                  <c:v>1.2494792501201697</c:v>
                </c:pt>
                <c:pt idx="1075">
                  <c:v>1.2634193238263065</c:v>
                </c:pt>
                <c:pt idx="1076">
                  <c:v>1.2666239384713953</c:v>
                </c:pt>
                <c:pt idx="1077">
                  <c:v>1.2725524755648097</c:v>
                </c:pt>
                <c:pt idx="1078">
                  <c:v>1.2645409389520874</c:v>
                </c:pt>
                <c:pt idx="1079">
                  <c:v>1.1941996474923857</c:v>
                </c:pt>
                <c:pt idx="1080">
                  <c:v>1.1759333440153787</c:v>
                </c:pt>
                <c:pt idx="1081">
                  <c:v>1.1711264220477453</c:v>
                </c:pt>
                <c:pt idx="1082">
                  <c:v>1.2172728729370257</c:v>
                </c:pt>
                <c:pt idx="1083">
                  <c:v>1.2081397211985223</c:v>
                </c:pt>
                <c:pt idx="1084">
                  <c:v>1.2228809485659311</c:v>
                </c:pt>
                <c:pt idx="1085">
                  <c:v>1.2448325588847902</c:v>
                </c:pt>
                <c:pt idx="1086">
                  <c:v>1.2446723281525358</c:v>
                </c:pt>
                <c:pt idx="1087">
                  <c:v>1.2334561768947245</c:v>
                </c:pt>
                <c:pt idx="1088">
                  <c:v>1.2461144047428256</c:v>
                </c:pt>
                <c:pt idx="1089">
                  <c:v>1.2166319500080078</c:v>
                </c:pt>
                <c:pt idx="1090">
                  <c:v>1.2497997115846782</c:v>
                </c:pt>
                <c:pt idx="1091">
                  <c:v>1.2550873257490749</c:v>
                </c:pt>
                <c:pt idx="1092">
                  <c:v>1.2570100945361284</c:v>
                </c:pt>
                <c:pt idx="1093">
                  <c:v>1.2531645569620216</c:v>
                </c:pt>
                <c:pt idx="1094">
                  <c:v>1.2608556321102349</c:v>
                </c:pt>
                <c:pt idx="1095">
                  <c:v>1.2706297067777561</c:v>
                </c:pt>
                <c:pt idx="1096">
                  <c:v>1.2642204774875783</c:v>
                </c:pt>
                <c:pt idx="1097">
                  <c:v>1.2679057843294304</c:v>
                </c:pt>
                <c:pt idx="1098">
                  <c:v>1.2778400897292062</c:v>
                </c:pt>
                <c:pt idx="1099">
                  <c:v>1.2746354750841171</c:v>
                </c:pt>
                <c:pt idx="1100">
                  <c:v>1.2901778561127983</c:v>
                </c:pt>
                <c:pt idx="1101">
                  <c:v>1.2938631629546509</c:v>
                </c:pt>
                <c:pt idx="1102">
                  <c:v>1.2834481653581118</c:v>
                </c:pt>
                <c:pt idx="1103">
                  <c:v>1.285691395609674</c:v>
                </c:pt>
                <c:pt idx="1104">
                  <c:v>1.2780003204614609</c:v>
                </c:pt>
                <c:pt idx="1105">
                  <c:v>1.276237782406662</c:v>
                </c:pt>
                <c:pt idx="1106">
                  <c:v>1.2706297067777561</c:v>
                </c:pt>
                <c:pt idx="1107">
                  <c:v>1.2977087005287573</c:v>
                </c:pt>
                <c:pt idx="1108">
                  <c:v>1.3167761576670365</c:v>
                </c:pt>
                <c:pt idx="1109">
                  <c:v>1.3223842332959421</c:v>
                </c:pt>
                <c:pt idx="1110">
                  <c:v>1.3262297708700488</c:v>
                </c:pt>
                <c:pt idx="1111">
                  <c:v>1.3020349302996277</c:v>
                </c:pt>
                <c:pt idx="1112">
                  <c:v>1.2834481653581118</c:v>
                </c:pt>
                <c:pt idx="1113">
                  <c:v>1.2988303156545389</c:v>
                </c:pt>
                <c:pt idx="1114">
                  <c:v>1.3086043903220599</c:v>
                </c:pt>
                <c:pt idx="1115">
                  <c:v>1.2903380868450531</c:v>
                </c:pt>
                <c:pt idx="1116">
                  <c:v>1.2993110078513024</c:v>
                </c:pt>
                <c:pt idx="1117">
                  <c:v>1.3126101586284211</c:v>
                </c:pt>
                <c:pt idx="1118">
                  <c:v>1.3167761576670367</c:v>
                </c:pt>
                <c:pt idx="1119">
                  <c:v>1.3203012337766344</c:v>
                </c:pt>
                <c:pt idx="1120">
                  <c:v>1.297228008331994</c:v>
                </c:pt>
                <c:pt idx="1121">
                  <c:v>1.2951450088126863</c:v>
                </c:pt>
                <c:pt idx="1122">
                  <c:v>1.3009133151738463</c:v>
                </c:pt>
                <c:pt idx="1123">
                  <c:v>1.2925813170966152</c:v>
                </c:pt>
                <c:pt idx="1124">
                  <c:v>1.2956257010094496</c:v>
                </c:pt>
                <c:pt idx="1125">
                  <c:v>1.2964268546707216</c:v>
                </c:pt>
                <c:pt idx="1126">
                  <c:v>1.3121294664316574</c:v>
                </c:pt>
                <c:pt idx="1127">
                  <c:v>1.3045986220156984</c:v>
                </c:pt>
                <c:pt idx="1128">
                  <c:v>1.2981893927255204</c:v>
                </c:pt>
                <c:pt idx="1129">
                  <c:v>1.2874539336644726</c:v>
                </c:pt>
                <c:pt idx="1130">
                  <c:v>1.2908187790418162</c:v>
                </c:pt>
                <c:pt idx="1131">
                  <c:v>1.2943438551514141</c:v>
                </c:pt>
                <c:pt idx="1132">
                  <c:v>1.3017144688351185</c:v>
                </c:pt>
                <c:pt idx="1133">
                  <c:v>1.3073225444640242</c:v>
                </c:pt>
                <c:pt idx="1134">
                  <c:v>1.2898573946482894</c:v>
                </c:pt>
                <c:pt idx="1135">
                  <c:v>1.3005928537093372</c:v>
                </c:pt>
                <c:pt idx="1136">
                  <c:v>1.3031565454254084</c:v>
                </c:pt>
                <c:pt idx="1137">
                  <c:v>1.3084441595898051</c:v>
                </c:pt>
                <c:pt idx="1138">
                  <c:v>1.3129306200929296</c:v>
                </c:pt>
                <c:pt idx="1139">
                  <c:v>1.301554238102864</c:v>
                </c:pt>
                <c:pt idx="1140">
                  <c:v>1.3113283127703852</c:v>
                </c:pt>
                <c:pt idx="1141">
                  <c:v>1.314052235218711</c:v>
                </c:pt>
                <c:pt idx="1142">
                  <c:v>1.3001121615125741</c:v>
                </c:pt>
                <c:pt idx="1143">
                  <c:v>1.3122896971639122</c:v>
                </c:pt>
                <c:pt idx="1144">
                  <c:v>1.3230251562249598</c:v>
                </c:pt>
                <c:pt idx="1145">
                  <c:v>1.3211023874379066</c:v>
                </c:pt>
                <c:pt idx="1146">
                  <c:v>1.3263900016023034</c:v>
                </c:pt>
                <c:pt idx="1147">
                  <c:v>1.313731773754202</c:v>
                </c:pt>
                <c:pt idx="1148">
                  <c:v>1.3143726966832201</c:v>
                </c:pt>
                <c:pt idx="1149">
                  <c:v>1.3198205415798714</c:v>
                </c:pt>
                <c:pt idx="1150">
                  <c:v>1.3419323826309848</c:v>
                </c:pt>
                <c:pt idx="1151">
                  <c:v>1.3462586124018547</c:v>
                </c:pt>
                <c:pt idx="1152">
                  <c:v>1.3627623778240627</c:v>
                </c:pt>
                <c:pt idx="1153">
                  <c:v>1.3525076109597782</c:v>
                </c:pt>
                <c:pt idx="1154">
                  <c:v>1.3507450729049795</c:v>
                </c:pt>
                <c:pt idx="1155">
                  <c:v>1.3542701490145772</c:v>
                </c:pt>
                <c:pt idx="1156">
                  <c:v>1.3398493831116771</c:v>
                </c:pt>
                <c:pt idx="1157">
                  <c:v>1.3552315334081038</c:v>
                </c:pt>
                <c:pt idx="1158">
                  <c:v>1.3653260695401339</c:v>
                </c:pt>
                <c:pt idx="1159">
                  <c:v>1.3726966832238385</c:v>
                </c:pt>
                <c:pt idx="1160">
                  <c:v>1.3747796827431464</c:v>
                </c:pt>
                <c:pt idx="1161">
                  <c:v>1.3991347540458221</c:v>
                </c:pt>
                <c:pt idx="1162">
                  <c:v>1.3842332959461587</c:v>
                </c:pt>
                <c:pt idx="1163">
                  <c:v>1.3718955295625666</c:v>
                </c:pt>
                <c:pt idx="1164">
                  <c:v>1.3867969876622301</c:v>
                </c:pt>
                <c:pt idx="1165">
                  <c:v>1.3808684505688158</c:v>
                </c:pt>
                <c:pt idx="1166">
                  <c:v>1.3765422207979456</c:v>
                </c:pt>
                <c:pt idx="1167">
                  <c:v>1.3824707578913602</c:v>
                </c:pt>
                <c:pt idx="1168">
                  <c:v>1.3855151418041949</c:v>
                </c:pt>
                <c:pt idx="1169">
                  <c:v>1.3759012978689282</c:v>
                </c:pt>
                <c:pt idx="1170">
                  <c:v>1.371895529562567</c:v>
                </c:pt>
                <c:pt idx="1171">
                  <c:v>1.3659669924691524</c:v>
                </c:pt>
                <c:pt idx="1172">
                  <c:v>1.3792661432462714</c:v>
                </c:pt>
                <c:pt idx="1173">
                  <c:v>1.3807082198365617</c:v>
                </c:pt>
                <c:pt idx="1174">
                  <c:v>1.3712546066335494</c:v>
                </c:pt>
                <c:pt idx="1175">
                  <c:v>1.378625220317254</c:v>
                </c:pt>
                <c:pt idx="1176">
                  <c:v>1.3630828392885725</c:v>
                </c:pt>
                <c:pt idx="1177">
                  <c:v>1.3661272232014072</c:v>
                </c:pt>
                <c:pt idx="1178">
                  <c:v>1.3664476846659162</c:v>
                </c:pt>
                <c:pt idx="1179">
                  <c:v>1.3560326870693771</c:v>
                </c:pt>
                <c:pt idx="1180">
                  <c:v>1.3510655343694893</c:v>
                </c:pt>
                <c:pt idx="1181">
                  <c:v>1.346579073866365</c:v>
                </c:pt>
                <c:pt idx="1182">
                  <c:v>1.3432142284890216</c:v>
                </c:pt>
                <c:pt idx="1183">
                  <c:v>1.3416119211664772</c:v>
                </c:pt>
                <c:pt idx="1184">
                  <c:v>1.3374459221278616</c:v>
                </c:pt>
                <c:pt idx="1185">
                  <c:v>1.3238263098862337</c:v>
                </c:pt>
                <c:pt idx="1186">
                  <c:v>1.3329594616247371</c:v>
                </c:pt>
                <c:pt idx="1187">
                  <c:v>1.3558724563371229</c:v>
                </c:pt>
                <c:pt idx="1188">
                  <c:v>1.3630828392885728</c:v>
                </c:pt>
                <c:pt idx="1189">
                  <c:v>1.3699727607755141</c:v>
                </c:pt>
                <c:pt idx="1190">
                  <c:v>1.3731773754206029</c:v>
                </c:pt>
                <c:pt idx="1191">
                  <c:v>1.3481813811889094</c:v>
                </c:pt>
                <c:pt idx="1192">
                  <c:v>1.3515462265662528</c:v>
                </c:pt>
                <c:pt idx="1193">
                  <c:v>1.3525076109597796</c:v>
                </c:pt>
                <c:pt idx="1194">
                  <c:v>1.3611600705015199</c:v>
                </c:pt>
                <c:pt idx="1195">
                  <c:v>1.3651658388078811</c:v>
                </c:pt>
                <c:pt idx="1196">
                  <c:v>1.3722159910270766</c:v>
                </c:pt>
                <c:pt idx="1197">
                  <c:v>1.3819900656945976</c:v>
                </c:pt>
                <c:pt idx="1198">
                  <c:v>1.3686909149174786</c:v>
                </c:pt>
                <c:pt idx="1199">
                  <c:v>1.3909629867008466</c:v>
                </c:pt>
                <c:pt idx="1200">
                  <c:v>1.3949687550072079</c:v>
                </c:pt>
                <c:pt idx="1201">
                  <c:v>1.3973722159910245</c:v>
                </c:pt>
                <c:pt idx="1202">
                  <c:v>1.410831597500398</c:v>
                </c:pt>
                <c:pt idx="1203">
                  <c:v>1.408267905784327</c:v>
                </c:pt>
                <c:pt idx="1204">
                  <c:v>1.4246114404742807</c:v>
                </c:pt>
                <c:pt idx="1205">
                  <c:v>1.4383912834481631</c:v>
                </c:pt>
                <c:pt idx="1206">
                  <c:v>1.4449607434705956</c:v>
                </c:pt>
                <c:pt idx="1207">
                  <c:v>1.4548950488703711</c:v>
                </c:pt>
                <c:pt idx="1208">
                  <c:v>1.4512097420285188</c:v>
                </c:pt>
                <c:pt idx="1209">
                  <c:v>1.4452812049351045</c:v>
                </c:pt>
                <c:pt idx="1210">
                  <c:v>1.4563371254606612</c:v>
                </c:pt>
                <c:pt idx="1211">
                  <c:v>1.4693158147732714</c:v>
                </c:pt>
                <c:pt idx="1212">
                  <c:v>1.488543502643805</c:v>
                </c:pt>
                <c:pt idx="1213">
                  <c:v>1.4723601986861057</c:v>
                </c:pt>
                <c:pt idx="1214">
                  <c:v>1.4672328152539633</c:v>
                </c:pt>
                <c:pt idx="1215">
                  <c:v>1.4667521230572003</c:v>
                </c:pt>
                <c:pt idx="1216">
                  <c:v>1.4518506649575367</c:v>
                </c:pt>
                <c:pt idx="1217">
                  <c:v>1.4484858195801933</c:v>
                </c:pt>
                <c:pt idx="1218">
                  <c:v>1.4473642044544122</c:v>
                </c:pt>
                <c:pt idx="1219">
                  <c:v>1.4643486620733837</c:v>
                </c:pt>
                <c:pt idx="1220">
                  <c:v>1.4683544303797447</c:v>
                </c:pt>
                <c:pt idx="1221">
                  <c:v>1.4441595898093231</c:v>
                </c:pt>
                <c:pt idx="1222">
                  <c:v>1.4436788976125599</c:v>
                </c:pt>
                <c:pt idx="1223">
                  <c:v>1.4375901297868909</c:v>
                </c:pt>
                <c:pt idx="1224">
                  <c:v>1.4276558243871151</c:v>
                </c:pt>
                <c:pt idx="1225">
                  <c:v>1.4284569780483876</c:v>
                </c:pt>
                <c:pt idx="1226">
                  <c:v>1.4233295946162452</c:v>
                </c:pt>
                <c:pt idx="1227">
                  <c:v>1.4236500560807541</c:v>
                </c:pt>
                <c:pt idx="1228">
                  <c:v>1.4174010575228306</c:v>
                </c:pt>
                <c:pt idx="1229">
                  <c:v>1.4371094375901277</c:v>
                </c:pt>
                <c:pt idx="1230">
                  <c:v>1.4366287453933644</c:v>
                </c:pt>
                <c:pt idx="1231">
                  <c:v>1.4374298990546366</c:v>
                </c:pt>
                <c:pt idx="1232">
                  <c:v>1.4407947444319802</c:v>
                </c:pt>
                <c:pt idx="1233">
                  <c:v>1.4209261336324288</c:v>
                </c:pt>
                <c:pt idx="1234">
                  <c:v>1.4222079794904645</c:v>
                </c:pt>
                <c:pt idx="1235">
                  <c:v>1.4350264380708202</c:v>
                </c:pt>
                <c:pt idx="1236">
                  <c:v>1.4295785931741689</c:v>
                </c:pt>
                <c:pt idx="1237">
                  <c:v>1.4175612882550854</c:v>
                </c:pt>
                <c:pt idx="1238">
                  <c:v>1.4103509053036354</c:v>
                </c:pt>
                <c:pt idx="1239">
                  <c:v>1.4124339048229433</c:v>
                </c:pt>
                <c:pt idx="1240">
                  <c:v>1.428456978048388</c:v>
                </c:pt>
                <c:pt idx="1241">
                  <c:v>1.4230091331517367</c:v>
                </c:pt>
                <c:pt idx="1242">
                  <c:v>1.4419163595577613</c:v>
                </c:pt>
                <c:pt idx="1243">
                  <c:v>1.4521711264220458</c:v>
                </c:pt>
                <c:pt idx="1244">
                  <c:v>1.4182022111841035</c:v>
                </c:pt>
                <c:pt idx="1245">
                  <c:v>1.4081076750520731</c:v>
                </c:pt>
                <c:pt idx="1246">
                  <c:v>1.4036212145489486</c:v>
                </c:pt>
                <c:pt idx="1247">
                  <c:v>1.4007370613683687</c:v>
                </c:pt>
                <c:pt idx="1248">
                  <c:v>1.3875981413235041</c:v>
                </c:pt>
                <c:pt idx="1249">
                  <c:v>1.3690113763819884</c:v>
                </c:pt>
                <c:pt idx="1250">
                  <c:v>1.369972760775515</c:v>
                </c:pt>
                <c:pt idx="1251">
                  <c:v>1.3693318378464971</c:v>
                </c:pt>
                <c:pt idx="1252">
                  <c:v>1.3792661432462727</c:v>
                </c:pt>
                <c:pt idx="1253">
                  <c:v>1.372536452491586</c:v>
                </c:pt>
                <c:pt idx="1254">
                  <c:v>1.3850344496074329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B37-45A4-9220-05B928C9B3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55956063"/>
        <c:axId val="1455957023"/>
      </c:lineChart>
      <c:dateAx>
        <c:axId val="1455956063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5957023"/>
        <c:crosses val="autoZero"/>
        <c:auto val="1"/>
        <c:lblOffset val="100"/>
        <c:baseTimeUnit val="days"/>
      </c:dateAx>
      <c:valAx>
        <c:axId val="14559570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59560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US" b="0"/>
              <a:t>Efficient Frontier — SPY / XLU Portfolio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Optimization_Calculations!$B$2:$B$12</c:f>
              <c:numCache>
                <c:formatCode>0.00%</c:formatCode>
                <c:ptCount val="11"/>
                <c:pt idx="0">
                  <c:v>6.3685901210535467E-2</c:v>
                </c:pt>
                <c:pt idx="1">
                  <c:v>6.9599854042682902E-2</c:v>
                </c:pt>
                <c:pt idx="2">
                  <c:v>7.5513806874830322E-2</c:v>
                </c:pt>
                <c:pt idx="3">
                  <c:v>8.1427759706977743E-2</c:v>
                </c:pt>
                <c:pt idx="4">
                  <c:v>8.7341712539125177E-2</c:v>
                </c:pt>
                <c:pt idx="5">
                  <c:v>9.3255665371272597E-2</c:v>
                </c:pt>
                <c:pt idx="6">
                  <c:v>9.9169618203420018E-2</c:v>
                </c:pt>
                <c:pt idx="7">
                  <c:v>0.10508357103556745</c:v>
                </c:pt>
                <c:pt idx="8">
                  <c:v>0.11099752386771487</c:v>
                </c:pt>
                <c:pt idx="9">
                  <c:v>0.11691147669986231</c:v>
                </c:pt>
                <c:pt idx="10">
                  <c:v>0.12282542953200973</c:v>
                </c:pt>
              </c:numCache>
            </c:numRef>
          </c:xVal>
          <c:yVal>
            <c:numRef>
              <c:f>Optimization_Calculations!$C$2:$C$12</c:f>
              <c:numCache>
                <c:formatCode>0.00%</c:formatCode>
                <c:ptCount val="11"/>
                <c:pt idx="0">
                  <c:v>0.17299022665805608</c:v>
                </c:pt>
                <c:pt idx="1">
                  <c:v>0.16453950633780173</c:v>
                </c:pt>
                <c:pt idx="2">
                  <c:v>0.15761504927583675</c:v>
                </c:pt>
                <c:pt idx="3">
                  <c:v>0.15242500567891235</c:v>
                </c:pt>
                <c:pt idx="4">
                  <c:v>0.14915054455101245</c:v>
                </c:pt>
                <c:pt idx="5">
                  <c:v>0.14791893560043523</c:v>
                </c:pt>
                <c:pt idx="6">
                  <c:v>0.14878091969107776</c:v>
                </c:pt>
                <c:pt idx="7">
                  <c:v>0.15170081280182787</c:v>
                </c:pt>
                <c:pt idx="8">
                  <c:v>0.15656351788013256</c:v>
                </c:pt>
                <c:pt idx="9">
                  <c:v>0.16319545840165106</c:v>
                </c:pt>
                <c:pt idx="10">
                  <c:v>0.17139137708911298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A69-469A-A34E-88A4F6D8A5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65576991"/>
        <c:axId val="565578431"/>
      </c:scatterChart>
      <c:valAx>
        <c:axId val="56557699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5578431"/>
        <c:crosses val="autoZero"/>
        <c:crossBetween val="midCat"/>
      </c:valAx>
      <c:valAx>
        <c:axId val="5655784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557699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0"/>
              <a:t>Minimum-Variance Portfolio Allocation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32C3-46BF-8263-CADF350BCDC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32C3-46BF-8263-CADF350BCDCB}"/>
              </c:ext>
            </c:extLst>
          </c:dPt>
          <c:dLbls>
            <c:numFmt formatCode="0.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Optimization_Calculations!$E$4:$E$5</c:f>
              <c:strCache>
                <c:ptCount val="2"/>
                <c:pt idx="0">
                  <c:v>SPY</c:v>
                </c:pt>
                <c:pt idx="1">
                  <c:v>XLU</c:v>
                </c:pt>
              </c:strCache>
            </c:strRef>
          </c:cat>
          <c:val>
            <c:numRef>
              <c:f>Optimization_Calculations!$F$4:$F$5</c:f>
              <c:numCache>
                <c:formatCode>0.00%</c:formatCode>
                <c:ptCount val="2"/>
                <c:pt idx="0">
                  <c:v>0.95274446117957912</c:v>
                </c:pt>
                <c:pt idx="1">
                  <c:v>4.7255538820420648E-2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2C3-46BF-8263-CADF350BCDC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115259</xdr:colOff>
      <xdr:row>0</xdr:row>
      <xdr:rowOff>33617</xdr:rowOff>
    </xdr:from>
    <xdr:to>
      <xdr:col>15</xdr:col>
      <xdr:colOff>160083</xdr:colOff>
      <xdr:row>82</xdr:row>
      <xdr:rowOff>33618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F18D607A-E650-AA87-E3F3-C152DC3DB480}"/>
            </a:ext>
          </a:extLst>
        </xdr:cNvPr>
        <xdr:cNvSpPr txBox="1"/>
      </xdr:nvSpPr>
      <xdr:spPr>
        <a:xfrm>
          <a:off x="115259" y="33617"/>
          <a:ext cx="9229645" cy="1562100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 b="1"/>
            <a:t>Executive Summary</a:t>
          </a:r>
        </a:p>
        <a:p>
          <a:r>
            <a:rPr lang="en-US" sz="1400" b="0"/>
            <a:t>This project applies Mean–Variance Portfolio Optimization to analyze the optimal allocation between SPY (S&amp;P 500 ETF) and XLU (Utilities Select Sector ETF) using daily data from 2020–2025. By modeling returns, volatility, and correlation, the analysis identifies a minimum-variance portfolio that preserves equity growth while reducing overall risk. Results show that a predominantly SPY-weighted portfolio with a small XLU allocation achieves improved risk efficiency relative to a 100% equity allocation.</a:t>
          </a:r>
        </a:p>
        <a:p>
          <a:br>
            <a:rPr lang="en-US" sz="1400"/>
          </a:br>
          <a:endParaRPr lang="en-US" sz="1400"/>
        </a:p>
        <a:p>
          <a:r>
            <a:rPr lang="en-US" sz="1400" b="1" u="sng"/>
            <a:t>Business Problem</a:t>
          </a:r>
        </a:p>
        <a:p>
          <a:r>
            <a:rPr lang="en-US" sz="1400" b="0"/>
            <a:t>Equity-heavy portfolios often deliver strong long-term returns but expose investors to elevated volatility and drawdown risk. The objective of this analysis is to determine whether incorporating a defensive asset (XLU) alongside SPY can reduce portfolio risk without materially sacrificing returns, using a data-driven optimization framework.</a:t>
          </a:r>
        </a:p>
        <a:p>
          <a:endParaRPr lang="en-US" sz="1400"/>
        </a:p>
        <a:p>
          <a:r>
            <a:rPr lang="en-US" sz="1400" b="1" u="sng"/>
            <a:t>Key Results</a:t>
          </a:r>
        </a:p>
        <a:p>
          <a:pPr marL="285750" indent="-285750">
            <a:buFont typeface="Arial" panose="020B0604020202020204" pitchFamily="34" charset="0"/>
            <a:buChar char="•"/>
          </a:pPr>
          <a:r>
            <a:rPr lang="en-US" sz="1400" b="0"/>
            <a:t>Optimal Allocation (Minimum Variance):</a:t>
          </a:r>
        </a:p>
        <a:p>
          <a:pPr marL="742950" lvl="1" indent="-285750">
            <a:buFont typeface="Arial" panose="020B0604020202020204" pitchFamily="34" charset="0"/>
            <a:buChar char="•"/>
          </a:pPr>
          <a:r>
            <a:rPr lang="en-US" sz="1400" b="0"/>
            <a:t>SPY: 95.3%</a:t>
          </a:r>
        </a:p>
        <a:p>
          <a:pPr marL="742950" lvl="1" indent="-285750">
            <a:buFont typeface="Arial" panose="020B0604020202020204" pitchFamily="34" charset="0"/>
            <a:buChar char="•"/>
          </a:pPr>
          <a:r>
            <a:rPr lang="en-US" sz="1400" b="0"/>
            <a:t>XLU: 4.7%</a:t>
          </a:r>
        </a:p>
        <a:p>
          <a:pPr marL="285750" indent="-285750">
            <a:buFont typeface="Arial" panose="020B0604020202020204" pitchFamily="34" charset="0"/>
            <a:buChar char="•"/>
          </a:pPr>
          <a:r>
            <a:rPr lang="en-US" sz="1400" b="0"/>
            <a:t>Annualized Return: 12.0%</a:t>
          </a:r>
        </a:p>
        <a:p>
          <a:pPr marL="285750" indent="-285750">
            <a:buFont typeface="Arial" panose="020B0604020202020204" pitchFamily="34" charset="0"/>
            <a:buChar char="•"/>
          </a:pPr>
          <a:r>
            <a:rPr lang="en-US" sz="1400" b="0"/>
            <a:t>Annualized Volatility: 16.7%</a:t>
          </a:r>
        </a:p>
        <a:p>
          <a:pPr marL="285750" indent="-285750">
            <a:buFont typeface="Arial" panose="020B0604020202020204" pitchFamily="34" charset="0"/>
            <a:buChar char="•"/>
          </a:pPr>
          <a:r>
            <a:rPr lang="en-US" sz="1400" b="0"/>
            <a:t>Sharpe Ratio: 0.72 (risk-free rate assumed at 0%)</a:t>
          </a:r>
        </a:p>
        <a:p>
          <a:pPr marL="285750" indent="-285750">
            <a:buFont typeface="Arial" panose="020B0604020202020204" pitchFamily="34" charset="0"/>
            <a:buChar char="•"/>
          </a:pPr>
          <a:r>
            <a:rPr lang="en-US" sz="1400" b="0"/>
            <a:t>SPY–XLU Correlation: 0.48</a:t>
          </a:r>
        </a:p>
        <a:p>
          <a:pPr marL="285750" indent="-285750">
            <a:buFont typeface="Arial" panose="020B0604020202020204" pitchFamily="34" charset="0"/>
            <a:buChar char="•"/>
          </a:pPr>
          <a:endParaRPr lang="en-US" sz="1400" b="0"/>
        </a:p>
        <a:p>
          <a:pPr marL="0" indent="0">
            <a:buFont typeface="Arial" panose="020B0604020202020204" pitchFamily="34" charset="0"/>
            <a:buNone/>
          </a:pPr>
          <a:r>
            <a:rPr lang="en-US" sz="1400" b="0"/>
            <a:t>Despite SPY dominating long-term growth, the inclusion of XLU provides measurable diversification benefits, reducing total portfolio variance while maintaining nearly the full return profile of an equity-only strategy.</a:t>
          </a:r>
        </a:p>
        <a:p>
          <a:br>
            <a:rPr lang="en-US" sz="1400"/>
          </a:br>
          <a:endParaRPr lang="en-US" sz="1400"/>
        </a:p>
        <a:p>
          <a:r>
            <a:rPr lang="en-US" sz="1400" b="1" u="sng"/>
            <a:t>Methodology</a:t>
          </a:r>
        </a:p>
        <a:p>
          <a:pPr marL="285750" indent="-285750">
            <a:buFont typeface="Arial" panose="020B0604020202020204" pitchFamily="34" charset="0"/>
            <a:buChar char="•"/>
          </a:pPr>
          <a:r>
            <a:rPr lang="en-US" sz="1400" b="0"/>
            <a:t>Data Source: Daily adjusted closing prices for SPY and XLU (Dec 2020 – Dec 2025), sourced from Yahoo Finance</a:t>
          </a:r>
        </a:p>
        <a:p>
          <a:pPr marL="285750" indent="-285750">
            <a:buFont typeface="Arial" panose="020B0604020202020204" pitchFamily="34" charset="0"/>
            <a:buChar char="•"/>
          </a:pPr>
          <a:r>
            <a:rPr lang="en-US" sz="1400" b="0"/>
            <a:t>Return Calculation: Logarithmic returns (ln(Pₜ / Pₜ₋₁))</a:t>
          </a:r>
        </a:p>
        <a:p>
          <a:pPr marL="285750" indent="-285750">
            <a:buFont typeface="Arial" panose="020B0604020202020204" pitchFamily="34" charset="0"/>
            <a:buChar char="•"/>
          </a:pPr>
          <a:r>
            <a:rPr lang="en-US" sz="1400" b="0"/>
            <a:t>Risk Modeling: Annualized volatility using √252 scaling</a:t>
          </a:r>
        </a:p>
        <a:p>
          <a:pPr marL="285750" indent="-285750">
            <a:buFont typeface="Arial" panose="020B0604020202020204" pitchFamily="34" charset="0"/>
            <a:buChar char="•"/>
          </a:pPr>
          <a:r>
            <a:rPr lang="en-US" sz="1400" b="0"/>
            <a:t>Optimization Framework: Mean–Variance Optimization</a:t>
          </a:r>
        </a:p>
        <a:p>
          <a:pPr marL="285750" indent="-285750">
            <a:buFont typeface="Arial" panose="020B0604020202020204" pitchFamily="34" charset="0"/>
            <a:buChar char="•"/>
          </a:pPr>
          <a:r>
            <a:rPr lang="en-US" sz="1400" b="0"/>
            <a:t>Solver: Excel GRG Non-Linear Solver</a:t>
          </a:r>
        </a:p>
        <a:p>
          <a:pPr marL="285750" indent="-285750">
            <a:buFont typeface="Arial" panose="020B0604020202020204" pitchFamily="34" charset="0"/>
            <a:buChar char="•"/>
          </a:pPr>
          <a:r>
            <a:rPr lang="en-US" sz="1400" b="0"/>
            <a:t>Objective: Minimize portfolio variance subject to full investment and non-negative weights</a:t>
          </a:r>
        </a:p>
        <a:p>
          <a:r>
            <a:rPr lang="en-US" sz="1400" b="0"/>
            <a:t>The efficient frontier was constructed by evaluating portfolio return–risk combinations across varying SPY/XLU weightings.</a:t>
          </a:r>
        </a:p>
        <a:p>
          <a:br>
            <a:rPr lang="en-US" sz="1400" b="0"/>
          </a:br>
          <a:endParaRPr lang="en-US" sz="1400" b="0"/>
        </a:p>
        <a:p>
          <a:r>
            <a:rPr lang="en-US" sz="1400" b="1" u="sng"/>
            <a:t>Visual Analysis</a:t>
          </a:r>
        </a:p>
        <a:p>
          <a:r>
            <a:rPr lang="en-US" sz="1400" b="0"/>
            <a:t>The analysis includes:</a:t>
          </a:r>
        </a:p>
        <a:p>
          <a:pPr marL="285750" indent="-285750">
            <a:buFont typeface="Arial" panose="020B0604020202020204" pitchFamily="34" charset="0"/>
            <a:buChar char="•"/>
          </a:pPr>
          <a:r>
            <a:rPr lang="en-US" sz="1400" b="0"/>
            <a:t>Indexed growth of a $1 investment (SPY vs XLU)</a:t>
          </a:r>
        </a:p>
        <a:p>
          <a:pPr marL="285750" indent="-285750">
            <a:buFont typeface="Arial" panose="020B0604020202020204" pitchFamily="34" charset="0"/>
            <a:buChar char="•"/>
          </a:pPr>
          <a:r>
            <a:rPr lang="en-US" sz="1400" b="0"/>
            <a:t>Minimum-variance portfolio allocation</a:t>
          </a:r>
        </a:p>
        <a:p>
          <a:pPr marL="285750" indent="-285750">
            <a:buFont typeface="Arial" panose="020B0604020202020204" pitchFamily="34" charset="0"/>
            <a:buChar char="•"/>
          </a:pPr>
          <a:r>
            <a:rPr lang="en-US" sz="1400" b="0"/>
            <a:t>Efficient frontier of SPY/XLU portfolios</a:t>
          </a:r>
        </a:p>
        <a:p>
          <a:r>
            <a:rPr lang="en-US" sz="1400" b="0"/>
            <a:t>All visuals are exported from Excel and included as images in this repository.</a:t>
          </a:r>
        </a:p>
        <a:p>
          <a:br>
            <a:rPr lang="en-US" sz="1400"/>
          </a:br>
          <a:endParaRPr lang="en-US" sz="1400"/>
        </a:p>
        <a:p>
          <a:r>
            <a:rPr lang="en-US" sz="1400" b="1" u="sng"/>
            <a:t>Tools Used</a:t>
          </a:r>
        </a:p>
        <a:p>
          <a:pPr marL="285750" indent="-285750">
            <a:buFont typeface="Arial" panose="020B0604020202020204" pitchFamily="34" charset="0"/>
            <a:buChar char="•"/>
          </a:pPr>
          <a:r>
            <a:rPr lang="en-US" sz="1400" b="0"/>
            <a:t>Excel</a:t>
          </a:r>
        </a:p>
        <a:p>
          <a:pPr marL="742950" lvl="1" indent="-285750">
            <a:buFont typeface="Arial" panose="020B0604020202020204" pitchFamily="34" charset="0"/>
            <a:buChar char="•"/>
          </a:pPr>
          <a:r>
            <a:rPr lang="en-US" sz="1400" b="0"/>
            <a:t>Return and volatility modeling</a:t>
          </a:r>
        </a:p>
        <a:p>
          <a:pPr marL="742950" lvl="1" indent="-285750">
            <a:buFont typeface="Arial" panose="020B0604020202020204" pitchFamily="34" charset="0"/>
            <a:buChar char="•"/>
          </a:pPr>
          <a:r>
            <a:rPr lang="en-US" sz="1400" b="0"/>
            <a:t>Correlation and covariance analysis</a:t>
          </a:r>
        </a:p>
        <a:p>
          <a:pPr marL="742950" lvl="1" indent="-285750">
            <a:buFont typeface="Arial" panose="020B0604020202020204" pitchFamily="34" charset="0"/>
            <a:buChar char="•"/>
          </a:pPr>
          <a:r>
            <a:rPr lang="en-US" sz="1400" b="0"/>
            <a:t>Solver-based portfolio optimization</a:t>
          </a:r>
        </a:p>
        <a:p>
          <a:pPr marL="742950" lvl="1" indent="-285750">
            <a:buFont typeface="Arial" panose="020B0604020202020204" pitchFamily="34" charset="0"/>
            <a:buChar char="•"/>
          </a:pPr>
          <a:r>
            <a:rPr lang="en-US" sz="1400" b="0"/>
            <a:t>Dashboard visualization</a:t>
          </a:r>
        </a:p>
        <a:p>
          <a:br>
            <a:rPr lang="en-US" sz="1400"/>
          </a:br>
          <a:endParaRPr lang="en-US" sz="1400"/>
        </a:p>
        <a:p>
          <a:r>
            <a:rPr lang="en-US" sz="1400" b="1" u="sng"/>
            <a:t>Files in This Repository</a:t>
          </a:r>
        </a:p>
        <a:p>
          <a:pPr marL="285750" indent="-285750">
            <a:buFont typeface="Arial" panose="020B0604020202020204" pitchFamily="34" charset="0"/>
            <a:buChar char="•"/>
          </a:pPr>
          <a:r>
            <a:rPr lang="en-US" sz="1400" b="0">
              <a:solidFill>
                <a:schemeClr val="dk1"/>
              </a:solidFill>
              <a:latin typeface="+mn-lt"/>
              <a:ea typeface="+mn-ea"/>
              <a:cs typeface="+mn-cs"/>
            </a:rPr>
            <a:t>SPY_XLU_Portfolio_Optimization_Web.xlsx</a:t>
          </a:r>
          <a:br>
            <a:rPr lang="en-US" sz="1400" b="0"/>
          </a:br>
          <a:r>
            <a:rPr lang="en-US" sz="1400" b="0"/>
            <a:t>→ Clean, presentation-ready Excel file containing:</a:t>
          </a:r>
        </a:p>
        <a:p>
          <a:pPr marL="742950" lvl="1" indent="-285750">
            <a:buFont typeface="Arial" panose="020B0604020202020204" pitchFamily="34" charset="0"/>
            <a:buChar char="•"/>
          </a:pPr>
          <a:r>
            <a:rPr lang="en-US" sz="1400" b="0"/>
            <a:t>Analysis dashboard</a:t>
          </a:r>
        </a:p>
        <a:p>
          <a:pPr marL="742950" lvl="1" indent="-285750">
            <a:buFont typeface="Arial" panose="020B0604020202020204" pitchFamily="34" charset="0"/>
            <a:buChar char="•"/>
          </a:pPr>
          <a:r>
            <a:rPr lang="en-US" sz="1400" b="0"/>
            <a:t>Optimization methodology</a:t>
          </a:r>
        </a:p>
        <a:p>
          <a:pPr marL="742950" lvl="1" indent="-285750">
            <a:buFont typeface="Arial" panose="020B0604020202020204" pitchFamily="34" charset="0"/>
            <a:buChar char="•"/>
          </a:pPr>
          <a:r>
            <a:rPr lang="en-US" sz="1400" b="0"/>
            <a:t>Supporting calculations</a:t>
          </a:r>
        </a:p>
        <a:p>
          <a:pPr marL="285750" indent="-285750">
            <a:buFont typeface="Arial" panose="020B0604020202020204" pitchFamily="34" charset="0"/>
            <a:buChar char="•"/>
          </a:pPr>
          <a:r>
            <a:rPr lang="en-US" sz="1400" b="0">
              <a:solidFill>
                <a:schemeClr val="dk1"/>
              </a:solidFill>
              <a:latin typeface="+mn-lt"/>
              <a:ea typeface="+mn-ea"/>
              <a:cs typeface="+mn-cs"/>
            </a:rPr>
            <a:t>assets/img/</a:t>
          </a:r>
          <a:br>
            <a:rPr lang="en-US" sz="1400" b="0"/>
          </a:br>
          <a:r>
            <a:rPr lang="en-US" sz="1400" b="0"/>
            <a:t>→ Exported charts used in this README</a:t>
          </a:r>
        </a:p>
        <a:p>
          <a:br>
            <a:rPr lang="en-US" sz="1400"/>
          </a:br>
          <a:endParaRPr lang="en-US" sz="1400" u="sng"/>
        </a:p>
        <a:p>
          <a:r>
            <a:rPr lang="en-US" sz="1400" b="1" u="sng"/>
            <a:t>Key Takeaway</a:t>
          </a:r>
        </a:p>
        <a:p>
          <a:r>
            <a:rPr lang="en-US" sz="1400" b="0"/>
            <a:t>Even a small allocation to a defensive sector ETF can meaningfully improve portfolio risk efficiency. This project demonstrates how quantitative portfolio construction techniques can support more informed asset allocation decisions in real-world investment contexts.</a:t>
          </a:r>
        </a:p>
        <a:p>
          <a:endParaRPr 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23812</xdr:colOff>
      <xdr:row>2</xdr:row>
      <xdr:rowOff>23813</xdr:rowOff>
    </xdr:from>
    <xdr:to>
      <xdr:col>0</xdr:col>
      <xdr:colOff>8734234</xdr:colOff>
      <xdr:row>24</xdr:row>
      <xdr:rowOff>121349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050EDE6B-0D4F-416E-8EF2-61A6EF822BB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23812</xdr:colOff>
      <xdr:row>51</xdr:row>
      <xdr:rowOff>65275</xdr:rowOff>
    </xdr:from>
    <xdr:to>
      <xdr:col>0</xdr:col>
      <xdr:colOff>8729751</xdr:colOff>
      <xdr:row>73</xdr:row>
      <xdr:rowOff>162811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9308497C-1BF1-4B67-8A0D-E620C61B873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23812</xdr:colOff>
      <xdr:row>26</xdr:row>
      <xdr:rowOff>151000</xdr:rowOff>
    </xdr:from>
    <xdr:to>
      <xdr:col>0</xdr:col>
      <xdr:colOff>8734234</xdr:colOff>
      <xdr:row>49</xdr:row>
      <xdr:rowOff>58036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B6C37315-4339-4AEF-A088-58BE06CE4B3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66674</xdr:rowOff>
    </xdr:from>
    <xdr:to>
      <xdr:col>19</xdr:col>
      <xdr:colOff>123825</xdr:colOff>
      <xdr:row>46</xdr:row>
      <xdr:rowOff>95250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ABDC05A8-BF23-0EDA-544E-38024610758E}"/>
            </a:ext>
          </a:extLst>
        </xdr:cNvPr>
        <xdr:cNvSpPr txBox="1"/>
      </xdr:nvSpPr>
      <xdr:spPr>
        <a:xfrm>
          <a:off x="0" y="66674"/>
          <a:ext cx="11706225" cy="879157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4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Methodology &amp; Optimization Approach</a:t>
          </a:r>
          <a:endParaRPr lang="en-US" sz="1400">
            <a:effectLst/>
          </a:endParaRPr>
        </a:p>
        <a:p>
          <a:br>
            <a:rPr lang="en-US" sz="14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r>
            <a:rPr lang="en-US" sz="1400" b="1"/>
            <a:t>Objective:</a:t>
          </a:r>
          <a:br>
            <a:rPr lang="en-US" sz="1400"/>
          </a:br>
          <a:r>
            <a:rPr lang="en-US" sz="1400"/>
            <a:t>To perform a Mean–Variance Optimization (MVO) on a two-asset portfolio (SPY and XLU) to identify the optimal risk-adjusted allocation over a five-year historical horizon.</a:t>
          </a:r>
        </a:p>
        <a:p>
          <a:endParaRPr lang="en-US" sz="1400"/>
        </a:p>
        <a:p>
          <a:r>
            <a:rPr lang="en-US" sz="1400" b="1"/>
            <a:t>Data Source:</a:t>
          </a:r>
          <a:br>
            <a:rPr lang="en-US" sz="1400"/>
          </a:br>
          <a:r>
            <a:rPr lang="en-US" sz="1400"/>
            <a:t>Historical adjusted closing prices from December 2020 through December 2025, sourced via Yahoo Finance. The dataset includes approximately 1,250 daily observations per asset.</a:t>
          </a:r>
        </a:p>
        <a:p>
          <a:endParaRPr lang="en-US" sz="1400"/>
        </a:p>
        <a:p>
          <a:r>
            <a:rPr lang="en-US" sz="1400" b="1"/>
            <a:t>Return Calculation:</a:t>
          </a:r>
          <a:br>
            <a:rPr lang="en-US" sz="1400"/>
          </a:br>
          <a:r>
            <a:rPr lang="en-US" sz="1400"/>
            <a:t>Logarithmic returns were used throughout the analysis, calculated as ln(Pₜ / Pₜ₋₁). Log returns ensure time additivity across the analysis period and appropriately capture volatility effects in the growth-of-$1 simulation.</a:t>
          </a:r>
        </a:p>
        <a:p>
          <a:endParaRPr lang="en-US" sz="1400"/>
        </a:p>
        <a:p>
          <a:r>
            <a:rPr lang="en-US" sz="1400" b="1"/>
            <a:t>Risk Modeling:</a:t>
          </a:r>
          <a:br>
            <a:rPr lang="en-US" sz="1400"/>
          </a:br>
          <a:r>
            <a:rPr lang="en-US" sz="1400"/>
            <a:t>Portfolio risk was measured using annualized volatility. Daily return standard deviations were scaled to an annual level using the √252 convention to ensure comparability with annualized expected returns.</a:t>
          </a:r>
        </a:p>
        <a:p>
          <a:endParaRPr lang="en-US" sz="1400"/>
        </a:p>
        <a:p>
          <a:r>
            <a:rPr lang="en-US" sz="1400" b="1"/>
            <a:t>Covariance &amp; Correlation:</a:t>
          </a:r>
          <a:br>
            <a:rPr lang="en-US" sz="1400"/>
          </a:br>
          <a:r>
            <a:rPr lang="en-US" sz="1400"/>
            <a:t>The empirical correlation between SPY and XLU was estimated at 0.476, indicating a moderate positive relationship. This correlation enables diversification benefits that reduce overall portfolio volatility relative to a single-asset allocation.</a:t>
          </a:r>
        </a:p>
        <a:p>
          <a:endParaRPr lang="en-US" sz="1400"/>
        </a:p>
        <a:p>
          <a:r>
            <a:rPr lang="en-US" sz="1400" b="1"/>
            <a:t>Optimization Approach:</a:t>
          </a:r>
          <a:br>
            <a:rPr lang="en-US" sz="1400"/>
          </a:br>
          <a:r>
            <a:rPr lang="en-US" sz="1400"/>
            <a:t>Portfolio weights were optimized using Excel’s GRG Non-Linear Solver. The objective function minimized portfolio variance subject to full investment and non-negative weight constraints. The resulting allocation corresponds to the minimum-variance portfolio along the efficient frontier.</a:t>
          </a:r>
        </a:p>
        <a:p>
          <a:endParaRPr lang="en-US" sz="1400"/>
        </a:p>
      </xdr:txBody>
    </xdr:sp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AEAE689E-4194-439D-99D3-7CE21A8E14EF}" autoFormatId="16" applyNumberFormats="0" applyBorderFormats="0" applyFontFormats="0" applyPatternFormats="0" applyAlignmentFormats="0" applyWidthHeightFormats="0">
  <queryTableRefresh nextId="7">
    <queryTableFields count="6">
      <queryTableField id="1" name="Date" tableColumnId="1"/>
      <queryTableField id="2" name="Close/Last" tableColumnId="2"/>
      <queryTableField id="3" name="Volume" tableColumnId="3"/>
      <queryTableField id="4" name="Open" tableColumnId="4"/>
      <queryTableField id="5" name="High" tableColumnId="5"/>
      <queryTableField id="6" name="Low" tableColumnId="6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EF199DD8-2389-47EF-BE94-063421A16B18}" autoFormatId="16" applyNumberFormats="0" applyBorderFormats="0" applyFontFormats="0" applyPatternFormats="0" applyAlignmentFormats="0" applyWidthHeightFormats="0">
  <queryTableRefresh nextId="7">
    <queryTableFields count="6">
      <queryTableField id="1" name="Date" tableColumnId="1"/>
      <queryTableField id="2" name="Close/Last" tableColumnId="2"/>
      <queryTableField id="3" name="Volume" tableColumnId="3"/>
      <queryTableField id="4" name="Open" tableColumnId="4"/>
      <queryTableField id="5" name="High" tableColumnId="5"/>
      <queryTableField id="6" name="Low" tableColumnId="6"/>
    </queryTableFields>
  </queryTableRefresh>
</queryTable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24D07C2-F7F3-4C13-B9AA-0333D5A33F27}" name="Table3" displayName="Table3" ref="A1:E1256" totalsRowShown="0">
  <autoFilter ref="A1:E1256" xr:uid="{724D07C2-F7F3-4C13-B9AA-0333D5A33F27}"/>
  <tableColumns count="5">
    <tableColumn id="1" xr3:uid="{127DA534-D2AD-4067-8D82-A308CD5DD137}" name="Date" dataDxfId="4"/>
    <tableColumn id="2" xr3:uid="{451CC3A1-E2F5-4814-8EBC-6E2BD762005F}" name="SPY Price" dataDxfId="5" dataCellStyle="Currency"/>
    <tableColumn id="3" xr3:uid="{EAD03FD1-0747-434C-A0B2-73163C04BB63}" name="XLU Price" dataDxfId="3" dataCellStyle="Currency"/>
    <tableColumn id="4" xr3:uid="{4FA5C379-BB70-4BAD-8D71-B3E5C07D6828}" name="SPY Return" dataDxfId="2" dataCellStyle="Percent">
      <calculatedColumnFormula>LN(B3/B2)</calculatedColumnFormula>
    </tableColumn>
    <tableColumn id="5" xr3:uid="{B65C0767-602B-41C0-9E2C-2A0316BA38BD}" name="XLU Return" dataDxfId="1" dataCellStyle="Percent">
      <calculatedColumnFormula>LN(C3/C2)</calculatedColumnFormula>
    </tableColumn>
  </tableColumns>
  <tableStyleInfo name="TableStyleLight2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B831418E-3828-4F93-86D2-B39CA00B4683}" name="Table46" displayName="Table46" ref="A1:C1256" totalsRowShown="0">
  <autoFilter ref="A1:C1256" xr:uid="{B831418E-3828-4F93-86D2-B39CA00B4683}"/>
  <tableColumns count="3">
    <tableColumn id="1" xr3:uid="{173AAC00-CDBD-466F-938A-EADB6EE1E409}" name="Date" dataDxfId="0">
      <calculatedColumnFormula>Risk_Analysis!A2</calculatedColumnFormula>
    </tableColumn>
    <tableColumn id="2" xr3:uid="{73093EBE-8591-4C79-9CCB-46E94ADB82C6}" name="SPY ($1)" dataCellStyle="Currency">
      <calculatedColumnFormula>B1 * EXP(Risk_Analysis!D2)</calculatedColumnFormula>
    </tableColumn>
    <tableColumn id="3" xr3:uid="{FECA781A-94FC-4E9F-912F-152E10710987}" name="XLU ($1)" dataCellStyle="Currency">
      <calculatedColumnFormula>C1 * EXP(Risk_Analysis!E2)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B5B09B8-2478-4832-AC0C-3910F7E150C2}" name="SPY_Historical_Data" displayName="SPY_Historical_Data" ref="A1:F1256" tableType="queryTable" totalsRowShown="0">
  <autoFilter ref="A1:F1256" xr:uid="{BB5B09B8-2478-4832-AC0C-3910F7E150C2}"/>
  <sortState xmlns:xlrd2="http://schemas.microsoft.com/office/spreadsheetml/2017/richdata2" ref="A2:F1256">
    <sortCondition ref="A1:A1256"/>
  </sortState>
  <tableColumns count="6">
    <tableColumn id="1" xr3:uid="{91CB1124-CE61-40F1-867D-343C67FE52DC}" uniqueName="1" name="Date" queryTableFieldId="1" dataDxfId="7"/>
    <tableColumn id="2" xr3:uid="{DE8A7773-B976-4734-85CD-658002934C07}" uniqueName="2" name="Close/Last" queryTableFieldId="2"/>
    <tableColumn id="3" xr3:uid="{D5D3F751-486A-4AFD-A1CF-3C23D23CC3B0}" uniqueName="3" name="Volume" queryTableFieldId="3"/>
    <tableColumn id="4" xr3:uid="{46690C51-69BB-4436-BF2A-0FB7C4613BEA}" uniqueName="4" name="Open" queryTableFieldId="4"/>
    <tableColumn id="5" xr3:uid="{94A9102F-C67F-41E9-9818-EA1E38B15597}" uniqueName="5" name="High" queryTableFieldId="5"/>
    <tableColumn id="6" xr3:uid="{B9D45B08-360B-4A6F-8FD5-86352182816B}" uniqueName="6" name="Low" queryTableFieldId="6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27F316E-ADDD-4E14-B0B1-F0A409F973AB}" name="XLU_Historical_Data" displayName="XLU_Historical_Data" ref="A1:F1256" tableType="queryTable" totalsRowShown="0">
  <autoFilter ref="A1:F1256" xr:uid="{A27F316E-ADDD-4E14-B0B1-F0A409F973AB}"/>
  <sortState xmlns:xlrd2="http://schemas.microsoft.com/office/spreadsheetml/2017/richdata2" ref="A2:F1256">
    <sortCondition ref="A1:A1256"/>
  </sortState>
  <tableColumns count="6">
    <tableColumn id="1" xr3:uid="{A049DFDE-4F8E-4F69-8169-A6A8199D95A4}" uniqueName="1" name="Date" queryTableFieldId="1" dataDxfId="6"/>
    <tableColumn id="2" xr3:uid="{59B64F00-2F8E-492F-9B6E-C7E3025869C2}" uniqueName="2" name="Close/Last" queryTableFieldId="2"/>
    <tableColumn id="3" xr3:uid="{31893FEA-A134-4208-B82F-C38FFF57A5B6}" uniqueName="3" name="Volume" queryTableFieldId="3"/>
    <tableColumn id="4" xr3:uid="{808AD35A-2410-4B91-B433-6776766998F1}" uniqueName="4" name="Open" queryTableFieldId="4"/>
    <tableColumn id="5" xr3:uid="{F1C0C51F-D174-4593-9331-E5AEB73099F8}" uniqueName="5" name="High" queryTableFieldId="5"/>
    <tableColumn id="6" xr3:uid="{D3754831-933B-43A1-A934-A329ED7EB8FC}" uniqueName="6" name="Low" queryTableFieldId="6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4140EA-9E01-4AB1-AD77-5A2129F3415E}">
  <dimension ref="A1"/>
  <sheetViews>
    <sheetView tabSelected="1" topLeftCell="A7" zoomScale="70" zoomScaleNormal="70" workbookViewId="0">
      <selection activeCell="J85" sqref="J85"/>
    </sheetView>
  </sheetViews>
  <sheetFormatPr defaultRowHeight="15" x14ac:dyDescent="0.25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133671-0685-477D-BA09-B9783A1CE292}">
  <dimension ref="A1:E11"/>
  <sheetViews>
    <sheetView zoomScale="70" zoomScaleNormal="70" workbookViewId="0">
      <selection sqref="A1:C1"/>
    </sheetView>
  </sheetViews>
  <sheetFormatPr defaultRowHeight="15" x14ac:dyDescent="0.25"/>
  <cols>
    <col min="1" max="1" width="137.42578125" customWidth="1"/>
    <col min="2" max="2" width="33.85546875" bestFit="1" customWidth="1"/>
    <col min="3" max="3" width="23" customWidth="1"/>
    <col min="4" max="4" width="20.7109375" style="3" bestFit="1" customWidth="1"/>
    <col min="5" max="5" width="9.7109375" style="3" customWidth="1"/>
    <col min="7" max="7" width="11.140625" customWidth="1"/>
    <col min="8" max="8" width="10.85546875" bestFit="1" customWidth="1"/>
  </cols>
  <sheetData>
    <row r="1" spans="1:3" ht="26.25" x14ac:dyDescent="0.4">
      <c r="A1" s="15" t="s">
        <v>37</v>
      </c>
      <c r="B1" s="14"/>
      <c r="C1" s="14"/>
    </row>
    <row r="2" spans="1:3" ht="24" x14ac:dyDescent="0.4">
      <c r="A2" s="10"/>
      <c r="B2" s="13"/>
      <c r="C2" s="13"/>
    </row>
    <row r="3" spans="1:3" ht="24" x14ac:dyDescent="0.4">
      <c r="B3" s="11"/>
      <c r="C3" s="12"/>
    </row>
    <row r="4" spans="1:3" ht="24" x14ac:dyDescent="0.4">
      <c r="B4" s="7"/>
      <c r="C4" s="7"/>
    </row>
    <row r="5" spans="1:3" ht="24" x14ac:dyDescent="0.4">
      <c r="B5" s="5" t="s">
        <v>34</v>
      </c>
      <c r="C5" s="6">
        <f>Risk_Analysis!$M$3</f>
        <v>0.95274446117957912</v>
      </c>
    </row>
    <row r="6" spans="1:3" ht="24" x14ac:dyDescent="0.4">
      <c r="B6" s="5" t="s">
        <v>35</v>
      </c>
      <c r="C6" s="6">
        <f>Risk_Analysis!$M$4</f>
        <v>4.7255538820420648E-2</v>
      </c>
    </row>
    <row r="7" spans="1:3" ht="24" x14ac:dyDescent="0.4">
      <c r="B7" s="5"/>
      <c r="C7" s="5"/>
    </row>
    <row r="8" spans="1:3" ht="24" x14ac:dyDescent="0.4">
      <c r="B8" s="5" t="s">
        <v>32</v>
      </c>
      <c r="C8" s="6">
        <f>Risk_Analysis!M7</f>
        <v>0.12003075925559291</v>
      </c>
    </row>
    <row r="9" spans="1:3" ht="24" x14ac:dyDescent="0.4">
      <c r="B9" s="5" t="s">
        <v>16</v>
      </c>
      <c r="C9" s="6">
        <f>Risk_Analysis!M8</f>
        <v>0.16733700095843079</v>
      </c>
    </row>
    <row r="10" spans="1:3" ht="24" x14ac:dyDescent="0.4">
      <c r="B10" s="5" t="s">
        <v>33</v>
      </c>
      <c r="C10" s="8">
        <f>Risk_Analysis!M9</f>
        <v>0.71729957252795806</v>
      </c>
    </row>
    <row r="11" spans="1:3" ht="24" x14ac:dyDescent="0.4">
      <c r="B11" s="5" t="s">
        <v>36</v>
      </c>
      <c r="C11" s="8">
        <f>Risk_Analysis!H6</f>
        <v>0.47589112291223779</v>
      </c>
    </row>
  </sheetData>
  <mergeCells count="1">
    <mergeCell ref="A1:C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F77374-9D74-4764-8F82-2C5B141308F6}">
  <dimension ref="A1"/>
  <sheetViews>
    <sheetView workbookViewId="0">
      <selection activeCell="Q16" sqref="Q16"/>
    </sheetView>
  </sheetViews>
  <sheetFormatPr defaultRowHeight="15" x14ac:dyDescent="0.25"/>
  <sheetData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099711-AF57-4A93-8F52-6CCBC44C6F48}">
  <dimension ref="A1:M1256"/>
  <sheetViews>
    <sheetView zoomScaleNormal="100" workbookViewId="0">
      <selection activeCell="I19" sqref="I19"/>
    </sheetView>
  </sheetViews>
  <sheetFormatPr defaultRowHeight="15" x14ac:dyDescent="0.25"/>
  <cols>
    <col min="1" max="1" width="11.28515625" bestFit="1" customWidth="1"/>
    <col min="2" max="3" width="11" style="4" customWidth="1"/>
    <col min="4" max="5" width="14" style="3" bestFit="1" customWidth="1"/>
    <col min="6" max="6" width="10.5703125" bestFit="1" customWidth="1"/>
    <col min="7" max="7" width="24.7109375" bestFit="1" customWidth="1"/>
    <col min="8" max="8" width="10.28515625" customWidth="1"/>
    <col min="9" max="9" width="10.5703125" customWidth="1"/>
    <col min="12" max="12" width="21.85546875" bestFit="1" customWidth="1"/>
    <col min="13" max="13" width="10.7109375" bestFit="1" customWidth="1"/>
    <col min="14" max="14" width="11" bestFit="1" customWidth="1"/>
  </cols>
  <sheetData>
    <row r="1" spans="1:13" x14ac:dyDescent="0.25">
      <c r="A1" t="s">
        <v>0</v>
      </c>
      <c r="B1" s="4" t="s">
        <v>1</v>
      </c>
      <c r="C1" s="4" t="s">
        <v>2</v>
      </c>
      <c r="D1" s="3" t="s">
        <v>3</v>
      </c>
      <c r="E1" s="3" t="s">
        <v>4</v>
      </c>
      <c r="G1" t="s">
        <v>10</v>
      </c>
      <c r="L1" t="s">
        <v>19</v>
      </c>
      <c r="M1" t="s">
        <v>20</v>
      </c>
    </row>
    <row r="2" spans="1:13" x14ac:dyDescent="0.25">
      <c r="A2" s="1">
        <v>44181</v>
      </c>
      <c r="B2" s="4">
        <v>370.17</v>
      </c>
      <c r="C2" s="4">
        <v>31.204999999999998</v>
      </c>
      <c r="G2" t="s">
        <v>11</v>
      </c>
      <c r="H2" t="s">
        <v>12</v>
      </c>
      <c r="I2" t="s">
        <v>13</v>
      </c>
    </row>
    <row r="3" spans="1:13" x14ac:dyDescent="0.25">
      <c r="A3" s="1">
        <v>44182</v>
      </c>
      <c r="B3" s="4">
        <v>372.24</v>
      </c>
      <c r="C3" s="4">
        <v>31.414999999999999</v>
      </c>
      <c r="D3" s="3">
        <f>LN(B3/B2)</f>
        <v>5.5764479578410157E-3</v>
      </c>
      <c r="E3" s="3">
        <f>LN(C3/C2)</f>
        <v>6.7071474689040502E-3</v>
      </c>
      <c r="G3" t="s">
        <v>15</v>
      </c>
      <c r="H3" s="3">
        <f>AVERAGE(D2:D1255)</f>
        <v>4.8740249814289575E-4</v>
      </c>
      <c r="I3" s="3">
        <f>AVERAGE(E2:E1255)</f>
        <v>2.5272183020053757E-4</v>
      </c>
      <c r="L3" t="s">
        <v>20</v>
      </c>
      <c r="M3" s="3">
        <v>0.95274446117957912</v>
      </c>
    </row>
    <row r="4" spans="1:13" x14ac:dyDescent="0.25">
      <c r="A4" s="1">
        <v>44183</v>
      </c>
      <c r="B4" s="4">
        <v>369.18</v>
      </c>
      <c r="C4" s="4">
        <v>31.145</v>
      </c>
      <c r="D4" s="3">
        <f>LN(B4/B3)</f>
        <v>-8.2544775559391832E-3</v>
      </c>
      <c r="E4" s="3">
        <f t="shared" ref="E4:E67" si="0">LN(C4/C3)</f>
        <v>-8.6317671488015234E-3</v>
      </c>
      <c r="G4" t="s">
        <v>14</v>
      </c>
      <c r="H4" s="9">
        <f>_xlfn.STDEV.S(D2:D1255)</f>
        <v>1.079664191996872E-2</v>
      </c>
      <c r="I4" s="9">
        <f>_xlfn.STDEV.S(E2:E1255)</f>
        <v>1.0897359975759822E-2</v>
      </c>
      <c r="L4" t="s">
        <v>21</v>
      </c>
      <c r="M4" s="3">
        <v>4.7255538820420648E-2</v>
      </c>
    </row>
    <row r="5" spans="1:13" x14ac:dyDescent="0.25">
      <c r="A5" s="1">
        <v>44186</v>
      </c>
      <c r="B5" s="4">
        <v>367.86</v>
      </c>
      <c r="C5" s="4">
        <v>30.51</v>
      </c>
      <c r="D5" s="3">
        <f t="shared" ref="D4:D67" si="1">LN(B5/B4)</f>
        <v>-3.5818989778023023E-3</v>
      </c>
      <c r="E5" s="3">
        <f t="shared" si="0"/>
        <v>-2.0599219977530499E-2</v>
      </c>
      <c r="G5" t="s">
        <v>16</v>
      </c>
      <c r="H5" s="9">
        <f>H4*SQRT(252)</f>
        <v>0.17139137708911298</v>
      </c>
      <c r="I5" s="9">
        <f>I4*SQRT(252)</f>
        <v>0.17299022665805608</v>
      </c>
      <c r="L5" t="s">
        <v>22</v>
      </c>
      <c r="M5">
        <f>SUM(M3:M4)</f>
        <v>0.99999999999999978</v>
      </c>
    </row>
    <row r="6" spans="1:13" x14ac:dyDescent="0.25">
      <c r="A6" s="1">
        <v>44187</v>
      </c>
      <c r="B6" s="4">
        <v>367.24</v>
      </c>
      <c r="C6" s="4">
        <v>30.45</v>
      </c>
      <c r="D6" s="3">
        <f t="shared" si="1"/>
        <v>-1.6868457271522991E-3</v>
      </c>
      <c r="E6" s="3">
        <f t="shared" si="0"/>
        <v>-1.9685045726723091E-3</v>
      </c>
      <c r="G6" t="s">
        <v>18</v>
      </c>
      <c r="H6" s="9">
        <f>CORREL(D2:D1255,E2:E1255)</f>
        <v>0.47589112291223779</v>
      </c>
    </row>
    <row r="7" spans="1:13" x14ac:dyDescent="0.25">
      <c r="A7" s="1">
        <v>44188</v>
      </c>
      <c r="B7" s="4">
        <v>367.57</v>
      </c>
      <c r="C7" s="4">
        <v>30.39</v>
      </c>
      <c r="D7" s="3">
        <f t="shared" si="1"/>
        <v>8.9819142958190087E-4</v>
      </c>
      <c r="E7" s="3">
        <f t="shared" si="0"/>
        <v>-1.972387227204235E-3</v>
      </c>
      <c r="G7" t="s">
        <v>17</v>
      </c>
      <c r="H7" s="3">
        <f xml:space="preserve"> H3*252</f>
        <v>0.12282542953200973</v>
      </c>
      <c r="I7" s="3">
        <f xml:space="preserve"> I3*252</f>
        <v>6.3685901210535467E-2</v>
      </c>
      <c r="L7" t="s">
        <v>23</v>
      </c>
      <c r="M7" s="3">
        <f>(M3*H7) + (M4*I7)</f>
        <v>0.12003075925559291</v>
      </c>
    </row>
    <row r="8" spans="1:13" x14ac:dyDescent="0.25">
      <c r="A8" s="1">
        <v>44189</v>
      </c>
      <c r="B8" s="4">
        <v>369</v>
      </c>
      <c r="C8" s="4">
        <v>30.605</v>
      </c>
      <c r="D8" s="3">
        <f t="shared" si="1"/>
        <v>3.882867335445986E-3</v>
      </c>
      <c r="E8" s="3">
        <f t="shared" si="0"/>
        <v>7.0497873743314114E-3</v>
      </c>
      <c r="L8" t="s">
        <v>24</v>
      </c>
      <c r="M8" s="3">
        <f>SQRT((M3^2*H5^2) + (M4^2*I5^2) + (2*M3*M4*H5*I5*H6))</f>
        <v>0.16733700095843079</v>
      </c>
    </row>
    <row r="9" spans="1:13" x14ac:dyDescent="0.25">
      <c r="A9" s="1">
        <v>44193</v>
      </c>
      <c r="B9" s="4">
        <v>372.17</v>
      </c>
      <c r="C9" s="4">
        <v>30.74</v>
      </c>
      <c r="D9" s="3">
        <f t="shared" si="1"/>
        <v>8.5540950921466699E-3</v>
      </c>
      <c r="E9" s="3">
        <f t="shared" si="0"/>
        <v>4.4013438074166503E-3</v>
      </c>
      <c r="L9" t="s">
        <v>25</v>
      </c>
      <c r="M9" s="9">
        <f>M7/M8</f>
        <v>0.71729957252795806</v>
      </c>
    </row>
    <row r="10" spans="1:13" x14ac:dyDescent="0.25">
      <c r="A10" s="1">
        <v>44194</v>
      </c>
      <c r="B10" s="4">
        <v>371.46</v>
      </c>
      <c r="C10" s="4">
        <v>30.734999999999999</v>
      </c>
      <c r="D10" s="3">
        <f t="shared" si="1"/>
        <v>-1.9095523734781871E-3</v>
      </c>
      <c r="E10" s="3">
        <f t="shared" si="0"/>
        <v>-1.6266775147697461E-4</v>
      </c>
    </row>
    <row r="11" spans="1:13" x14ac:dyDescent="0.25">
      <c r="A11" s="1">
        <v>44195</v>
      </c>
      <c r="B11" s="4">
        <v>371.99</v>
      </c>
      <c r="C11" s="4">
        <v>30.89</v>
      </c>
      <c r="D11" s="3">
        <f t="shared" si="1"/>
        <v>1.4257854322007929E-3</v>
      </c>
      <c r="E11" s="3">
        <f t="shared" si="0"/>
        <v>5.030436571517579E-3</v>
      </c>
    </row>
    <row r="12" spans="1:13" x14ac:dyDescent="0.25">
      <c r="A12" s="1">
        <v>44196</v>
      </c>
      <c r="B12" s="4">
        <v>373.88</v>
      </c>
      <c r="C12" s="4">
        <v>31.35</v>
      </c>
      <c r="D12" s="3">
        <f t="shared" si="1"/>
        <v>5.0679181229861484E-3</v>
      </c>
      <c r="E12" s="3">
        <f t="shared" si="0"/>
        <v>1.4781760148439287E-2</v>
      </c>
    </row>
    <row r="13" spans="1:13" x14ac:dyDescent="0.25">
      <c r="A13" s="1">
        <v>44200</v>
      </c>
      <c r="B13" s="4">
        <v>368.79</v>
      </c>
      <c r="C13" s="4">
        <v>30.56</v>
      </c>
      <c r="D13" s="3">
        <f t="shared" si="1"/>
        <v>-1.3707513967023294E-2</v>
      </c>
      <c r="E13" s="3">
        <f t="shared" si="0"/>
        <v>-2.5522302780610101E-2</v>
      </c>
    </row>
    <row r="14" spans="1:13" x14ac:dyDescent="0.25">
      <c r="A14" s="1">
        <v>44201</v>
      </c>
      <c r="B14" s="4">
        <v>371.33</v>
      </c>
      <c r="C14" s="4">
        <v>30.555</v>
      </c>
      <c r="D14" s="3">
        <f t="shared" si="1"/>
        <v>6.8637787707874496E-3</v>
      </c>
      <c r="E14" s="3">
        <f t="shared" si="0"/>
        <v>-1.6362595144083202E-4</v>
      </c>
    </row>
    <row r="15" spans="1:13" x14ac:dyDescent="0.25">
      <c r="A15" s="1">
        <v>44202</v>
      </c>
      <c r="B15" s="4">
        <v>373.55</v>
      </c>
      <c r="C15" s="4">
        <v>31.315000000000001</v>
      </c>
      <c r="D15" s="3">
        <f t="shared" si="1"/>
        <v>5.9607093036633963E-3</v>
      </c>
      <c r="E15" s="3">
        <f t="shared" si="0"/>
        <v>2.4568877630497477E-2</v>
      </c>
    </row>
    <row r="16" spans="1:13" x14ac:dyDescent="0.25">
      <c r="A16" s="1">
        <v>44203</v>
      </c>
      <c r="B16" s="4">
        <v>379.1</v>
      </c>
      <c r="C16" s="4">
        <v>30.905000000000001</v>
      </c>
      <c r="D16" s="3">
        <f t="shared" si="1"/>
        <v>1.4748158100478918E-2</v>
      </c>
      <c r="E16" s="3">
        <f t="shared" si="0"/>
        <v>-1.317923286613951E-2</v>
      </c>
    </row>
    <row r="17" spans="1:5" x14ac:dyDescent="0.25">
      <c r="A17" s="1">
        <v>44204</v>
      </c>
      <c r="B17" s="4">
        <v>381.26</v>
      </c>
      <c r="C17" s="4">
        <v>31.164999999999999</v>
      </c>
      <c r="D17" s="3">
        <f t="shared" si="1"/>
        <v>5.6815345635413779E-3</v>
      </c>
      <c r="E17" s="3">
        <f t="shared" si="0"/>
        <v>8.3776871495772325E-3</v>
      </c>
    </row>
    <row r="18" spans="1:5" x14ac:dyDescent="0.25">
      <c r="A18" s="1">
        <v>44207</v>
      </c>
      <c r="B18" s="4">
        <v>378.69</v>
      </c>
      <c r="C18" s="4">
        <v>30.875</v>
      </c>
      <c r="D18" s="3">
        <f t="shared" si="1"/>
        <v>-6.7636286529505823E-3</v>
      </c>
      <c r="E18" s="3">
        <f t="shared" si="0"/>
        <v>-9.3488753126725957E-3</v>
      </c>
    </row>
    <row r="19" spans="1:5" x14ac:dyDescent="0.25">
      <c r="A19" s="1">
        <v>44208</v>
      </c>
      <c r="B19" s="4">
        <v>378.77</v>
      </c>
      <c r="C19" s="4">
        <v>30.71</v>
      </c>
      <c r="D19" s="3">
        <f t="shared" si="1"/>
        <v>2.1123227707725133E-4</v>
      </c>
      <c r="E19" s="3">
        <f t="shared" si="0"/>
        <v>-5.3584604954101936E-3</v>
      </c>
    </row>
    <row r="20" spans="1:5" x14ac:dyDescent="0.25">
      <c r="A20" s="1">
        <v>44209</v>
      </c>
      <c r="B20" s="4">
        <v>379.79</v>
      </c>
      <c r="C20" s="4">
        <v>31.31</v>
      </c>
      <c r="D20" s="3">
        <f t="shared" si="1"/>
        <v>2.6893076744144537E-3</v>
      </c>
      <c r="E20" s="3">
        <f t="shared" si="0"/>
        <v>1.9349200885583267E-2</v>
      </c>
    </row>
    <row r="21" spans="1:5" x14ac:dyDescent="0.25">
      <c r="A21" s="1">
        <v>44210</v>
      </c>
      <c r="B21" s="4">
        <v>378.46</v>
      </c>
      <c r="C21" s="4">
        <v>31.19</v>
      </c>
      <c r="D21" s="3">
        <f t="shared" si="1"/>
        <v>-3.5080814084672996E-3</v>
      </c>
      <c r="E21" s="3">
        <f t="shared" si="0"/>
        <v>-3.840004718602354E-3</v>
      </c>
    </row>
    <row r="22" spans="1:5" x14ac:dyDescent="0.25">
      <c r="A22" s="1">
        <v>44211</v>
      </c>
      <c r="B22" s="4">
        <v>375.7</v>
      </c>
      <c r="C22" s="4">
        <v>31.495000000000001</v>
      </c>
      <c r="D22" s="3">
        <f t="shared" si="1"/>
        <v>-7.3194343959810748E-3</v>
      </c>
      <c r="E22" s="3">
        <f t="shared" si="0"/>
        <v>9.731272454180399E-3</v>
      </c>
    </row>
    <row r="23" spans="1:5" x14ac:dyDescent="0.25">
      <c r="A23" s="1">
        <v>44215</v>
      </c>
      <c r="B23" s="4">
        <v>378.65</v>
      </c>
      <c r="C23" s="4">
        <v>31.375</v>
      </c>
      <c r="D23" s="3">
        <f t="shared" si="1"/>
        <v>7.8213429799083804E-3</v>
      </c>
      <c r="E23" s="3">
        <f t="shared" si="0"/>
        <v>-3.8174056219444459E-3</v>
      </c>
    </row>
    <row r="24" spans="1:5" x14ac:dyDescent="0.25">
      <c r="A24" s="1">
        <v>44216</v>
      </c>
      <c r="B24" s="4">
        <v>383.89</v>
      </c>
      <c r="C24" s="4">
        <v>31.56</v>
      </c>
      <c r="D24" s="3">
        <f t="shared" si="1"/>
        <v>1.374375765753633E-2</v>
      </c>
      <c r="E24" s="3">
        <f t="shared" si="0"/>
        <v>5.8790985257254945E-3</v>
      </c>
    </row>
    <row r="25" spans="1:5" x14ac:dyDescent="0.25">
      <c r="A25" s="1">
        <v>44217</v>
      </c>
      <c r="B25" s="4">
        <v>384.24</v>
      </c>
      <c r="C25" s="4">
        <v>31.375</v>
      </c>
      <c r="D25" s="3">
        <f t="shared" si="1"/>
        <v>9.1130413920090865E-4</v>
      </c>
      <c r="E25" s="3">
        <f t="shared" si="0"/>
        <v>-5.8790985257254789E-3</v>
      </c>
    </row>
    <row r="26" spans="1:5" x14ac:dyDescent="0.25">
      <c r="A26" s="1">
        <v>44218</v>
      </c>
      <c r="B26" s="4">
        <v>382.88</v>
      </c>
      <c r="C26" s="4">
        <v>31.42</v>
      </c>
      <c r="D26" s="3">
        <f t="shared" si="1"/>
        <v>-3.5457331965057324E-3</v>
      </c>
      <c r="E26" s="3">
        <f t="shared" si="0"/>
        <v>1.4332353755271126E-3</v>
      </c>
    </row>
    <row r="27" spans="1:5" x14ac:dyDescent="0.25">
      <c r="A27" s="1">
        <v>44221</v>
      </c>
      <c r="B27" s="4">
        <v>384.39</v>
      </c>
      <c r="C27" s="4">
        <v>32.049999999999997</v>
      </c>
      <c r="D27" s="3">
        <f t="shared" si="1"/>
        <v>3.9360380295312214E-3</v>
      </c>
      <c r="E27" s="3">
        <f t="shared" si="0"/>
        <v>1.9852550539203706E-2</v>
      </c>
    </row>
    <row r="28" spans="1:5" x14ac:dyDescent="0.25">
      <c r="A28" s="1">
        <v>44222</v>
      </c>
      <c r="B28" s="4">
        <v>383.79</v>
      </c>
      <c r="C28" s="4">
        <v>31.73</v>
      </c>
      <c r="D28" s="3">
        <f t="shared" si="1"/>
        <v>-1.5621341925411841E-3</v>
      </c>
      <c r="E28" s="3">
        <f t="shared" si="0"/>
        <v>-1.0034577771574758E-2</v>
      </c>
    </row>
    <row r="29" spans="1:5" x14ac:dyDescent="0.25">
      <c r="A29" s="1">
        <v>44223</v>
      </c>
      <c r="B29" s="4">
        <v>374.41</v>
      </c>
      <c r="C29" s="4">
        <v>30.875</v>
      </c>
      <c r="D29" s="3">
        <f t="shared" si="1"/>
        <v>-2.474407434859666E-2</v>
      </c>
      <c r="E29" s="3">
        <f t="shared" si="0"/>
        <v>-2.7315810646962979E-2</v>
      </c>
    </row>
    <row r="30" spans="1:5" x14ac:dyDescent="0.25">
      <c r="A30" s="1">
        <v>44224</v>
      </c>
      <c r="B30" s="4">
        <v>377.63</v>
      </c>
      <c r="C30" s="4">
        <v>31.245000000000001</v>
      </c>
      <c r="D30" s="3">
        <f t="shared" si="1"/>
        <v>8.5634266195144179E-3</v>
      </c>
      <c r="E30" s="3">
        <f t="shared" si="0"/>
        <v>1.1912568432903703E-2</v>
      </c>
    </row>
    <row r="31" spans="1:5" x14ac:dyDescent="0.25">
      <c r="A31" s="1">
        <v>44225</v>
      </c>
      <c r="B31" s="4">
        <v>370.07</v>
      </c>
      <c r="C31" s="4">
        <v>31.074999999999999</v>
      </c>
      <c r="D31" s="3">
        <f t="shared" si="1"/>
        <v>-2.0222703334529711E-2</v>
      </c>
      <c r="E31" s="3">
        <f t="shared" si="0"/>
        <v>-5.4557259842702372E-3</v>
      </c>
    </row>
    <row r="32" spans="1:5" x14ac:dyDescent="0.25">
      <c r="A32" s="1">
        <v>44228</v>
      </c>
      <c r="B32" s="4">
        <v>376.23</v>
      </c>
      <c r="C32" s="4">
        <v>31.225000000000001</v>
      </c>
      <c r="D32" s="3">
        <f t="shared" si="1"/>
        <v>1.6508481570626607E-2</v>
      </c>
      <c r="E32" s="3">
        <f t="shared" si="0"/>
        <v>4.8154186148665701E-3</v>
      </c>
    </row>
    <row r="33" spans="1:5" x14ac:dyDescent="0.25">
      <c r="A33" s="1">
        <v>44229</v>
      </c>
      <c r="B33" s="4">
        <v>381.55</v>
      </c>
      <c r="C33" s="4">
        <v>31.48</v>
      </c>
      <c r="D33" s="3">
        <f t="shared" si="1"/>
        <v>1.4041245231574047E-2</v>
      </c>
      <c r="E33" s="3">
        <f t="shared" si="0"/>
        <v>8.1333675375610693E-3</v>
      </c>
    </row>
    <row r="34" spans="1:5" x14ac:dyDescent="0.25">
      <c r="A34" s="1">
        <v>44230</v>
      </c>
      <c r="B34" s="4">
        <v>381.85</v>
      </c>
      <c r="C34" s="4">
        <v>31.38</v>
      </c>
      <c r="D34" s="3">
        <f t="shared" si="1"/>
        <v>7.8595759875093988E-4</v>
      </c>
      <c r="E34" s="3">
        <f t="shared" si="0"/>
        <v>-3.1816762443160414E-3</v>
      </c>
    </row>
    <row r="35" spans="1:5" x14ac:dyDescent="0.25">
      <c r="A35" s="1">
        <v>44231</v>
      </c>
      <c r="B35" s="4">
        <v>386.19</v>
      </c>
      <c r="C35" s="4">
        <v>31.625</v>
      </c>
      <c r="D35" s="3">
        <f t="shared" si="1"/>
        <v>1.130161500525949E-2</v>
      </c>
      <c r="E35" s="3">
        <f t="shared" si="0"/>
        <v>7.7771997427977038E-3</v>
      </c>
    </row>
    <row r="36" spans="1:5" x14ac:dyDescent="0.25">
      <c r="A36" s="1">
        <v>44232</v>
      </c>
      <c r="B36" s="4">
        <v>387.71</v>
      </c>
      <c r="C36" s="4">
        <v>31.795000000000002</v>
      </c>
      <c r="D36" s="3">
        <f t="shared" si="1"/>
        <v>3.9281611436183536E-3</v>
      </c>
      <c r="E36" s="3">
        <f t="shared" si="0"/>
        <v>5.3610976716869018E-3</v>
      </c>
    </row>
    <row r="37" spans="1:5" x14ac:dyDescent="0.25">
      <c r="A37" s="1">
        <v>44235</v>
      </c>
      <c r="B37" s="4">
        <v>390.51</v>
      </c>
      <c r="C37" s="4">
        <v>31.55</v>
      </c>
      <c r="D37" s="3">
        <f t="shared" si="1"/>
        <v>7.1959396632075559E-3</v>
      </c>
      <c r="E37" s="3">
        <f t="shared" si="0"/>
        <v>-7.7354557321490007E-3</v>
      </c>
    </row>
    <row r="38" spans="1:5" x14ac:dyDescent="0.25">
      <c r="A38" s="1">
        <v>44236</v>
      </c>
      <c r="B38" s="4">
        <v>390.25</v>
      </c>
      <c r="C38" s="4">
        <v>31.594999999999999</v>
      </c>
      <c r="D38" s="3">
        <f t="shared" si="1"/>
        <v>-6.6601775093726927E-4</v>
      </c>
      <c r="E38" s="3">
        <f t="shared" si="0"/>
        <v>1.4252912381963335E-3</v>
      </c>
    </row>
    <row r="39" spans="1:5" x14ac:dyDescent="0.25">
      <c r="A39" s="1">
        <v>44237</v>
      </c>
      <c r="B39" s="4">
        <v>390.08</v>
      </c>
      <c r="C39" s="4">
        <v>31.72</v>
      </c>
      <c r="D39" s="3">
        <f t="shared" si="1"/>
        <v>-4.357131026347282E-4</v>
      </c>
      <c r="E39" s="3">
        <f t="shared" si="0"/>
        <v>3.9485165412286756E-3</v>
      </c>
    </row>
    <row r="40" spans="1:5" x14ac:dyDescent="0.25">
      <c r="A40" s="1">
        <v>44238</v>
      </c>
      <c r="B40" s="4">
        <v>390.71</v>
      </c>
      <c r="C40" s="4">
        <v>31.54</v>
      </c>
      <c r="D40" s="3">
        <f t="shared" si="1"/>
        <v>1.6137505263130205E-3</v>
      </c>
      <c r="E40" s="3">
        <f t="shared" si="0"/>
        <v>-5.6908152317548481E-3</v>
      </c>
    </row>
    <row r="41" spans="1:5" x14ac:dyDescent="0.25">
      <c r="A41" s="1">
        <v>44239</v>
      </c>
      <c r="B41" s="4">
        <v>392.64</v>
      </c>
      <c r="C41" s="4">
        <v>31.31</v>
      </c>
      <c r="D41" s="3">
        <f t="shared" si="1"/>
        <v>4.9275647033267499E-3</v>
      </c>
      <c r="E41" s="3">
        <f t="shared" si="0"/>
        <v>-7.3190461965780577E-3</v>
      </c>
    </row>
    <row r="42" spans="1:5" x14ac:dyDescent="0.25">
      <c r="A42" s="1">
        <v>44243</v>
      </c>
      <c r="B42" s="4">
        <v>392.3</v>
      </c>
      <c r="C42" s="4">
        <v>30.96</v>
      </c>
      <c r="D42" s="3">
        <f t="shared" si="1"/>
        <v>-8.6630830703970929E-4</v>
      </c>
      <c r="E42" s="3">
        <f t="shared" si="0"/>
        <v>-1.1241486616787944E-2</v>
      </c>
    </row>
    <row r="43" spans="1:5" x14ac:dyDescent="0.25">
      <c r="A43" s="1">
        <v>44244</v>
      </c>
      <c r="B43" s="4">
        <v>392.39</v>
      </c>
      <c r="C43" s="4">
        <v>30.984999999999999</v>
      </c>
      <c r="D43" s="3">
        <f t="shared" si="1"/>
        <v>2.2938995117712459E-4</v>
      </c>
      <c r="E43" s="3">
        <f t="shared" si="0"/>
        <v>8.0716769254447816E-4</v>
      </c>
    </row>
    <row r="44" spans="1:5" x14ac:dyDescent="0.25">
      <c r="A44" s="1">
        <v>44245</v>
      </c>
      <c r="B44" s="4">
        <v>390.72</v>
      </c>
      <c r="C44" s="4">
        <v>31.17</v>
      </c>
      <c r="D44" s="3">
        <f t="shared" si="1"/>
        <v>-4.2650522443441596E-3</v>
      </c>
      <c r="E44" s="3">
        <f t="shared" si="0"/>
        <v>5.9528773651749195E-3</v>
      </c>
    </row>
    <row r="45" spans="1:5" x14ac:dyDescent="0.25">
      <c r="A45" s="1">
        <v>44246</v>
      </c>
      <c r="B45" s="4">
        <v>390.03</v>
      </c>
      <c r="C45" s="4">
        <v>30.704999999999998</v>
      </c>
      <c r="D45" s="3">
        <f t="shared" si="1"/>
        <v>-1.7675316801529283E-3</v>
      </c>
      <c r="E45" s="3">
        <f t="shared" si="0"/>
        <v>-1.5030585997883287E-2</v>
      </c>
    </row>
    <row r="46" spans="1:5" x14ac:dyDescent="0.25">
      <c r="A46" s="1">
        <v>44249</v>
      </c>
      <c r="B46" s="4">
        <v>387.03</v>
      </c>
      <c r="C46" s="4">
        <v>30.105</v>
      </c>
      <c r="D46" s="3">
        <f t="shared" si="1"/>
        <v>-7.7214498370321216E-3</v>
      </c>
      <c r="E46" s="3">
        <f t="shared" si="0"/>
        <v>-1.9734236864951273E-2</v>
      </c>
    </row>
    <row r="47" spans="1:5" x14ac:dyDescent="0.25">
      <c r="A47" s="1">
        <v>44250</v>
      </c>
      <c r="B47" s="4">
        <v>387.5</v>
      </c>
      <c r="C47" s="4">
        <v>30.355</v>
      </c>
      <c r="D47" s="3">
        <f t="shared" si="1"/>
        <v>1.2136393882467825E-3</v>
      </c>
      <c r="E47" s="3">
        <f t="shared" si="0"/>
        <v>8.2699776659862067E-3</v>
      </c>
    </row>
    <row r="48" spans="1:5" x14ac:dyDescent="0.25">
      <c r="A48" s="1">
        <v>44251</v>
      </c>
      <c r="B48" s="4">
        <v>391.77</v>
      </c>
      <c r="C48" s="4">
        <v>30</v>
      </c>
      <c r="D48" s="3">
        <f t="shared" si="1"/>
        <v>1.0959084107023828E-2</v>
      </c>
      <c r="E48" s="3">
        <f t="shared" si="0"/>
        <v>-1.176386692024199E-2</v>
      </c>
    </row>
    <row r="49" spans="1:5" x14ac:dyDescent="0.25">
      <c r="A49" s="1">
        <v>44252</v>
      </c>
      <c r="B49" s="4">
        <v>382.33</v>
      </c>
      <c r="C49" s="4">
        <v>29.73</v>
      </c>
      <c r="D49" s="3">
        <f t="shared" si="1"/>
        <v>-2.4390822872985191E-2</v>
      </c>
      <c r="E49" s="3">
        <f t="shared" si="0"/>
        <v>-9.0407446521490707E-3</v>
      </c>
    </row>
    <row r="50" spans="1:5" x14ac:dyDescent="0.25">
      <c r="A50" s="1">
        <v>44253</v>
      </c>
      <c r="B50" s="4">
        <v>380.36</v>
      </c>
      <c r="C50" s="4">
        <v>29.18</v>
      </c>
      <c r="D50" s="3">
        <f t="shared" si="1"/>
        <v>-5.1659373561968088E-3</v>
      </c>
      <c r="E50" s="3">
        <f t="shared" si="0"/>
        <v>-1.8673093915366704E-2</v>
      </c>
    </row>
    <row r="51" spans="1:5" x14ac:dyDescent="0.25">
      <c r="A51" s="1">
        <v>44256</v>
      </c>
      <c r="B51" s="4">
        <v>389.58</v>
      </c>
      <c r="C51" s="4">
        <v>29.824999999999999</v>
      </c>
      <c r="D51" s="3">
        <f t="shared" si="1"/>
        <v>2.3951063077206795E-2</v>
      </c>
      <c r="E51" s="3">
        <f t="shared" si="0"/>
        <v>2.1863424889340212E-2</v>
      </c>
    </row>
    <row r="52" spans="1:5" x14ac:dyDescent="0.25">
      <c r="A52" s="1">
        <v>44257</v>
      </c>
      <c r="B52" s="4">
        <v>386.54</v>
      </c>
      <c r="C52" s="4">
        <v>29.734999999999999</v>
      </c>
      <c r="D52" s="3">
        <f t="shared" si="1"/>
        <v>-7.8338801911286698E-3</v>
      </c>
      <c r="E52" s="3">
        <f t="shared" si="0"/>
        <v>-3.0221648254227513E-3</v>
      </c>
    </row>
    <row r="53" spans="1:5" x14ac:dyDescent="0.25">
      <c r="A53" s="1">
        <v>44258</v>
      </c>
      <c r="B53" s="4">
        <v>381.42</v>
      </c>
      <c r="C53" s="4">
        <v>29.385000000000002</v>
      </c>
      <c r="D53" s="3">
        <f t="shared" si="1"/>
        <v>-1.3334225380949319E-2</v>
      </c>
      <c r="E53" s="3">
        <f t="shared" si="0"/>
        <v>-1.1840463093943139E-2</v>
      </c>
    </row>
    <row r="54" spans="1:5" x14ac:dyDescent="0.25">
      <c r="A54" s="1">
        <v>44259</v>
      </c>
      <c r="B54" s="4">
        <v>376.7</v>
      </c>
      <c r="C54" s="4">
        <v>29.36</v>
      </c>
      <c r="D54" s="3">
        <f t="shared" si="1"/>
        <v>-1.2452015478377114E-2</v>
      </c>
      <c r="E54" s="3">
        <f t="shared" si="0"/>
        <v>-8.5113631829898857E-4</v>
      </c>
    </row>
    <row r="55" spans="1:5" x14ac:dyDescent="0.25">
      <c r="A55" s="1">
        <v>44260</v>
      </c>
      <c r="B55" s="4">
        <v>383.63</v>
      </c>
      <c r="C55" s="4">
        <v>29.84</v>
      </c>
      <c r="D55" s="3">
        <f t="shared" si="1"/>
        <v>1.8229431718389397E-2</v>
      </c>
      <c r="E55" s="3">
        <f t="shared" si="0"/>
        <v>1.6216571589245287E-2</v>
      </c>
    </row>
    <row r="56" spans="1:5" x14ac:dyDescent="0.25">
      <c r="A56" s="1">
        <v>44263</v>
      </c>
      <c r="B56" s="4">
        <v>381.72</v>
      </c>
      <c r="C56" s="4">
        <v>30.26</v>
      </c>
      <c r="D56" s="3">
        <f t="shared" si="1"/>
        <v>-4.9911908673316912E-3</v>
      </c>
      <c r="E56" s="3">
        <f t="shared" si="0"/>
        <v>1.3976933024649823E-2</v>
      </c>
    </row>
    <row r="57" spans="1:5" x14ac:dyDescent="0.25">
      <c r="A57" s="1">
        <v>44264</v>
      </c>
      <c r="B57" s="4">
        <v>387.17</v>
      </c>
      <c r="C57" s="4">
        <v>30.66</v>
      </c>
      <c r="D57" s="3">
        <f t="shared" si="1"/>
        <v>1.4176517512846978E-2</v>
      </c>
      <c r="E57" s="3">
        <f t="shared" si="0"/>
        <v>1.3132165083458252E-2</v>
      </c>
    </row>
    <row r="58" spans="1:5" x14ac:dyDescent="0.25">
      <c r="A58" s="1">
        <v>44265</v>
      </c>
      <c r="B58" s="4">
        <v>389.58</v>
      </c>
      <c r="C58" s="4">
        <v>30.87</v>
      </c>
      <c r="D58" s="3">
        <f t="shared" si="1"/>
        <v>6.205362686550293E-3</v>
      </c>
      <c r="E58" s="3">
        <f t="shared" si="0"/>
        <v>6.8259650703998906E-3</v>
      </c>
    </row>
    <row r="59" spans="1:5" x14ac:dyDescent="0.25">
      <c r="A59" s="1">
        <v>44266</v>
      </c>
      <c r="B59" s="4">
        <v>393.53</v>
      </c>
      <c r="C59" s="4">
        <v>30.79</v>
      </c>
      <c r="D59" s="3">
        <f t="shared" si="1"/>
        <v>1.0088068084801373E-2</v>
      </c>
      <c r="E59" s="3">
        <f t="shared" si="0"/>
        <v>-2.5948765776589383E-3</v>
      </c>
    </row>
    <row r="60" spans="1:5" x14ac:dyDescent="0.25">
      <c r="A60" s="1">
        <v>44267</v>
      </c>
      <c r="B60" s="4">
        <v>394.06</v>
      </c>
      <c r="C60" s="4">
        <v>31.204999999999998</v>
      </c>
      <c r="D60" s="3">
        <f t="shared" si="1"/>
        <v>1.3458781345700166E-3</v>
      </c>
      <c r="E60" s="3">
        <f t="shared" si="0"/>
        <v>1.3388376449597322E-2</v>
      </c>
    </row>
    <row r="61" spans="1:5" x14ac:dyDescent="0.25">
      <c r="A61" s="1">
        <v>44270</v>
      </c>
      <c r="B61" s="4">
        <v>396.41</v>
      </c>
      <c r="C61" s="4">
        <v>31.605</v>
      </c>
      <c r="D61" s="3">
        <f t="shared" si="1"/>
        <v>5.9458472132053672E-3</v>
      </c>
      <c r="E61" s="3">
        <f t="shared" si="0"/>
        <v>1.2736997538255709E-2</v>
      </c>
    </row>
    <row r="62" spans="1:5" x14ac:dyDescent="0.25">
      <c r="A62" s="1">
        <v>44271</v>
      </c>
      <c r="B62" s="4">
        <v>395.91</v>
      </c>
      <c r="C62" s="4">
        <v>31.645</v>
      </c>
      <c r="D62" s="3">
        <f t="shared" si="1"/>
        <v>-1.2621164841791108E-3</v>
      </c>
      <c r="E62" s="3">
        <f t="shared" si="0"/>
        <v>1.2648223030065657E-3</v>
      </c>
    </row>
    <row r="63" spans="1:5" x14ac:dyDescent="0.25">
      <c r="A63" s="1">
        <v>44272</v>
      </c>
      <c r="B63" s="4">
        <v>397.26</v>
      </c>
      <c r="C63" s="4">
        <v>31.13</v>
      </c>
      <c r="D63" s="3">
        <f t="shared" si="1"/>
        <v>3.4040654679617643E-3</v>
      </c>
      <c r="E63" s="3">
        <f t="shared" si="0"/>
        <v>-1.6408173773751901E-2</v>
      </c>
    </row>
    <row r="64" spans="1:5" x14ac:dyDescent="0.25">
      <c r="A64" s="1">
        <v>44273</v>
      </c>
      <c r="B64" s="4">
        <v>391.48</v>
      </c>
      <c r="C64" s="4">
        <v>31.015000000000001</v>
      </c>
      <c r="D64" s="3">
        <f t="shared" si="1"/>
        <v>-1.4656549607190868E-2</v>
      </c>
      <c r="E64" s="3">
        <f t="shared" si="0"/>
        <v>-3.7010260284358722E-3</v>
      </c>
    </row>
    <row r="65" spans="1:5" x14ac:dyDescent="0.25">
      <c r="A65" s="1">
        <v>44274</v>
      </c>
      <c r="B65" s="4">
        <v>389.48</v>
      </c>
      <c r="C65" s="4">
        <v>31.1</v>
      </c>
      <c r="D65" s="3">
        <f t="shared" si="1"/>
        <v>-5.1219124470632581E-3</v>
      </c>
      <c r="E65" s="3">
        <f t="shared" si="0"/>
        <v>2.7368607601075939E-3</v>
      </c>
    </row>
    <row r="66" spans="1:5" x14ac:dyDescent="0.25">
      <c r="A66" s="1">
        <v>44277</v>
      </c>
      <c r="B66" s="4">
        <v>392.59</v>
      </c>
      <c r="C66" s="4">
        <v>30.824999999999999</v>
      </c>
      <c r="D66" s="3">
        <f t="shared" si="1"/>
        <v>7.9532941898838739E-3</v>
      </c>
      <c r="E66" s="3">
        <f t="shared" si="0"/>
        <v>-8.8817701347805346E-3</v>
      </c>
    </row>
    <row r="67" spans="1:5" x14ac:dyDescent="0.25">
      <c r="A67" s="1">
        <v>44278</v>
      </c>
      <c r="B67" s="4">
        <v>389.5</v>
      </c>
      <c r="C67" s="4">
        <v>31.285</v>
      </c>
      <c r="D67" s="3">
        <f t="shared" si="1"/>
        <v>-7.9019449896365144E-3</v>
      </c>
      <c r="E67" s="3">
        <f t="shared" si="0"/>
        <v>1.4812700399918857E-2</v>
      </c>
    </row>
    <row r="68" spans="1:5" x14ac:dyDescent="0.25">
      <c r="A68" s="1">
        <v>44279</v>
      </c>
      <c r="B68" s="4">
        <v>387.52</v>
      </c>
      <c r="C68" s="4">
        <v>31.295000000000002</v>
      </c>
      <c r="D68" s="3">
        <f t="shared" ref="D68:D131" si="2">LN(B68/B67)</f>
        <v>-5.096404946075616E-3</v>
      </c>
      <c r="E68" s="3">
        <f t="shared" ref="E68:E131" si="3">LN(C68/C67)</f>
        <v>3.1959092633807045E-4</v>
      </c>
    </row>
    <row r="69" spans="1:5" x14ac:dyDescent="0.25">
      <c r="A69" s="1">
        <v>44280</v>
      </c>
      <c r="B69" s="4">
        <v>389.7</v>
      </c>
      <c r="C69" s="4">
        <v>31.63</v>
      </c>
      <c r="D69" s="3">
        <f t="shared" si="2"/>
        <v>5.6097519799362108E-3</v>
      </c>
      <c r="E69" s="3">
        <f t="shared" si="3"/>
        <v>1.0647696940892638E-2</v>
      </c>
    </row>
    <row r="70" spans="1:5" x14ac:dyDescent="0.25">
      <c r="A70" s="1">
        <v>44281</v>
      </c>
      <c r="B70" s="4">
        <v>395.98</v>
      </c>
      <c r="C70" s="4">
        <v>31.734999999999999</v>
      </c>
      <c r="D70" s="3">
        <f t="shared" si="2"/>
        <v>1.5986492583889036E-2</v>
      </c>
      <c r="E70" s="3">
        <f t="shared" si="3"/>
        <v>3.3141354408759978E-3</v>
      </c>
    </row>
    <row r="71" spans="1:5" x14ac:dyDescent="0.25">
      <c r="A71" s="1">
        <v>44284</v>
      </c>
      <c r="B71" s="4">
        <v>395.78</v>
      </c>
      <c r="C71" s="4">
        <v>32.075000000000003</v>
      </c>
      <c r="D71" s="3">
        <f t="shared" si="2"/>
        <v>-5.0520360779503248E-4</v>
      </c>
      <c r="E71" s="3">
        <f t="shared" si="3"/>
        <v>1.0656737743266748E-2</v>
      </c>
    </row>
    <row r="72" spans="1:5" x14ac:dyDescent="0.25">
      <c r="A72" s="1">
        <v>44285</v>
      </c>
      <c r="B72" s="4">
        <v>394.73</v>
      </c>
      <c r="C72" s="4">
        <v>31.785</v>
      </c>
      <c r="D72" s="3">
        <f t="shared" si="2"/>
        <v>-2.6565144463534212E-3</v>
      </c>
      <c r="E72" s="3">
        <f t="shared" si="3"/>
        <v>-9.0824301133281028E-3</v>
      </c>
    </row>
    <row r="73" spans="1:5" x14ac:dyDescent="0.25">
      <c r="A73" s="1">
        <v>44286</v>
      </c>
      <c r="B73" s="4">
        <v>396.33</v>
      </c>
      <c r="C73" s="4">
        <v>32.020000000000003</v>
      </c>
      <c r="D73" s="3">
        <f t="shared" si="2"/>
        <v>4.0452106839681708E-3</v>
      </c>
      <c r="E73" s="3">
        <f t="shared" si="3"/>
        <v>7.3662271801965967E-3</v>
      </c>
    </row>
    <row r="74" spans="1:5" x14ac:dyDescent="0.25">
      <c r="A74" s="1">
        <v>44287</v>
      </c>
      <c r="B74" s="4">
        <v>400.61</v>
      </c>
      <c r="C74" s="4">
        <v>31.99</v>
      </c>
      <c r="D74" s="3">
        <f t="shared" si="2"/>
        <v>1.0741187917951974E-2</v>
      </c>
      <c r="E74" s="3">
        <f t="shared" si="3"/>
        <v>-9.3735360714210887E-4</v>
      </c>
    </row>
    <row r="75" spans="1:5" x14ac:dyDescent="0.25">
      <c r="A75" s="1">
        <v>44291</v>
      </c>
      <c r="B75" s="4">
        <v>406.36</v>
      </c>
      <c r="C75" s="4">
        <v>32.340000000000003</v>
      </c>
      <c r="D75" s="3">
        <f t="shared" si="2"/>
        <v>1.4251080747019931E-2</v>
      </c>
      <c r="E75" s="3">
        <f t="shared" si="3"/>
        <v>1.0881500187534207E-2</v>
      </c>
    </row>
    <row r="76" spans="1:5" x14ac:dyDescent="0.25">
      <c r="A76" s="1">
        <v>44292</v>
      </c>
      <c r="B76" s="4">
        <v>406.12</v>
      </c>
      <c r="C76" s="4">
        <v>32.51</v>
      </c>
      <c r="D76" s="3">
        <f t="shared" si="2"/>
        <v>-5.9078379032231128E-4</v>
      </c>
      <c r="E76" s="3">
        <f t="shared" si="3"/>
        <v>5.2428801668530011E-3</v>
      </c>
    </row>
    <row r="77" spans="1:5" x14ac:dyDescent="0.25">
      <c r="A77" s="1">
        <v>44293</v>
      </c>
      <c r="B77" s="4">
        <v>406.59</v>
      </c>
      <c r="C77" s="4">
        <v>32.47</v>
      </c>
      <c r="D77" s="3">
        <f t="shared" si="2"/>
        <v>1.1566242630121652E-3</v>
      </c>
      <c r="E77" s="3">
        <f t="shared" si="3"/>
        <v>-1.2311482010593975E-3</v>
      </c>
    </row>
    <row r="78" spans="1:5" x14ac:dyDescent="0.25">
      <c r="A78" s="1">
        <v>44294</v>
      </c>
      <c r="B78" s="4">
        <v>408.52</v>
      </c>
      <c r="C78" s="4">
        <v>32.445</v>
      </c>
      <c r="D78" s="3">
        <f t="shared" si="2"/>
        <v>4.7355660138638902E-3</v>
      </c>
      <c r="E78" s="3">
        <f t="shared" si="3"/>
        <v>-7.7023804162271148E-4</v>
      </c>
    </row>
    <row r="79" spans="1:5" x14ac:dyDescent="0.25">
      <c r="A79" s="1">
        <v>44295</v>
      </c>
      <c r="B79" s="4">
        <v>411.49</v>
      </c>
      <c r="C79" s="4">
        <v>32.409999999999997</v>
      </c>
      <c r="D79" s="3">
        <f t="shared" si="2"/>
        <v>7.2438457753705382E-3</v>
      </c>
      <c r="E79" s="3">
        <f t="shared" si="3"/>
        <v>-1.0793309196759054E-3</v>
      </c>
    </row>
    <row r="80" spans="1:5" x14ac:dyDescent="0.25">
      <c r="A80" s="1">
        <v>44298</v>
      </c>
      <c r="B80" s="4">
        <v>411.64</v>
      </c>
      <c r="C80" s="4">
        <v>32.44</v>
      </c>
      <c r="D80" s="3">
        <f t="shared" si="2"/>
        <v>3.6446248262221332E-4</v>
      </c>
      <c r="E80" s="3">
        <f t="shared" si="3"/>
        <v>9.2521209375611877E-4</v>
      </c>
    </row>
    <row r="81" spans="1:5" x14ac:dyDescent="0.25">
      <c r="A81" s="1">
        <v>44299</v>
      </c>
      <c r="B81" s="4">
        <v>412.86</v>
      </c>
      <c r="C81" s="4">
        <v>32.825000000000003</v>
      </c>
      <c r="D81" s="3">
        <f t="shared" si="2"/>
        <v>2.959371474552633E-3</v>
      </c>
      <c r="E81" s="3">
        <f t="shared" si="3"/>
        <v>1.1798190941647932E-2</v>
      </c>
    </row>
    <row r="82" spans="1:5" x14ac:dyDescent="0.25">
      <c r="A82" s="1">
        <v>44300</v>
      </c>
      <c r="B82" s="4">
        <v>411.45</v>
      </c>
      <c r="C82" s="4">
        <v>32.97</v>
      </c>
      <c r="D82" s="3">
        <f t="shared" si="2"/>
        <v>-3.4210463907216274E-3</v>
      </c>
      <c r="E82" s="3">
        <f t="shared" si="3"/>
        <v>4.4076368947796526E-3</v>
      </c>
    </row>
    <row r="83" spans="1:5" x14ac:dyDescent="0.25">
      <c r="A83" s="1">
        <v>44301</v>
      </c>
      <c r="B83" s="4">
        <v>415.87</v>
      </c>
      <c r="C83" s="4">
        <v>33.335000000000001</v>
      </c>
      <c r="D83" s="3">
        <f t="shared" si="2"/>
        <v>1.0685205371241405E-2</v>
      </c>
      <c r="E83" s="3">
        <f t="shared" si="3"/>
        <v>1.1009838986383795E-2</v>
      </c>
    </row>
    <row r="84" spans="1:5" x14ac:dyDescent="0.25">
      <c r="A84" s="1">
        <v>44302</v>
      </c>
      <c r="B84" s="4">
        <v>417.26</v>
      </c>
      <c r="C84" s="4">
        <v>33.604999999999997</v>
      </c>
      <c r="D84" s="3">
        <f t="shared" si="2"/>
        <v>3.336817278764506E-3</v>
      </c>
      <c r="E84" s="3">
        <f t="shared" si="3"/>
        <v>8.0669693519057895E-3</v>
      </c>
    </row>
    <row r="85" spans="1:5" x14ac:dyDescent="0.25">
      <c r="A85" s="1">
        <v>44305</v>
      </c>
      <c r="B85" s="4">
        <v>415.21</v>
      </c>
      <c r="C85" s="4">
        <v>33.435000000000002</v>
      </c>
      <c r="D85" s="3">
        <f t="shared" si="2"/>
        <v>-4.9251123616627299E-3</v>
      </c>
      <c r="E85" s="3">
        <f t="shared" si="3"/>
        <v>-5.0716099159871493E-3</v>
      </c>
    </row>
    <row r="86" spans="1:5" x14ac:dyDescent="0.25">
      <c r="A86" s="1">
        <v>44306</v>
      </c>
      <c r="B86" s="4">
        <v>412.17</v>
      </c>
      <c r="C86" s="4">
        <v>33.86</v>
      </c>
      <c r="D86" s="3">
        <f t="shared" si="2"/>
        <v>-7.3485307360987148E-3</v>
      </c>
      <c r="E86" s="3">
        <f t="shared" si="3"/>
        <v>1.2631121199047196E-2</v>
      </c>
    </row>
    <row r="87" spans="1:5" x14ac:dyDescent="0.25">
      <c r="A87" s="1">
        <v>44307</v>
      </c>
      <c r="B87" s="4">
        <v>416.07</v>
      </c>
      <c r="C87" s="4">
        <v>33.575000000000003</v>
      </c>
      <c r="D87" s="3">
        <f t="shared" si="2"/>
        <v>9.4176297323868598E-3</v>
      </c>
      <c r="E87" s="3">
        <f t="shared" si="3"/>
        <v>-8.4526342956879243E-3</v>
      </c>
    </row>
    <row r="88" spans="1:5" x14ac:dyDescent="0.25">
      <c r="A88" s="1">
        <v>44308</v>
      </c>
      <c r="B88" s="4">
        <v>412.27</v>
      </c>
      <c r="C88" s="4">
        <v>33.335000000000001</v>
      </c>
      <c r="D88" s="3">
        <f t="shared" si="2"/>
        <v>-9.1750408223621235E-3</v>
      </c>
      <c r="E88" s="3">
        <f t="shared" si="3"/>
        <v>-7.1738463392780278E-3</v>
      </c>
    </row>
    <row r="89" spans="1:5" x14ac:dyDescent="0.25">
      <c r="A89" s="1">
        <v>44309</v>
      </c>
      <c r="B89" s="4">
        <v>416.74</v>
      </c>
      <c r="C89" s="4">
        <v>33.29</v>
      </c>
      <c r="D89" s="3">
        <f t="shared" si="2"/>
        <v>1.0784051628062957E-2</v>
      </c>
      <c r="E89" s="3">
        <f t="shared" si="3"/>
        <v>-1.3508444830898311E-3</v>
      </c>
    </row>
    <row r="90" spans="1:5" x14ac:dyDescent="0.25">
      <c r="A90" s="1">
        <v>44312</v>
      </c>
      <c r="B90" s="4">
        <v>417.61</v>
      </c>
      <c r="C90" s="4">
        <v>33.1</v>
      </c>
      <c r="D90" s="3">
        <f t="shared" si="2"/>
        <v>2.0854564998186269E-3</v>
      </c>
      <c r="E90" s="3">
        <f t="shared" si="3"/>
        <v>-5.7237692039162702E-3</v>
      </c>
    </row>
    <row r="91" spans="1:5" x14ac:dyDescent="0.25">
      <c r="A91" s="1">
        <v>44313</v>
      </c>
      <c r="B91" s="4">
        <v>417.52</v>
      </c>
      <c r="C91" s="4">
        <v>32.844999999999999</v>
      </c>
      <c r="D91" s="3">
        <f t="shared" si="2"/>
        <v>-2.1553530671502723E-4</v>
      </c>
      <c r="E91" s="3">
        <f t="shared" si="3"/>
        <v>-7.7337560385810147E-3</v>
      </c>
    </row>
    <row r="92" spans="1:5" x14ac:dyDescent="0.25">
      <c r="A92" s="1">
        <v>44314</v>
      </c>
      <c r="B92" s="4">
        <v>417.4</v>
      </c>
      <c r="C92" s="4">
        <v>32.799999999999997</v>
      </c>
      <c r="D92" s="3">
        <f t="shared" si="2"/>
        <v>-2.8745269205740043E-4</v>
      </c>
      <c r="E92" s="3">
        <f t="shared" si="3"/>
        <v>-1.3710109543382868E-3</v>
      </c>
    </row>
    <row r="93" spans="1:5" x14ac:dyDescent="0.25">
      <c r="A93" s="1">
        <v>44315</v>
      </c>
      <c r="B93" s="4">
        <v>420.06</v>
      </c>
      <c r="C93" s="4">
        <v>33.1</v>
      </c>
      <c r="D93" s="3">
        <f t="shared" si="2"/>
        <v>6.3525635740610056E-3</v>
      </c>
      <c r="E93" s="3">
        <f t="shared" si="3"/>
        <v>9.104766992919287E-3</v>
      </c>
    </row>
    <row r="94" spans="1:5" x14ac:dyDescent="0.25">
      <c r="A94" s="1">
        <v>44316</v>
      </c>
      <c r="B94" s="4">
        <v>417.3</v>
      </c>
      <c r="C94" s="4">
        <v>33.36</v>
      </c>
      <c r="D94" s="3">
        <f t="shared" si="2"/>
        <v>-6.5921706196542685E-3</v>
      </c>
      <c r="E94" s="3">
        <f t="shared" si="3"/>
        <v>7.8242951075287049E-3</v>
      </c>
    </row>
    <row r="95" spans="1:5" x14ac:dyDescent="0.25">
      <c r="A95" s="1">
        <v>44319</v>
      </c>
      <c r="B95" s="4">
        <v>418.2</v>
      </c>
      <c r="C95" s="4">
        <v>33.354999999999997</v>
      </c>
      <c r="D95" s="3">
        <f t="shared" si="2"/>
        <v>2.1543993970262248E-3</v>
      </c>
      <c r="E95" s="3">
        <f t="shared" si="3"/>
        <v>-1.4989132906732344E-4</v>
      </c>
    </row>
    <row r="96" spans="1:5" x14ac:dyDescent="0.25">
      <c r="A96" s="1">
        <v>44320</v>
      </c>
      <c r="B96" s="4">
        <v>415.62</v>
      </c>
      <c r="C96" s="4">
        <v>33.229999999999997</v>
      </c>
      <c r="D96" s="3">
        <f t="shared" si="2"/>
        <v>-6.1884057319644597E-3</v>
      </c>
      <c r="E96" s="3">
        <f t="shared" si="3"/>
        <v>-3.7546037949758699E-3</v>
      </c>
    </row>
    <row r="97" spans="1:5" x14ac:dyDescent="0.25">
      <c r="A97" s="1">
        <v>44321</v>
      </c>
      <c r="B97" s="4">
        <v>415.75</v>
      </c>
      <c r="C97" s="4">
        <v>32.67</v>
      </c>
      <c r="D97" s="3">
        <f t="shared" si="2"/>
        <v>3.1273681046842987E-4</v>
      </c>
      <c r="E97" s="3">
        <f t="shared" si="3"/>
        <v>-1.6995856753523952E-2</v>
      </c>
    </row>
    <row r="98" spans="1:5" x14ac:dyDescent="0.25">
      <c r="A98" s="1">
        <v>44322</v>
      </c>
      <c r="B98" s="4">
        <v>419.07</v>
      </c>
      <c r="C98" s="4">
        <v>32.92</v>
      </c>
      <c r="D98" s="3">
        <f t="shared" si="2"/>
        <v>7.9538523345322309E-3</v>
      </c>
      <c r="E98" s="3">
        <f t="shared" si="3"/>
        <v>7.6231501958902836E-3</v>
      </c>
    </row>
    <row r="99" spans="1:5" x14ac:dyDescent="0.25">
      <c r="A99" s="1">
        <v>44323</v>
      </c>
      <c r="B99" s="4">
        <v>422.12</v>
      </c>
      <c r="C99" s="4">
        <v>33.020000000000003</v>
      </c>
      <c r="D99" s="3">
        <f t="shared" si="2"/>
        <v>7.2516633953202065E-3</v>
      </c>
      <c r="E99" s="3">
        <f t="shared" si="3"/>
        <v>3.0330626831128991E-3</v>
      </c>
    </row>
    <row r="100" spans="1:5" x14ac:dyDescent="0.25">
      <c r="A100" s="1">
        <v>44326</v>
      </c>
      <c r="B100" s="4">
        <v>417.94</v>
      </c>
      <c r="C100" s="4">
        <v>33.354999999999997</v>
      </c>
      <c r="D100" s="3">
        <f t="shared" si="2"/>
        <v>-9.9517522509374543E-3</v>
      </c>
      <c r="E100" s="3">
        <f t="shared" si="3"/>
        <v>1.0094247669496501E-2</v>
      </c>
    </row>
    <row r="101" spans="1:5" x14ac:dyDescent="0.25">
      <c r="A101" s="1">
        <v>44327</v>
      </c>
      <c r="B101" s="4">
        <v>414.21</v>
      </c>
      <c r="C101" s="4">
        <v>32.945</v>
      </c>
      <c r="D101" s="3">
        <f t="shared" si="2"/>
        <v>-8.9647899557813264E-3</v>
      </c>
      <c r="E101" s="3">
        <f t="shared" si="3"/>
        <v>-1.2368181795695442E-2</v>
      </c>
    </row>
    <row r="102" spans="1:5" x14ac:dyDescent="0.25">
      <c r="A102" s="1">
        <v>44328</v>
      </c>
      <c r="B102" s="4">
        <v>405.41</v>
      </c>
      <c r="C102" s="4">
        <v>32.174999999999997</v>
      </c>
      <c r="D102" s="3">
        <f t="shared" si="2"/>
        <v>-2.1474190886936251E-2</v>
      </c>
      <c r="E102" s="3">
        <f t="shared" si="3"/>
        <v>-2.3649750883592988E-2</v>
      </c>
    </row>
    <row r="103" spans="1:5" x14ac:dyDescent="0.25">
      <c r="A103" s="1">
        <v>44329</v>
      </c>
      <c r="B103" s="4">
        <v>410.28</v>
      </c>
      <c r="C103" s="4">
        <v>32.795000000000002</v>
      </c>
      <c r="D103" s="3">
        <f t="shared" si="2"/>
        <v>1.1940952729975805E-2</v>
      </c>
      <c r="E103" s="3">
        <f t="shared" si="3"/>
        <v>1.9086311263508526E-2</v>
      </c>
    </row>
    <row r="104" spans="1:5" x14ac:dyDescent="0.25">
      <c r="A104" s="1">
        <v>44330</v>
      </c>
      <c r="B104" s="4">
        <v>416.58</v>
      </c>
      <c r="C104" s="4">
        <v>32.954999999999998</v>
      </c>
      <c r="D104" s="3">
        <f t="shared" si="2"/>
        <v>1.5238666554026831E-2</v>
      </c>
      <c r="E104" s="3">
        <f t="shared" si="3"/>
        <v>4.8669297589843509E-3</v>
      </c>
    </row>
    <row r="105" spans="1:5" x14ac:dyDescent="0.25">
      <c r="A105" s="1">
        <v>44333</v>
      </c>
      <c r="B105" s="4">
        <v>415.52</v>
      </c>
      <c r="C105" s="4">
        <v>32.685000000000002</v>
      </c>
      <c r="D105" s="3">
        <f t="shared" si="2"/>
        <v>-2.5477720787986644E-3</v>
      </c>
      <c r="E105" s="3">
        <f t="shared" si="3"/>
        <v>-8.2267374399901862E-3</v>
      </c>
    </row>
    <row r="106" spans="1:5" x14ac:dyDescent="0.25">
      <c r="A106" s="1">
        <v>44334</v>
      </c>
      <c r="B106" s="4">
        <v>411.94</v>
      </c>
      <c r="C106" s="4">
        <v>32.68</v>
      </c>
      <c r="D106" s="3">
        <f t="shared" si="2"/>
        <v>-8.6530402381067122E-3</v>
      </c>
      <c r="E106" s="3">
        <f t="shared" si="3"/>
        <v>-1.5298707289084965E-4</v>
      </c>
    </row>
    <row r="107" spans="1:5" x14ac:dyDescent="0.25">
      <c r="A107" s="1">
        <v>44335</v>
      </c>
      <c r="B107" s="4">
        <v>410.86</v>
      </c>
      <c r="C107" s="4">
        <v>32.625</v>
      </c>
      <c r="D107" s="3">
        <f t="shared" si="2"/>
        <v>-2.6251838119664504E-3</v>
      </c>
      <c r="E107" s="3">
        <f t="shared" si="3"/>
        <v>-1.684404348944597E-3</v>
      </c>
    </row>
    <row r="108" spans="1:5" x14ac:dyDescent="0.25">
      <c r="A108" s="1">
        <v>44336</v>
      </c>
      <c r="B108" s="4">
        <v>415.28</v>
      </c>
      <c r="C108" s="4">
        <v>32.909999999999997</v>
      </c>
      <c r="D108" s="3">
        <f t="shared" si="2"/>
        <v>1.0700467654608499E-2</v>
      </c>
      <c r="E108" s="3">
        <f t="shared" si="3"/>
        <v>8.6976973123910895E-3</v>
      </c>
    </row>
    <row r="109" spans="1:5" x14ac:dyDescent="0.25">
      <c r="A109" s="1">
        <v>44337</v>
      </c>
      <c r="B109" s="4">
        <v>414.94</v>
      </c>
      <c r="C109" s="4">
        <v>33.08</v>
      </c>
      <c r="D109" s="3">
        <f t="shared" si="2"/>
        <v>-8.1906005398005625E-4</v>
      </c>
      <c r="E109" s="3">
        <f t="shared" si="3"/>
        <v>5.152307200242001E-3</v>
      </c>
    </row>
    <row r="110" spans="1:5" x14ac:dyDescent="0.25">
      <c r="A110" s="1">
        <v>44340</v>
      </c>
      <c r="B110" s="4">
        <v>419.17</v>
      </c>
      <c r="C110" s="4">
        <v>33.020000000000003</v>
      </c>
      <c r="D110" s="3">
        <f t="shared" si="2"/>
        <v>1.014263409545412E-2</v>
      </c>
      <c r="E110" s="3">
        <f t="shared" si="3"/>
        <v>-1.815431663508427E-3</v>
      </c>
    </row>
    <row r="111" spans="1:5" x14ac:dyDescent="0.25">
      <c r="A111" s="1">
        <v>44341</v>
      </c>
      <c r="B111" s="4">
        <v>418.24</v>
      </c>
      <c r="C111" s="4">
        <v>32.619999999999997</v>
      </c>
      <c r="D111" s="3">
        <f t="shared" si="2"/>
        <v>-2.2211351245904954E-3</v>
      </c>
      <c r="E111" s="3">
        <f t="shared" si="3"/>
        <v>-1.218784129911429E-2</v>
      </c>
    </row>
    <row r="112" spans="1:5" x14ac:dyDescent="0.25">
      <c r="A112" s="1">
        <v>44342</v>
      </c>
      <c r="B112" s="4">
        <v>419.07</v>
      </c>
      <c r="C112" s="4">
        <v>32.625</v>
      </c>
      <c r="D112" s="3">
        <f t="shared" si="2"/>
        <v>1.9825399717120456E-3</v>
      </c>
      <c r="E112" s="3">
        <f t="shared" si="3"/>
        <v>1.532684499897761E-4</v>
      </c>
    </row>
    <row r="113" spans="1:5" x14ac:dyDescent="0.25">
      <c r="A113" s="1">
        <v>44343</v>
      </c>
      <c r="B113" s="4">
        <v>419.29</v>
      </c>
      <c r="C113" s="4">
        <v>32.405000000000001</v>
      </c>
      <c r="D113" s="3">
        <f t="shared" si="2"/>
        <v>5.2483421215222012E-4</v>
      </c>
      <c r="E113" s="3">
        <f t="shared" si="3"/>
        <v>-6.7661337631781263E-3</v>
      </c>
    </row>
    <row r="114" spans="1:5" x14ac:dyDescent="0.25">
      <c r="A114" s="1">
        <v>44344</v>
      </c>
      <c r="B114" s="4">
        <v>420.04</v>
      </c>
      <c r="C114" s="4">
        <v>32.58</v>
      </c>
      <c r="D114" s="3">
        <f t="shared" si="2"/>
        <v>1.7871402180712071E-3</v>
      </c>
      <c r="E114" s="3">
        <f t="shared" si="3"/>
        <v>5.385871294219715E-3</v>
      </c>
    </row>
    <row r="115" spans="1:5" x14ac:dyDescent="0.25">
      <c r="A115" s="1">
        <v>44348</v>
      </c>
      <c r="B115" s="4">
        <v>419.67</v>
      </c>
      <c r="C115" s="4">
        <v>32.380000000000003</v>
      </c>
      <c r="D115" s="3">
        <f t="shared" si="2"/>
        <v>-8.8125668134376414E-4</v>
      </c>
      <c r="E115" s="3">
        <f t="shared" si="3"/>
        <v>-6.1576549244098718E-3</v>
      </c>
    </row>
    <row r="116" spans="1:5" x14ac:dyDescent="0.25">
      <c r="A116" s="1">
        <v>44349</v>
      </c>
      <c r="B116" s="4">
        <v>420.33</v>
      </c>
      <c r="C116" s="4">
        <v>32.549999999999997</v>
      </c>
      <c r="D116" s="3">
        <f t="shared" si="2"/>
        <v>1.5714288948008399E-3</v>
      </c>
      <c r="E116" s="3">
        <f t="shared" si="3"/>
        <v>5.2364204050889792E-3</v>
      </c>
    </row>
    <row r="117" spans="1:5" x14ac:dyDescent="0.25">
      <c r="A117" s="1">
        <v>44350</v>
      </c>
      <c r="B117" s="4">
        <v>418.77</v>
      </c>
      <c r="C117" s="4">
        <v>32.744999999999997</v>
      </c>
      <c r="D117" s="3">
        <f t="shared" si="2"/>
        <v>-3.7182738584732311E-3</v>
      </c>
      <c r="E117" s="3">
        <f t="shared" si="3"/>
        <v>5.9729100154386674E-3</v>
      </c>
    </row>
    <row r="118" spans="1:5" x14ac:dyDescent="0.25">
      <c r="A118" s="1">
        <v>44351</v>
      </c>
      <c r="B118" s="4">
        <v>422.6</v>
      </c>
      <c r="C118" s="4">
        <v>32.695</v>
      </c>
      <c r="D118" s="3">
        <f t="shared" si="2"/>
        <v>9.104261989179973E-3</v>
      </c>
      <c r="E118" s="3">
        <f t="shared" si="3"/>
        <v>-1.5281176567775246E-3</v>
      </c>
    </row>
    <row r="119" spans="1:5" x14ac:dyDescent="0.25">
      <c r="A119" s="1">
        <v>44354</v>
      </c>
      <c r="B119" s="4">
        <v>422.19</v>
      </c>
      <c r="C119" s="4">
        <v>32.755000000000003</v>
      </c>
      <c r="D119" s="3">
        <f t="shared" si="2"/>
        <v>-9.7065550537033711E-4</v>
      </c>
      <c r="E119" s="3">
        <f t="shared" si="3"/>
        <v>1.8334611706005346E-3</v>
      </c>
    </row>
    <row r="120" spans="1:5" x14ac:dyDescent="0.25">
      <c r="A120" s="1">
        <v>44355</v>
      </c>
      <c r="B120" s="4">
        <v>422.28</v>
      </c>
      <c r="C120" s="4">
        <v>32.475000000000001</v>
      </c>
      <c r="D120" s="3">
        <f t="shared" si="2"/>
        <v>2.1315144490800648E-4</v>
      </c>
      <c r="E120" s="3">
        <f t="shared" si="3"/>
        <v>-8.5850596271764557E-3</v>
      </c>
    </row>
    <row r="121" spans="1:5" x14ac:dyDescent="0.25">
      <c r="A121" s="1">
        <v>44356</v>
      </c>
      <c r="B121" s="4">
        <v>421.65</v>
      </c>
      <c r="C121" s="4">
        <v>32.765000000000001</v>
      </c>
      <c r="D121" s="3">
        <f t="shared" si="2"/>
        <v>-1.4930151008434797E-3</v>
      </c>
      <c r="E121" s="3">
        <f t="shared" si="3"/>
        <v>8.8903099347969767E-3</v>
      </c>
    </row>
    <row r="122" spans="1:5" x14ac:dyDescent="0.25">
      <c r="A122" s="1">
        <v>44357</v>
      </c>
      <c r="B122" s="4">
        <v>423.61</v>
      </c>
      <c r="C122" s="4">
        <v>32.979999999999997</v>
      </c>
      <c r="D122" s="3">
        <f t="shared" si="2"/>
        <v>4.6376346045375813E-3</v>
      </c>
      <c r="E122" s="3">
        <f t="shared" si="3"/>
        <v>6.5404446399925037E-3</v>
      </c>
    </row>
    <row r="123" spans="1:5" x14ac:dyDescent="0.25">
      <c r="A123" s="1">
        <v>44358</v>
      </c>
      <c r="B123" s="4">
        <v>424.31</v>
      </c>
      <c r="C123" s="4">
        <v>33.055</v>
      </c>
      <c r="D123" s="3">
        <f t="shared" si="2"/>
        <v>1.6510995353906704E-3</v>
      </c>
      <c r="E123" s="3">
        <f t="shared" si="3"/>
        <v>2.2715236540885942E-3</v>
      </c>
    </row>
    <row r="124" spans="1:5" x14ac:dyDescent="0.25">
      <c r="A124" s="1">
        <v>44361</v>
      </c>
      <c r="B124" s="4">
        <v>425.26</v>
      </c>
      <c r="C124" s="4">
        <v>33.125</v>
      </c>
      <c r="D124" s="3">
        <f t="shared" si="2"/>
        <v>2.2364264179766859E-3</v>
      </c>
      <c r="E124" s="3">
        <f t="shared" si="3"/>
        <v>2.1154435208448328E-3</v>
      </c>
    </row>
    <row r="125" spans="1:5" x14ac:dyDescent="0.25">
      <c r="A125" s="1">
        <v>44362</v>
      </c>
      <c r="B125" s="4">
        <v>424.48</v>
      </c>
      <c r="C125" s="4">
        <v>33.225000000000001</v>
      </c>
      <c r="D125" s="3">
        <f t="shared" si="2"/>
        <v>-1.8358561891258481E-3</v>
      </c>
      <c r="E125" s="3">
        <f t="shared" si="3"/>
        <v>3.0143202929228782E-3</v>
      </c>
    </row>
    <row r="126" spans="1:5" x14ac:dyDescent="0.25">
      <c r="A126" s="1">
        <v>44363</v>
      </c>
      <c r="B126" s="4">
        <v>422.11</v>
      </c>
      <c r="C126" s="4">
        <v>32.725000000000001</v>
      </c>
      <c r="D126" s="3">
        <f t="shared" si="2"/>
        <v>-5.5989468131381597E-3</v>
      </c>
      <c r="E126" s="3">
        <f t="shared" si="3"/>
        <v>-1.5163292803345399E-2</v>
      </c>
    </row>
    <row r="127" spans="1:5" x14ac:dyDescent="0.25">
      <c r="A127" s="1">
        <v>44364</v>
      </c>
      <c r="B127" s="4">
        <v>421.97</v>
      </c>
      <c r="C127" s="4">
        <v>32.905000000000001</v>
      </c>
      <c r="D127" s="3">
        <f t="shared" si="2"/>
        <v>-3.3172211469007103E-4</v>
      </c>
      <c r="E127" s="3">
        <f t="shared" si="3"/>
        <v>5.4853101121188604E-3</v>
      </c>
    </row>
    <row r="128" spans="1:5" x14ac:dyDescent="0.25">
      <c r="A128" s="1">
        <v>44365</v>
      </c>
      <c r="B128" s="4">
        <v>414.92</v>
      </c>
      <c r="C128" s="4">
        <v>32.049999999999997</v>
      </c>
      <c r="D128" s="3">
        <f t="shared" si="2"/>
        <v>-1.6848490897973991E-2</v>
      </c>
      <c r="E128" s="3">
        <f t="shared" si="3"/>
        <v>-2.63274385414035E-2</v>
      </c>
    </row>
    <row r="129" spans="1:5" x14ac:dyDescent="0.25">
      <c r="A129" s="1">
        <v>44368</v>
      </c>
      <c r="B129" s="4">
        <v>420.86</v>
      </c>
      <c r="C129" s="4">
        <v>32.215000000000003</v>
      </c>
      <c r="D129" s="3">
        <f t="shared" si="2"/>
        <v>1.421450624684998E-2</v>
      </c>
      <c r="E129" s="3">
        <f t="shared" si="3"/>
        <v>5.1349992239268557E-3</v>
      </c>
    </row>
    <row r="130" spans="1:5" x14ac:dyDescent="0.25">
      <c r="A130" s="1">
        <v>44369</v>
      </c>
      <c r="B130" s="4">
        <v>423.11</v>
      </c>
      <c r="C130" s="4">
        <v>32.020000000000003</v>
      </c>
      <c r="D130" s="3">
        <f t="shared" si="2"/>
        <v>5.3319557106909976E-3</v>
      </c>
      <c r="E130" s="3">
        <f t="shared" si="3"/>
        <v>-6.0714750220371696E-3</v>
      </c>
    </row>
    <row r="131" spans="1:5" x14ac:dyDescent="0.25">
      <c r="A131" s="1">
        <v>44370</v>
      </c>
      <c r="B131" s="4">
        <v>422.6</v>
      </c>
      <c r="C131" s="4">
        <v>31.68</v>
      </c>
      <c r="D131" s="3">
        <f t="shared" si="2"/>
        <v>-1.2060873392119639E-3</v>
      </c>
      <c r="E131" s="3">
        <f t="shared" si="3"/>
        <v>-1.0675140622343595E-2</v>
      </c>
    </row>
    <row r="132" spans="1:5" x14ac:dyDescent="0.25">
      <c r="A132" s="1">
        <v>44371</v>
      </c>
      <c r="B132" s="4">
        <v>425.1</v>
      </c>
      <c r="C132" s="4">
        <v>31.65</v>
      </c>
      <c r="D132" s="3">
        <f t="shared" ref="D132:D195" si="4">LN(B132/B131)</f>
        <v>5.8983301827882266E-3</v>
      </c>
      <c r="E132" s="3">
        <f t="shared" ref="E132:E195" si="5">LN(C132/C131)</f>
        <v>-9.4741835603993918E-4</v>
      </c>
    </row>
    <row r="133" spans="1:5" x14ac:dyDescent="0.25">
      <c r="A133" s="1">
        <v>44372</v>
      </c>
      <c r="B133" s="4">
        <v>426.61</v>
      </c>
      <c r="C133" s="4">
        <v>31.99</v>
      </c>
      <c r="D133" s="3">
        <f t="shared" si="4"/>
        <v>3.5458115604477046E-3</v>
      </c>
      <c r="E133" s="3">
        <f t="shared" si="5"/>
        <v>1.0685205371241405E-2</v>
      </c>
    </row>
    <row r="134" spans="1:5" x14ac:dyDescent="0.25">
      <c r="A134" s="1">
        <v>44375</v>
      </c>
      <c r="B134" s="4">
        <v>427.47</v>
      </c>
      <c r="C134" s="4">
        <v>32.195</v>
      </c>
      <c r="D134" s="3">
        <f t="shared" si="4"/>
        <v>2.0138635506151423E-3</v>
      </c>
      <c r="E134" s="3">
        <f t="shared" si="5"/>
        <v>6.3878070287203444E-3</v>
      </c>
    </row>
    <row r="135" spans="1:5" x14ac:dyDescent="0.25">
      <c r="A135" s="1">
        <v>44376</v>
      </c>
      <c r="B135" s="4">
        <v>427.7</v>
      </c>
      <c r="C135" s="4">
        <v>31.675000000000001</v>
      </c>
      <c r="D135" s="3">
        <f t="shared" si="4"/>
        <v>5.3790475705577242E-4</v>
      </c>
      <c r="E135" s="3">
        <f t="shared" si="5"/>
        <v>-1.6283434782944025E-2</v>
      </c>
    </row>
    <row r="136" spans="1:5" x14ac:dyDescent="0.25">
      <c r="A136" s="1">
        <v>44377</v>
      </c>
      <c r="B136" s="4">
        <v>428.06</v>
      </c>
      <c r="C136" s="4">
        <v>31.614999999999998</v>
      </c>
      <c r="D136" s="3">
        <f t="shared" si="4"/>
        <v>8.4135743955433557E-4</v>
      </c>
      <c r="E136" s="3">
        <f t="shared" si="5"/>
        <v>-1.8960346966262706E-3</v>
      </c>
    </row>
    <row r="137" spans="1:5" x14ac:dyDescent="0.25">
      <c r="A137" s="1">
        <v>44378</v>
      </c>
      <c r="B137" s="4">
        <v>430.43</v>
      </c>
      <c r="C137" s="4">
        <v>31.96</v>
      </c>
      <c r="D137" s="3">
        <f t="shared" si="4"/>
        <v>5.5213363482745159E-3</v>
      </c>
      <c r="E137" s="3">
        <f t="shared" si="5"/>
        <v>1.085342938749748E-2</v>
      </c>
    </row>
    <row r="138" spans="1:5" x14ac:dyDescent="0.25">
      <c r="A138" s="1">
        <v>44379</v>
      </c>
      <c r="B138" s="4">
        <v>433.72</v>
      </c>
      <c r="C138" s="4">
        <v>32.01</v>
      </c>
      <c r="D138" s="3">
        <f t="shared" si="4"/>
        <v>7.6144555832896666E-3</v>
      </c>
      <c r="E138" s="3">
        <f t="shared" si="5"/>
        <v>1.5632330836977755E-3</v>
      </c>
    </row>
    <row r="139" spans="1:5" x14ac:dyDescent="0.25">
      <c r="A139" s="1">
        <v>44383</v>
      </c>
      <c r="B139" s="4">
        <v>432.93</v>
      </c>
      <c r="C139" s="4">
        <v>32.145000000000003</v>
      </c>
      <c r="D139" s="3">
        <f t="shared" si="4"/>
        <v>-1.8231124878851778E-3</v>
      </c>
      <c r="E139" s="3">
        <f t="shared" si="5"/>
        <v>4.2085636118784483E-3</v>
      </c>
    </row>
    <row r="140" spans="1:5" x14ac:dyDescent="0.25">
      <c r="A140" s="1">
        <v>44384</v>
      </c>
      <c r="B140" s="4">
        <v>434.46</v>
      </c>
      <c r="C140" s="4">
        <v>32.354999999999997</v>
      </c>
      <c r="D140" s="3">
        <f t="shared" si="4"/>
        <v>3.527828512688284E-3</v>
      </c>
      <c r="E140" s="3">
        <f t="shared" si="5"/>
        <v>6.5116509155791385E-3</v>
      </c>
    </row>
    <row r="141" spans="1:5" x14ac:dyDescent="0.25">
      <c r="A141" s="1">
        <v>44385</v>
      </c>
      <c r="B141" s="4">
        <v>430.92</v>
      </c>
      <c r="C141" s="4">
        <v>32.26</v>
      </c>
      <c r="D141" s="3">
        <f t="shared" si="4"/>
        <v>-8.1814226027924954E-3</v>
      </c>
      <c r="E141" s="3">
        <f t="shared" si="5"/>
        <v>-2.9404958121665844E-3</v>
      </c>
    </row>
    <row r="142" spans="1:5" x14ac:dyDescent="0.25">
      <c r="A142" s="1">
        <v>44386</v>
      </c>
      <c r="B142" s="4">
        <v>435.52</v>
      </c>
      <c r="C142" s="4">
        <v>32.299999999999997</v>
      </c>
      <c r="D142" s="3">
        <f t="shared" si="4"/>
        <v>1.0618261437109413E-2</v>
      </c>
      <c r="E142" s="3">
        <f t="shared" si="5"/>
        <v>1.239157531548053E-3</v>
      </c>
    </row>
    <row r="143" spans="1:5" x14ac:dyDescent="0.25">
      <c r="A143" s="1">
        <v>44389</v>
      </c>
      <c r="B143" s="4">
        <v>437.08</v>
      </c>
      <c r="C143" s="4">
        <v>32.405000000000001</v>
      </c>
      <c r="D143" s="3">
        <f t="shared" si="4"/>
        <v>3.5755252394434013E-3</v>
      </c>
      <c r="E143" s="3">
        <f t="shared" si="5"/>
        <v>3.2455016510685394E-3</v>
      </c>
    </row>
    <row r="144" spans="1:5" x14ac:dyDescent="0.25">
      <c r="A144" s="1">
        <v>44390</v>
      </c>
      <c r="B144" s="4">
        <v>435.59</v>
      </c>
      <c r="C144" s="4">
        <v>32.159999999999997</v>
      </c>
      <c r="D144" s="3">
        <f t="shared" si="4"/>
        <v>-3.4148107483902199E-3</v>
      </c>
      <c r="E144" s="3">
        <f t="shared" si="5"/>
        <v>-7.5892875689138797E-3</v>
      </c>
    </row>
    <row r="145" spans="1:5" x14ac:dyDescent="0.25">
      <c r="A145" s="1">
        <v>44391</v>
      </c>
      <c r="B145" s="4">
        <v>436.24</v>
      </c>
      <c r="C145" s="4">
        <v>32.44</v>
      </c>
      <c r="D145" s="3">
        <f t="shared" si="4"/>
        <v>1.4911166636517453E-3</v>
      </c>
      <c r="E145" s="3">
        <f t="shared" si="5"/>
        <v>8.6687849364464852E-3</v>
      </c>
    </row>
    <row r="146" spans="1:5" x14ac:dyDescent="0.25">
      <c r="A146" s="1">
        <v>44392</v>
      </c>
      <c r="B146" s="4">
        <v>434.75</v>
      </c>
      <c r="C146" s="4">
        <v>32.805</v>
      </c>
      <c r="D146" s="3">
        <f t="shared" si="4"/>
        <v>-3.4213973834137574E-3</v>
      </c>
      <c r="E146" s="3">
        <f t="shared" si="5"/>
        <v>1.1188713549628755E-2</v>
      </c>
    </row>
    <row r="147" spans="1:5" x14ac:dyDescent="0.25">
      <c r="A147" s="1">
        <v>44393</v>
      </c>
      <c r="B147" s="4">
        <v>431.34</v>
      </c>
      <c r="C147" s="4">
        <v>33.134999999999998</v>
      </c>
      <c r="D147" s="3">
        <f t="shared" si="4"/>
        <v>-7.8745110105572988E-3</v>
      </c>
      <c r="E147" s="3">
        <f t="shared" si="5"/>
        <v>1.0009182743349386E-2</v>
      </c>
    </row>
    <row r="148" spans="1:5" x14ac:dyDescent="0.25">
      <c r="A148" s="1">
        <v>44396</v>
      </c>
      <c r="B148" s="4">
        <v>424.97</v>
      </c>
      <c r="C148" s="4">
        <v>32.61</v>
      </c>
      <c r="D148" s="3">
        <f t="shared" si="4"/>
        <v>-1.4878064026179113E-2</v>
      </c>
      <c r="E148" s="3">
        <f t="shared" si="5"/>
        <v>-1.5971135738962413E-2</v>
      </c>
    </row>
    <row r="149" spans="1:5" x14ac:dyDescent="0.25">
      <c r="A149" s="1">
        <v>44397</v>
      </c>
      <c r="B149" s="4">
        <v>431.06</v>
      </c>
      <c r="C149" s="4">
        <v>32.75</v>
      </c>
      <c r="D149" s="3">
        <f t="shared" si="4"/>
        <v>1.4228713354011657E-2</v>
      </c>
      <c r="E149" s="3">
        <f t="shared" si="5"/>
        <v>4.2839722800332002E-3</v>
      </c>
    </row>
    <row r="150" spans="1:5" x14ac:dyDescent="0.25">
      <c r="A150" s="1">
        <v>44398</v>
      </c>
      <c r="B150" s="4">
        <v>434.55</v>
      </c>
      <c r="C150" s="4">
        <v>32.39</v>
      </c>
      <c r="D150" s="3">
        <f t="shared" si="4"/>
        <v>8.0637213318014173E-3</v>
      </c>
      <c r="E150" s="3">
        <f t="shared" si="5"/>
        <v>-1.1053228898022937E-2</v>
      </c>
    </row>
    <row r="151" spans="1:5" x14ac:dyDescent="0.25">
      <c r="A151" s="1">
        <v>44399</v>
      </c>
      <c r="B151" s="4">
        <v>435.46</v>
      </c>
      <c r="C151" s="4">
        <v>32.44</v>
      </c>
      <c r="D151" s="3">
        <f t="shared" si="4"/>
        <v>2.0919307407038026E-3</v>
      </c>
      <c r="E151" s="3">
        <f t="shared" si="5"/>
        <v>1.542496063974061E-3</v>
      </c>
    </row>
    <row r="152" spans="1:5" x14ac:dyDescent="0.25">
      <c r="A152" s="1">
        <v>44400</v>
      </c>
      <c r="B152" s="4">
        <v>439.94</v>
      </c>
      <c r="C152" s="4">
        <v>32.854999999999997</v>
      </c>
      <c r="D152" s="3">
        <f t="shared" si="4"/>
        <v>1.0235410353404478E-2</v>
      </c>
      <c r="E152" s="3">
        <f t="shared" si="5"/>
        <v>1.2711711102618905E-2</v>
      </c>
    </row>
    <row r="153" spans="1:5" x14ac:dyDescent="0.25">
      <c r="A153" s="1">
        <v>44403</v>
      </c>
      <c r="B153" s="4">
        <v>441.02</v>
      </c>
      <c r="C153" s="4">
        <v>32.865000000000002</v>
      </c>
      <c r="D153" s="3">
        <f t="shared" si="4"/>
        <v>2.4518719148446753E-3</v>
      </c>
      <c r="E153" s="3">
        <f t="shared" si="5"/>
        <v>3.0432136570849227E-4</v>
      </c>
    </row>
    <row r="154" spans="1:5" x14ac:dyDescent="0.25">
      <c r="A154" s="1">
        <v>44404</v>
      </c>
      <c r="B154" s="4">
        <v>439.01</v>
      </c>
      <c r="C154" s="4">
        <v>33.43</v>
      </c>
      <c r="D154" s="3">
        <f t="shared" si="4"/>
        <v>-4.5680340334088325E-3</v>
      </c>
      <c r="E154" s="3">
        <f t="shared" si="5"/>
        <v>1.7045438716467638E-2</v>
      </c>
    </row>
    <row r="155" spans="1:5" x14ac:dyDescent="0.25">
      <c r="A155" s="1">
        <v>44405</v>
      </c>
      <c r="B155" s="4">
        <v>438.83</v>
      </c>
      <c r="C155" s="4">
        <v>33.174999999999997</v>
      </c>
      <c r="D155" s="3">
        <f t="shared" si="4"/>
        <v>-4.1009751782265748E-4</v>
      </c>
      <c r="E155" s="3">
        <f t="shared" si="5"/>
        <v>-7.6571202137360817E-3</v>
      </c>
    </row>
    <row r="156" spans="1:5" x14ac:dyDescent="0.25">
      <c r="A156" s="1">
        <v>44406</v>
      </c>
      <c r="B156" s="4">
        <v>440.65</v>
      </c>
      <c r="C156" s="4">
        <v>33.265000000000001</v>
      </c>
      <c r="D156" s="3">
        <f t="shared" si="4"/>
        <v>4.1388152044790774E-3</v>
      </c>
      <c r="E156" s="3">
        <f t="shared" si="5"/>
        <v>2.709212975579699E-3</v>
      </c>
    </row>
    <row r="157" spans="1:5" x14ac:dyDescent="0.25">
      <c r="A157" s="1">
        <v>44407</v>
      </c>
      <c r="B157" s="4">
        <v>438.51</v>
      </c>
      <c r="C157" s="4">
        <v>32.984999999999999</v>
      </c>
      <c r="D157" s="3">
        <f t="shared" si="4"/>
        <v>-4.8682929763584392E-3</v>
      </c>
      <c r="E157" s="3">
        <f t="shared" si="5"/>
        <v>-8.4528805190167196E-3</v>
      </c>
    </row>
    <row r="158" spans="1:5" x14ac:dyDescent="0.25">
      <c r="A158" s="1">
        <v>44410</v>
      </c>
      <c r="B158" s="4">
        <v>437.59</v>
      </c>
      <c r="C158" s="4">
        <v>33.24</v>
      </c>
      <c r="D158" s="3">
        <f t="shared" si="4"/>
        <v>-2.1002176422100205E-3</v>
      </c>
      <c r="E158" s="3">
        <f t="shared" si="5"/>
        <v>7.7010573124133772E-3</v>
      </c>
    </row>
    <row r="159" spans="1:5" x14ac:dyDescent="0.25">
      <c r="A159" s="1">
        <v>44411</v>
      </c>
      <c r="B159" s="4">
        <v>441.15</v>
      </c>
      <c r="C159" s="4">
        <v>33.43</v>
      </c>
      <c r="D159" s="3">
        <f t="shared" si="4"/>
        <v>8.1025547410126467E-3</v>
      </c>
      <c r="E159" s="3">
        <f t="shared" si="5"/>
        <v>5.6997304447597335E-3</v>
      </c>
    </row>
    <row r="160" spans="1:5" x14ac:dyDescent="0.25">
      <c r="A160" s="1">
        <v>44412</v>
      </c>
      <c r="B160" s="4">
        <v>438.98</v>
      </c>
      <c r="C160" s="4">
        <v>33.380000000000003</v>
      </c>
      <c r="D160" s="3">
        <f t="shared" si="4"/>
        <v>-4.9310997173037437E-3</v>
      </c>
      <c r="E160" s="3">
        <f t="shared" si="5"/>
        <v>-1.4967821983181218E-3</v>
      </c>
    </row>
    <row r="161" spans="1:5" x14ac:dyDescent="0.25">
      <c r="A161" s="1">
        <v>44413</v>
      </c>
      <c r="B161" s="4">
        <v>441.76</v>
      </c>
      <c r="C161" s="4">
        <v>33.744999999999997</v>
      </c>
      <c r="D161" s="3">
        <f t="shared" si="4"/>
        <v>6.3128942310343482E-3</v>
      </c>
      <c r="E161" s="3">
        <f t="shared" si="5"/>
        <v>1.0875339961680585E-2</v>
      </c>
    </row>
    <row r="162" spans="1:5" x14ac:dyDescent="0.25">
      <c r="A162" s="1">
        <v>44414</v>
      </c>
      <c r="B162" s="4">
        <v>442.49</v>
      </c>
      <c r="C162" s="4">
        <v>33.725000000000001</v>
      </c>
      <c r="D162" s="3">
        <f t="shared" si="4"/>
        <v>1.651117140725153E-3</v>
      </c>
      <c r="E162" s="3">
        <f t="shared" si="5"/>
        <v>-5.9285610155007304E-4</v>
      </c>
    </row>
    <row r="163" spans="1:5" x14ac:dyDescent="0.25">
      <c r="A163" s="1">
        <v>44417</v>
      </c>
      <c r="B163" s="4">
        <v>442.13</v>
      </c>
      <c r="C163" s="4">
        <v>33.715000000000003</v>
      </c>
      <c r="D163" s="3">
        <f t="shared" si="4"/>
        <v>-8.1390884192863154E-4</v>
      </c>
      <c r="E163" s="3">
        <f t="shared" si="5"/>
        <v>-2.9655990727427112E-4</v>
      </c>
    </row>
    <row r="164" spans="1:5" x14ac:dyDescent="0.25">
      <c r="A164" s="1">
        <v>44418</v>
      </c>
      <c r="B164" s="4">
        <v>442.68</v>
      </c>
      <c r="C164" s="4">
        <v>33.75</v>
      </c>
      <c r="D164" s="3">
        <f t="shared" si="4"/>
        <v>1.2432049159437405E-3</v>
      </c>
      <c r="E164" s="3">
        <f t="shared" si="5"/>
        <v>1.0375751319934841E-3</v>
      </c>
    </row>
    <row r="165" spans="1:5" x14ac:dyDescent="0.25">
      <c r="A165" s="1">
        <v>44419</v>
      </c>
      <c r="B165" s="4">
        <v>443.78</v>
      </c>
      <c r="C165" s="4">
        <v>34.064999999999998</v>
      </c>
      <c r="D165" s="3">
        <f t="shared" si="4"/>
        <v>2.4817827416857606E-3</v>
      </c>
      <c r="E165" s="3">
        <f t="shared" si="5"/>
        <v>9.2900469070925137E-3</v>
      </c>
    </row>
    <row r="166" spans="1:5" x14ac:dyDescent="0.25">
      <c r="A166" s="1">
        <v>44420</v>
      </c>
      <c r="B166" s="4">
        <v>445.11</v>
      </c>
      <c r="C166" s="4">
        <v>34.1</v>
      </c>
      <c r="D166" s="3">
        <f t="shared" si="4"/>
        <v>2.9924984925414492E-3</v>
      </c>
      <c r="E166" s="3">
        <f t="shared" si="5"/>
        <v>1.0269200638396727E-3</v>
      </c>
    </row>
    <row r="167" spans="1:5" x14ac:dyDescent="0.25">
      <c r="A167" s="1">
        <v>44421</v>
      </c>
      <c r="B167" s="4">
        <v>445.92</v>
      </c>
      <c r="C167" s="4">
        <v>34.340000000000003</v>
      </c>
      <c r="D167" s="3">
        <f t="shared" si="4"/>
        <v>1.8181211028260626E-3</v>
      </c>
      <c r="E167" s="3">
        <f t="shared" si="5"/>
        <v>7.0134711798584045E-3</v>
      </c>
    </row>
    <row r="168" spans="1:5" x14ac:dyDescent="0.25">
      <c r="A168" s="1">
        <v>44424</v>
      </c>
      <c r="B168" s="4">
        <v>446.97</v>
      </c>
      <c r="C168" s="4">
        <v>34.549999999999997</v>
      </c>
      <c r="D168" s="3">
        <f t="shared" si="4"/>
        <v>2.3519145337195283E-3</v>
      </c>
      <c r="E168" s="3">
        <f t="shared" si="5"/>
        <v>6.0966947443492929E-3</v>
      </c>
    </row>
    <row r="169" spans="1:5" x14ac:dyDescent="0.25">
      <c r="A169" s="1">
        <v>44425</v>
      </c>
      <c r="B169" s="4">
        <v>444.04</v>
      </c>
      <c r="C169" s="4">
        <v>34.57</v>
      </c>
      <c r="D169" s="3">
        <f t="shared" si="4"/>
        <v>-6.5768298029111431E-3</v>
      </c>
      <c r="E169" s="3">
        <f t="shared" si="5"/>
        <v>5.7870371985436933E-4</v>
      </c>
    </row>
    <row r="170" spans="1:5" x14ac:dyDescent="0.25">
      <c r="A170" s="1">
        <v>44426</v>
      </c>
      <c r="B170" s="4">
        <v>439.18</v>
      </c>
      <c r="C170" s="4">
        <v>34.395000000000003</v>
      </c>
      <c r="D170" s="3">
        <f t="shared" si="4"/>
        <v>-1.1005296646600982E-2</v>
      </c>
      <c r="E170" s="3">
        <f t="shared" si="5"/>
        <v>-5.0750489555556541E-3</v>
      </c>
    </row>
    <row r="171" spans="1:5" x14ac:dyDescent="0.25">
      <c r="A171" s="1">
        <v>44427</v>
      </c>
      <c r="B171" s="4">
        <v>439.86</v>
      </c>
      <c r="C171" s="4">
        <v>34.534999999999997</v>
      </c>
      <c r="D171" s="3">
        <f t="shared" si="4"/>
        <v>1.5471426457048332E-3</v>
      </c>
      <c r="E171" s="3">
        <f t="shared" si="5"/>
        <v>4.0620975629585025E-3</v>
      </c>
    </row>
    <row r="172" spans="1:5" x14ac:dyDescent="0.25">
      <c r="A172" s="1">
        <v>44428</v>
      </c>
      <c r="B172" s="4">
        <v>443.36</v>
      </c>
      <c r="C172" s="4">
        <v>34.965000000000003</v>
      </c>
      <c r="D172" s="3">
        <f t="shared" si="4"/>
        <v>7.9255866511181144E-3</v>
      </c>
      <c r="E172" s="3">
        <f t="shared" si="5"/>
        <v>1.2374258614894176E-2</v>
      </c>
    </row>
    <row r="173" spans="1:5" x14ac:dyDescent="0.25">
      <c r="A173" s="1">
        <v>44431</v>
      </c>
      <c r="B173" s="4">
        <v>447.26</v>
      </c>
      <c r="C173" s="4">
        <v>34.515000000000001</v>
      </c>
      <c r="D173" s="3">
        <f t="shared" si="4"/>
        <v>8.7579998839028526E-3</v>
      </c>
      <c r="E173" s="3">
        <f t="shared" si="5"/>
        <v>-1.2953549000391378E-2</v>
      </c>
    </row>
    <row r="174" spans="1:5" x14ac:dyDescent="0.25">
      <c r="A174" s="1">
        <v>44432</v>
      </c>
      <c r="B174" s="4">
        <v>447.97</v>
      </c>
      <c r="C174" s="4">
        <v>34.29</v>
      </c>
      <c r="D174" s="3">
        <f t="shared" si="4"/>
        <v>1.5861848884918582E-3</v>
      </c>
      <c r="E174" s="3">
        <f t="shared" si="5"/>
        <v>-6.5402456806099895E-3</v>
      </c>
    </row>
    <row r="175" spans="1:5" x14ac:dyDescent="0.25">
      <c r="A175" s="1">
        <v>44433</v>
      </c>
      <c r="B175" s="4">
        <v>448.91</v>
      </c>
      <c r="C175" s="4">
        <v>34.354999999999997</v>
      </c>
      <c r="D175" s="3">
        <f t="shared" si="4"/>
        <v>2.0961563290218389E-3</v>
      </c>
      <c r="E175" s="3">
        <f t="shared" si="5"/>
        <v>1.8938020082101721E-3</v>
      </c>
    </row>
    <row r="176" spans="1:5" x14ac:dyDescent="0.25">
      <c r="A176" s="1">
        <v>44434</v>
      </c>
      <c r="B176" s="4">
        <v>446.26</v>
      </c>
      <c r="C176" s="4">
        <v>34.270000000000003</v>
      </c>
      <c r="D176" s="3">
        <f t="shared" si="4"/>
        <v>-5.9206804097277901E-3</v>
      </c>
      <c r="E176" s="3">
        <f t="shared" si="5"/>
        <v>-2.4772325965216752E-3</v>
      </c>
    </row>
    <row r="177" spans="1:5" x14ac:dyDescent="0.25">
      <c r="A177" s="1">
        <v>44435</v>
      </c>
      <c r="B177" s="4">
        <v>450.25</v>
      </c>
      <c r="C177" s="4">
        <v>34.26</v>
      </c>
      <c r="D177" s="3">
        <f t="shared" si="4"/>
        <v>8.9012422497082022E-3</v>
      </c>
      <c r="E177" s="3">
        <f t="shared" si="5"/>
        <v>-2.9184299054376832E-4</v>
      </c>
    </row>
    <row r="178" spans="1:5" x14ac:dyDescent="0.25">
      <c r="A178" s="1">
        <v>44438</v>
      </c>
      <c r="B178" s="4">
        <v>452.23</v>
      </c>
      <c r="C178" s="4">
        <v>34.31</v>
      </c>
      <c r="D178" s="3">
        <f t="shared" si="4"/>
        <v>4.3879159136535227E-3</v>
      </c>
      <c r="E178" s="3">
        <f t="shared" si="5"/>
        <v>1.4583639743846473E-3</v>
      </c>
    </row>
    <row r="179" spans="1:5" x14ac:dyDescent="0.25">
      <c r="A179" s="1">
        <v>44439</v>
      </c>
      <c r="B179" s="4">
        <v>451.56</v>
      </c>
      <c r="C179" s="4">
        <v>34.270000000000003</v>
      </c>
      <c r="D179" s="3">
        <f t="shared" si="4"/>
        <v>-1.4826455763727044E-3</v>
      </c>
      <c r="E179" s="3">
        <f t="shared" si="5"/>
        <v>-1.1665209838408461E-3</v>
      </c>
    </row>
    <row r="180" spans="1:5" x14ac:dyDescent="0.25">
      <c r="A180" s="1">
        <v>44440</v>
      </c>
      <c r="B180" s="4">
        <v>451.8</v>
      </c>
      <c r="C180" s="4">
        <v>34.72</v>
      </c>
      <c r="D180" s="3">
        <f t="shared" si="4"/>
        <v>5.3134964055682164E-4</v>
      </c>
      <c r="E180" s="3">
        <f t="shared" si="5"/>
        <v>1.3045553905631896E-2</v>
      </c>
    </row>
    <row r="181" spans="1:5" x14ac:dyDescent="0.25">
      <c r="A181" s="1">
        <v>44441</v>
      </c>
      <c r="B181" s="4">
        <v>453.19</v>
      </c>
      <c r="C181" s="4">
        <v>35.034999999999997</v>
      </c>
      <c r="D181" s="3">
        <f t="shared" si="4"/>
        <v>3.071859563178311E-3</v>
      </c>
      <c r="E181" s="3">
        <f t="shared" si="5"/>
        <v>9.0316720303477566E-3</v>
      </c>
    </row>
    <row r="182" spans="1:5" x14ac:dyDescent="0.25">
      <c r="A182" s="1">
        <v>44442</v>
      </c>
      <c r="B182" s="4">
        <v>453.08</v>
      </c>
      <c r="C182" s="4">
        <v>34.744999999999997</v>
      </c>
      <c r="D182" s="3">
        <f t="shared" si="4"/>
        <v>-2.4275326456844163E-4</v>
      </c>
      <c r="E182" s="3">
        <f t="shared" si="5"/>
        <v>-8.3118850562065149E-3</v>
      </c>
    </row>
    <row r="183" spans="1:5" x14ac:dyDescent="0.25">
      <c r="A183" s="1">
        <v>44446</v>
      </c>
      <c r="B183" s="4">
        <v>451.46</v>
      </c>
      <c r="C183" s="4">
        <v>34.284999999999997</v>
      </c>
      <c r="D183" s="3">
        <f t="shared" si="4"/>
        <v>-3.5819349770811436E-3</v>
      </c>
      <c r="E183" s="3">
        <f t="shared" si="5"/>
        <v>-1.3327736029962983E-2</v>
      </c>
    </row>
    <row r="184" spans="1:5" x14ac:dyDescent="0.25">
      <c r="A184" s="1">
        <v>44447</v>
      </c>
      <c r="B184" s="4">
        <v>450.91</v>
      </c>
      <c r="C184" s="4">
        <v>34.9</v>
      </c>
      <c r="D184" s="3">
        <f t="shared" si="4"/>
        <v>-1.2190123078291487E-3</v>
      </c>
      <c r="E184" s="3">
        <f t="shared" si="5"/>
        <v>1.7778888472053837E-2</v>
      </c>
    </row>
    <row r="185" spans="1:5" x14ac:dyDescent="0.25">
      <c r="A185" s="1">
        <v>44448</v>
      </c>
      <c r="B185" s="4">
        <v>448.98</v>
      </c>
      <c r="C185" s="4">
        <v>34.71</v>
      </c>
      <c r="D185" s="3">
        <f t="shared" si="4"/>
        <v>-4.2894197272803575E-3</v>
      </c>
      <c r="E185" s="3">
        <f t="shared" si="5"/>
        <v>-5.4589993346865259E-3</v>
      </c>
    </row>
    <row r="186" spans="1:5" x14ac:dyDescent="0.25">
      <c r="A186" s="1">
        <v>44449</v>
      </c>
      <c r="B186" s="4">
        <v>445.44</v>
      </c>
      <c r="C186" s="4">
        <v>34.225000000000001</v>
      </c>
      <c r="D186" s="3">
        <f t="shared" si="4"/>
        <v>-7.9157856143220236E-3</v>
      </c>
      <c r="E186" s="3">
        <f t="shared" si="5"/>
        <v>-1.4071458699182242E-2</v>
      </c>
    </row>
    <row r="187" spans="1:5" x14ac:dyDescent="0.25">
      <c r="A187" s="1">
        <v>44452</v>
      </c>
      <c r="B187" s="4">
        <v>446.58</v>
      </c>
      <c r="C187" s="4">
        <v>34.164999999999999</v>
      </c>
      <c r="D187" s="3">
        <f t="shared" si="4"/>
        <v>2.5559978938741105E-3</v>
      </c>
      <c r="E187" s="3">
        <f t="shared" si="5"/>
        <v>-1.7546429417710468E-3</v>
      </c>
    </row>
    <row r="188" spans="1:5" x14ac:dyDescent="0.25">
      <c r="A188" s="1">
        <v>44453</v>
      </c>
      <c r="B188" s="4">
        <v>444.17</v>
      </c>
      <c r="C188" s="4">
        <v>34.049999999999997</v>
      </c>
      <c r="D188" s="3">
        <f t="shared" si="4"/>
        <v>-5.4111835657128897E-3</v>
      </c>
      <c r="E188" s="3">
        <f t="shared" si="5"/>
        <v>-3.3716956372202506E-3</v>
      </c>
    </row>
    <row r="189" spans="1:5" x14ac:dyDescent="0.25">
      <c r="A189" s="1">
        <v>44454</v>
      </c>
      <c r="B189" s="4">
        <v>447.88</v>
      </c>
      <c r="C189" s="4">
        <v>34.005000000000003</v>
      </c>
      <c r="D189" s="3">
        <f t="shared" si="4"/>
        <v>8.3179673578347817E-3</v>
      </c>
      <c r="E189" s="3">
        <f t="shared" si="5"/>
        <v>-1.3224599679191749E-3</v>
      </c>
    </row>
    <row r="190" spans="1:5" x14ac:dyDescent="0.25">
      <c r="A190" s="1">
        <v>44455</v>
      </c>
      <c r="B190" s="4">
        <v>447.17</v>
      </c>
      <c r="C190" s="4">
        <v>33.72</v>
      </c>
      <c r="D190" s="3">
        <f t="shared" si="4"/>
        <v>-1.5865038800562123E-3</v>
      </c>
      <c r="E190" s="3">
        <f t="shared" si="5"/>
        <v>-8.4164394939474467E-3</v>
      </c>
    </row>
    <row r="191" spans="1:5" x14ac:dyDescent="0.25">
      <c r="A191" s="1">
        <v>44456</v>
      </c>
      <c r="B191" s="4">
        <v>441.4</v>
      </c>
      <c r="C191" s="4">
        <v>33.200000000000003</v>
      </c>
      <c r="D191" s="3">
        <f t="shared" si="4"/>
        <v>-1.2987341689304007E-2</v>
      </c>
      <c r="E191" s="3">
        <f t="shared" si="5"/>
        <v>-1.5541257211211686E-2</v>
      </c>
    </row>
    <row r="192" spans="1:5" x14ac:dyDescent="0.25">
      <c r="A192" s="1">
        <v>44459</v>
      </c>
      <c r="B192" s="4">
        <v>434.04</v>
      </c>
      <c r="C192" s="4">
        <v>32.89</v>
      </c>
      <c r="D192" s="3">
        <f t="shared" si="4"/>
        <v>-1.6814798070629022E-2</v>
      </c>
      <c r="E192" s="3">
        <f t="shared" si="5"/>
        <v>-9.3812157214773501E-3</v>
      </c>
    </row>
    <row r="193" spans="1:5" x14ac:dyDescent="0.25">
      <c r="A193" s="1">
        <v>44460</v>
      </c>
      <c r="B193" s="4">
        <v>433.63</v>
      </c>
      <c r="C193" s="4">
        <v>32.799999999999997</v>
      </c>
      <c r="D193" s="3">
        <f t="shared" si="4"/>
        <v>-9.4505982808117095E-4</v>
      </c>
      <c r="E193" s="3">
        <f t="shared" si="5"/>
        <v>-2.7401448108676845E-3</v>
      </c>
    </row>
    <row r="194" spans="1:5" x14ac:dyDescent="0.25">
      <c r="A194" s="1">
        <v>44461</v>
      </c>
      <c r="B194" s="4">
        <v>437.86</v>
      </c>
      <c r="C194" s="4">
        <v>32.78</v>
      </c>
      <c r="D194" s="3">
        <f t="shared" si="4"/>
        <v>9.707588655264391E-3</v>
      </c>
      <c r="E194" s="3">
        <f t="shared" si="5"/>
        <v>-6.0994207441431112E-4</v>
      </c>
    </row>
    <row r="195" spans="1:5" x14ac:dyDescent="0.25">
      <c r="A195" s="1">
        <v>44462</v>
      </c>
      <c r="B195" s="4">
        <v>443.18</v>
      </c>
      <c r="C195" s="4">
        <v>32.604999999999997</v>
      </c>
      <c r="D195" s="3">
        <f t="shared" si="4"/>
        <v>1.2076783481868766E-2</v>
      </c>
      <c r="E195" s="3">
        <f t="shared" si="5"/>
        <v>-5.3529224705182064E-3</v>
      </c>
    </row>
    <row r="196" spans="1:5" x14ac:dyDescent="0.25">
      <c r="A196" s="1">
        <v>44463</v>
      </c>
      <c r="B196" s="4">
        <v>443.91</v>
      </c>
      <c r="C196" s="4">
        <v>32.57</v>
      </c>
      <c r="D196" s="3">
        <f t="shared" ref="D196:D259" si="6">LN(B196/B195)</f>
        <v>1.6458311214935907E-3</v>
      </c>
      <c r="E196" s="3">
        <f t="shared" ref="E196:E259" si="7">LN(C196/C195)</f>
        <v>-1.0740315570234053E-3</v>
      </c>
    </row>
    <row r="197" spans="1:5" x14ac:dyDescent="0.25">
      <c r="A197" s="1">
        <v>44466</v>
      </c>
      <c r="B197" s="4">
        <v>442.64</v>
      </c>
      <c r="C197" s="4">
        <v>32.185000000000002</v>
      </c>
      <c r="D197" s="3">
        <f t="shared" si="6"/>
        <v>-2.8650405926983272E-3</v>
      </c>
      <c r="E197" s="3">
        <f t="shared" si="7"/>
        <v>-1.189111378356293E-2</v>
      </c>
    </row>
    <row r="198" spans="1:5" x14ac:dyDescent="0.25">
      <c r="A198" s="1">
        <v>44467</v>
      </c>
      <c r="B198" s="4">
        <v>433.72</v>
      </c>
      <c r="C198" s="4">
        <v>31.78</v>
      </c>
      <c r="D198" s="3">
        <f t="shared" si="6"/>
        <v>-2.0357633985873001E-2</v>
      </c>
      <c r="E198" s="3">
        <f t="shared" si="7"/>
        <v>-1.2663344396009312E-2</v>
      </c>
    </row>
    <row r="199" spans="1:5" x14ac:dyDescent="0.25">
      <c r="A199" s="1">
        <v>44468</v>
      </c>
      <c r="B199" s="4">
        <v>434.45</v>
      </c>
      <c r="C199" s="4">
        <v>32.195</v>
      </c>
      <c r="D199" s="3">
        <f t="shared" si="6"/>
        <v>1.6816986812337234E-3</v>
      </c>
      <c r="E199" s="3">
        <f t="shared" si="7"/>
        <v>1.2973999881576917E-2</v>
      </c>
    </row>
    <row r="200" spans="1:5" x14ac:dyDescent="0.25">
      <c r="A200" s="1">
        <v>44469</v>
      </c>
      <c r="B200" s="4">
        <v>429.14</v>
      </c>
      <c r="C200" s="4">
        <v>31.94</v>
      </c>
      <c r="D200" s="3">
        <f t="shared" si="6"/>
        <v>-1.2297657268279926E-2</v>
      </c>
      <c r="E200" s="3">
        <f t="shared" si="7"/>
        <v>-7.952018203280382E-3</v>
      </c>
    </row>
    <row r="201" spans="1:5" x14ac:dyDescent="0.25">
      <c r="A201" s="1">
        <v>44470</v>
      </c>
      <c r="B201" s="4">
        <v>434.24</v>
      </c>
      <c r="C201" s="4">
        <v>31.94</v>
      </c>
      <c r="D201" s="3">
        <f t="shared" si="6"/>
        <v>1.1814170629569253E-2</v>
      </c>
      <c r="E201" s="3">
        <f t="shared" si="7"/>
        <v>0</v>
      </c>
    </row>
    <row r="202" spans="1:5" x14ac:dyDescent="0.25">
      <c r="A202" s="1">
        <v>44473</v>
      </c>
      <c r="B202" s="4">
        <v>428.64</v>
      </c>
      <c r="C202" s="4">
        <v>32.380000000000003</v>
      </c>
      <c r="D202" s="3">
        <f t="shared" si="6"/>
        <v>-1.2979970850205805E-2</v>
      </c>
      <c r="E202" s="3">
        <f t="shared" si="7"/>
        <v>1.368180546262264E-2</v>
      </c>
    </row>
    <row r="203" spans="1:5" x14ac:dyDescent="0.25">
      <c r="A203" s="1">
        <v>44474</v>
      </c>
      <c r="B203" s="4">
        <v>433.1</v>
      </c>
      <c r="C203" s="4">
        <v>32.299999999999997</v>
      </c>
      <c r="D203" s="3">
        <f t="shared" si="6"/>
        <v>1.0351242424282498E-2</v>
      </c>
      <c r="E203" s="3">
        <f t="shared" si="7"/>
        <v>-2.4737180208783639E-3</v>
      </c>
    </row>
    <row r="204" spans="1:5" x14ac:dyDescent="0.25">
      <c r="A204" s="1">
        <v>44475</v>
      </c>
      <c r="B204" s="4">
        <v>434.9</v>
      </c>
      <c r="C204" s="4">
        <v>32.799999999999997</v>
      </c>
      <c r="D204" s="3">
        <f t="shared" si="6"/>
        <v>4.1474713830116205E-3</v>
      </c>
      <c r="E204" s="3">
        <f t="shared" si="7"/>
        <v>1.5361285161487149E-2</v>
      </c>
    </row>
    <row r="205" spans="1:5" x14ac:dyDescent="0.25">
      <c r="A205" s="1">
        <v>44476</v>
      </c>
      <c r="B205" s="4">
        <v>438.66</v>
      </c>
      <c r="C205" s="4">
        <v>32.625</v>
      </c>
      <c r="D205" s="3">
        <f t="shared" si="6"/>
        <v>8.6085059296869462E-3</v>
      </c>
      <c r="E205" s="3">
        <f t="shared" si="7"/>
        <v>-5.3496497472404871E-3</v>
      </c>
    </row>
    <row r="206" spans="1:5" x14ac:dyDescent="0.25">
      <c r="A206" s="1">
        <v>44477</v>
      </c>
      <c r="B206" s="4">
        <v>437.86</v>
      </c>
      <c r="C206" s="4">
        <v>32.384999999999998</v>
      </c>
      <c r="D206" s="3">
        <f t="shared" si="6"/>
        <v>-1.8254009540894956E-3</v>
      </c>
      <c r="E206" s="3">
        <f t="shared" si="7"/>
        <v>-7.3835130079771818E-3</v>
      </c>
    </row>
    <row r="207" spans="1:5" x14ac:dyDescent="0.25">
      <c r="A207" s="1">
        <v>44480</v>
      </c>
      <c r="B207" s="4">
        <v>434.69</v>
      </c>
      <c r="C207" s="4">
        <v>31.945</v>
      </c>
      <c r="D207" s="3">
        <f t="shared" si="6"/>
        <v>-7.2660912198788544E-3</v>
      </c>
      <c r="E207" s="3">
        <f t="shared" si="7"/>
        <v>-1.3679678580573661E-2</v>
      </c>
    </row>
    <row r="208" spans="1:5" x14ac:dyDescent="0.25">
      <c r="A208" s="1">
        <v>44481</v>
      </c>
      <c r="B208" s="4">
        <v>433.62</v>
      </c>
      <c r="C208" s="4">
        <v>32.159999999999997</v>
      </c>
      <c r="D208" s="3">
        <f t="shared" si="6"/>
        <v>-2.4645588363665784E-3</v>
      </c>
      <c r="E208" s="3">
        <f t="shared" si="7"/>
        <v>6.707770256458836E-3</v>
      </c>
    </row>
    <row r="209" spans="1:5" x14ac:dyDescent="0.25">
      <c r="A209" s="1">
        <v>44482</v>
      </c>
      <c r="B209" s="4">
        <v>435.18</v>
      </c>
      <c r="C209" s="4">
        <v>32.534999999999997</v>
      </c>
      <c r="D209" s="3">
        <f t="shared" si="6"/>
        <v>3.591164080431317E-3</v>
      </c>
      <c r="E209" s="3">
        <f t="shared" si="7"/>
        <v>1.1592988636181866E-2</v>
      </c>
    </row>
    <row r="210" spans="1:5" x14ac:dyDescent="0.25">
      <c r="A210" s="1">
        <v>44483</v>
      </c>
      <c r="B210" s="4">
        <v>442.5</v>
      </c>
      <c r="C210" s="4">
        <v>32.935000000000002</v>
      </c>
      <c r="D210" s="3">
        <f t="shared" si="6"/>
        <v>1.6680725844608141E-2</v>
      </c>
      <c r="E210" s="3">
        <f t="shared" si="7"/>
        <v>1.2219489145708973E-2</v>
      </c>
    </row>
    <row r="211" spans="1:5" x14ac:dyDescent="0.25">
      <c r="A211" s="1">
        <v>44484</v>
      </c>
      <c r="B211" s="4">
        <v>445.87</v>
      </c>
      <c r="C211" s="4">
        <v>32.840000000000003</v>
      </c>
      <c r="D211" s="3">
        <f t="shared" si="6"/>
        <v>7.5869652629526746E-3</v>
      </c>
      <c r="E211" s="3">
        <f t="shared" si="7"/>
        <v>-2.8886375084287061E-3</v>
      </c>
    </row>
    <row r="212" spans="1:5" x14ac:dyDescent="0.25">
      <c r="A212" s="1">
        <v>44487</v>
      </c>
      <c r="B212" s="4">
        <v>447.19</v>
      </c>
      <c r="C212" s="4">
        <v>32.524999999999999</v>
      </c>
      <c r="D212" s="3">
        <f t="shared" si="6"/>
        <v>2.9561305203630209E-3</v>
      </c>
      <c r="E212" s="3">
        <f t="shared" si="7"/>
        <v>-9.63826018565863E-3</v>
      </c>
    </row>
    <row r="213" spans="1:5" x14ac:dyDescent="0.25">
      <c r="A213" s="1">
        <v>44488</v>
      </c>
      <c r="B213" s="4">
        <v>450.64</v>
      </c>
      <c r="C213" s="4">
        <v>32.935000000000002</v>
      </c>
      <c r="D213" s="3">
        <f t="shared" si="6"/>
        <v>7.6852343551587722E-3</v>
      </c>
      <c r="E213" s="3">
        <f t="shared" si="7"/>
        <v>1.2526897694087508E-2</v>
      </c>
    </row>
    <row r="214" spans="1:5" x14ac:dyDescent="0.25">
      <c r="A214" s="1">
        <v>44489</v>
      </c>
      <c r="B214" s="4">
        <v>452.41</v>
      </c>
      <c r="C214" s="4">
        <v>33.454999999999998</v>
      </c>
      <c r="D214" s="3">
        <f t="shared" si="6"/>
        <v>3.9200537436590039E-3</v>
      </c>
      <c r="E214" s="3">
        <f t="shared" si="7"/>
        <v>1.5665330142123898E-2</v>
      </c>
    </row>
    <row r="215" spans="1:5" x14ac:dyDescent="0.25">
      <c r="A215" s="1">
        <v>44490</v>
      </c>
      <c r="B215" s="4">
        <v>453.59</v>
      </c>
      <c r="C215" s="4">
        <v>33.454999999999998</v>
      </c>
      <c r="D215" s="3">
        <f t="shared" si="6"/>
        <v>2.6048579850322519E-3</v>
      </c>
      <c r="E215" s="3">
        <f t="shared" si="7"/>
        <v>0</v>
      </c>
    </row>
    <row r="216" spans="1:5" x14ac:dyDescent="0.25">
      <c r="A216" s="1">
        <v>44491</v>
      </c>
      <c r="B216" s="4">
        <v>453.12</v>
      </c>
      <c r="C216" s="4">
        <v>33.625</v>
      </c>
      <c r="D216" s="3">
        <f t="shared" si="6"/>
        <v>-1.0367152498493223E-3</v>
      </c>
      <c r="E216" s="3">
        <f t="shared" si="7"/>
        <v>5.0685856872230454E-3</v>
      </c>
    </row>
    <row r="217" spans="1:5" x14ac:dyDescent="0.25">
      <c r="A217" s="1">
        <v>44494</v>
      </c>
      <c r="B217" s="4">
        <v>455.55</v>
      </c>
      <c r="C217" s="4">
        <v>33.479999999999997</v>
      </c>
      <c r="D217" s="3">
        <f t="shared" si="6"/>
        <v>5.348489094567122E-3</v>
      </c>
      <c r="E217" s="3">
        <f t="shared" si="7"/>
        <v>-4.3215923007286832E-3</v>
      </c>
    </row>
    <row r="218" spans="1:5" x14ac:dyDescent="0.25">
      <c r="A218" s="1">
        <v>44495</v>
      </c>
      <c r="B218" s="4">
        <v>455.96</v>
      </c>
      <c r="C218" s="4">
        <v>33.659999999999997</v>
      </c>
      <c r="D218" s="3">
        <f t="shared" si="6"/>
        <v>8.9960620871029422E-4</v>
      </c>
      <c r="E218" s="3">
        <f t="shared" si="7"/>
        <v>5.3619431413853731E-3</v>
      </c>
    </row>
    <row r="219" spans="1:5" x14ac:dyDescent="0.25">
      <c r="A219" s="1">
        <v>44496</v>
      </c>
      <c r="B219" s="4">
        <v>453.94</v>
      </c>
      <c r="C219" s="4">
        <v>33.435000000000002</v>
      </c>
      <c r="D219" s="3">
        <f t="shared" si="6"/>
        <v>-4.4400556512541826E-3</v>
      </c>
      <c r="E219" s="3">
        <f t="shared" si="7"/>
        <v>-6.7069332567178813E-3</v>
      </c>
    </row>
    <row r="220" spans="1:5" x14ac:dyDescent="0.25">
      <c r="A220" s="1">
        <v>44497</v>
      </c>
      <c r="B220" s="4">
        <v>458.32</v>
      </c>
      <c r="C220" s="4">
        <v>33.655000000000001</v>
      </c>
      <c r="D220" s="3">
        <f t="shared" si="6"/>
        <v>9.6025993829987246E-3</v>
      </c>
      <c r="E220" s="3">
        <f t="shared" si="7"/>
        <v>6.5583779567345221E-3</v>
      </c>
    </row>
    <row r="221" spans="1:5" x14ac:dyDescent="0.25">
      <c r="A221" s="1">
        <v>44498</v>
      </c>
      <c r="B221" s="4">
        <v>459.25</v>
      </c>
      <c r="C221" s="4">
        <v>33.454999999999998</v>
      </c>
      <c r="D221" s="3">
        <f t="shared" si="6"/>
        <v>2.0270939949127023E-3</v>
      </c>
      <c r="E221" s="3">
        <f t="shared" si="7"/>
        <v>-5.9603812278962841E-3</v>
      </c>
    </row>
    <row r="222" spans="1:5" x14ac:dyDescent="0.25">
      <c r="A222" s="1">
        <v>44501</v>
      </c>
      <c r="B222" s="4">
        <v>460.04</v>
      </c>
      <c r="C222" s="4">
        <v>33.575000000000003</v>
      </c>
      <c r="D222" s="3">
        <f t="shared" si="6"/>
        <v>1.718718129145665E-3</v>
      </c>
      <c r="E222" s="3">
        <f t="shared" si="7"/>
        <v>3.5804901745211263E-3</v>
      </c>
    </row>
    <row r="223" spans="1:5" x14ac:dyDescent="0.25">
      <c r="A223" s="1">
        <v>44502</v>
      </c>
      <c r="B223" s="4">
        <v>461.9</v>
      </c>
      <c r="C223" s="4">
        <v>33.604999999999997</v>
      </c>
      <c r="D223" s="3">
        <f t="shared" si="6"/>
        <v>4.0349752121790821E-3</v>
      </c>
      <c r="E223" s="3">
        <f t="shared" si="7"/>
        <v>8.9312301262780528E-4</v>
      </c>
    </row>
    <row r="224" spans="1:5" x14ac:dyDescent="0.25">
      <c r="A224" s="1">
        <v>44503</v>
      </c>
      <c r="B224" s="4">
        <v>464.72</v>
      </c>
      <c r="C224" s="4">
        <v>33.479999999999997</v>
      </c>
      <c r="D224" s="3">
        <f t="shared" si="6"/>
        <v>6.0866562477175203E-3</v>
      </c>
      <c r="E224" s="3">
        <f t="shared" si="7"/>
        <v>-3.7266198006546676E-3</v>
      </c>
    </row>
    <row r="225" spans="1:5" x14ac:dyDescent="0.25">
      <c r="A225" s="1">
        <v>44504</v>
      </c>
      <c r="B225" s="4">
        <v>466.91</v>
      </c>
      <c r="C225" s="4">
        <v>33.295000000000002</v>
      </c>
      <c r="D225" s="3">
        <f t="shared" si="6"/>
        <v>4.701445925752468E-3</v>
      </c>
      <c r="E225" s="3">
        <f t="shared" si="7"/>
        <v>-5.5410100586887152E-3</v>
      </c>
    </row>
    <row r="226" spans="1:5" x14ac:dyDescent="0.25">
      <c r="A226" s="1">
        <v>44505</v>
      </c>
      <c r="B226" s="4">
        <v>468.53</v>
      </c>
      <c r="C226" s="4">
        <v>33.61</v>
      </c>
      <c r="D226" s="3">
        <f t="shared" si="6"/>
        <v>3.4636141698959014E-3</v>
      </c>
      <c r="E226" s="3">
        <f t="shared" si="7"/>
        <v>9.4164061744285189E-3</v>
      </c>
    </row>
    <row r="227" spans="1:5" x14ac:dyDescent="0.25">
      <c r="A227" s="1">
        <v>44508</v>
      </c>
      <c r="B227" s="4">
        <v>468.93</v>
      </c>
      <c r="C227" s="4">
        <v>33.11</v>
      </c>
      <c r="D227" s="3">
        <f t="shared" si="6"/>
        <v>8.5336979556390087E-4</v>
      </c>
      <c r="E227" s="3">
        <f t="shared" si="7"/>
        <v>-1.4988290177859437E-2</v>
      </c>
    </row>
    <row r="228" spans="1:5" x14ac:dyDescent="0.25">
      <c r="A228" s="1">
        <v>44509</v>
      </c>
      <c r="B228" s="4">
        <v>467.38</v>
      </c>
      <c r="C228" s="4">
        <v>33.28</v>
      </c>
      <c r="D228" s="3">
        <f t="shared" si="6"/>
        <v>-3.3108722878290829E-3</v>
      </c>
      <c r="E228" s="3">
        <f t="shared" si="7"/>
        <v>5.1212643938529021E-3</v>
      </c>
    </row>
    <row r="229" spans="1:5" x14ac:dyDescent="0.25">
      <c r="A229" s="1">
        <v>44510</v>
      </c>
      <c r="B229" s="4">
        <v>463.62</v>
      </c>
      <c r="C229" s="4">
        <v>33.549999999999997</v>
      </c>
      <c r="D229" s="3">
        <f t="shared" si="6"/>
        <v>-8.0773801141128185E-3</v>
      </c>
      <c r="E229" s="3">
        <f t="shared" si="7"/>
        <v>8.0802474646828031E-3</v>
      </c>
    </row>
    <row r="230" spans="1:5" x14ac:dyDescent="0.25">
      <c r="A230" s="1">
        <v>44511</v>
      </c>
      <c r="B230" s="4">
        <v>463.77</v>
      </c>
      <c r="C230" s="4">
        <v>33.344999999999999</v>
      </c>
      <c r="D230" s="3">
        <f t="shared" si="6"/>
        <v>3.234885028047634E-4</v>
      </c>
      <c r="E230" s="3">
        <f t="shared" si="7"/>
        <v>-6.1290273334212112E-3</v>
      </c>
    </row>
    <row r="231" spans="1:5" x14ac:dyDescent="0.25">
      <c r="A231" s="1">
        <v>44512</v>
      </c>
      <c r="B231" s="4">
        <v>467.27</v>
      </c>
      <c r="C231" s="4">
        <v>33.325000000000003</v>
      </c>
      <c r="D231" s="3">
        <f t="shared" si="6"/>
        <v>7.5185093815795054E-3</v>
      </c>
      <c r="E231" s="3">
        <f t="shared" si="7"/>
        <v>-5.9997001949715781E-4</v>
      </c>
    </row>
    <row r="232" spans="1:5" x14ac:dyDescent="0.25">
      <c r="A232" s="1">
        <v>44515</v>
      </c>
      <c r="B232" s="4">
        <v>467.43</v>
      </c>
      <c r="C232" s="4">
        <v>33.765000000000001</v>
      </c>
      <c r="D232" s="3">
        <f t="shared" si="6"/>
        <v>3.4235583944105321E-4</v>
      </c>
      <c r="E232" s="3">
        <f t="shared" si="7"/>
        <v>1.3116896962032745E-2</v>
      </c>
    </row>
    <row r="233" spans="1:5" x14ac:dyDescent="0.25">
      <c r="A233" s="1">
        <v>44516</v>
      </c>
      <c r="B233" s="4">
        <v>469.28</v>
      </c>
      <c r="C233" s="4">
        <v>33.604999999999997</v>
      </c>
      <c r="D233" s="3">
        <f t="shared" si="6"/>
        <v>3.9500003317678037E-3</v>
      </c>
      <c r="E233" s="3">
        <f t="shared" si="7"/>
        <v>-4.7498976048761434E-3</v>
      </c>
    </row>
    <row r="234" spans="1:5" x14ac:dyDescent="0.25">
      <c r="A234" s="1">
        <v>44517</v>
      </c>
      <c r="B234" s="4">
        <v>468.14</v>
      </c>
      <c r="C234" s="4">
        <v>33.634999999999998</v>
      </c>
      <c r="D234" s="3">
        <f t="shared" si="6"/>
        <v>-2.4322087473825599E-3</v>
      </c>
      <c r="E234" s="3">
        <f t="shared" si="7"/>
        <v>8.9232605563993291E-4</v>
      </c>
    </row>
    <row r="235" spans="1:5" x14ac:dyDescent="0.25">
      <c r="A235" s="1">
        <v>44518</v>
      </c>
      <c r="B235" s="4">
        <v>469.73</v>
      </c>
      <c r="C235" s="4">
        <v>33.46</v>
      </c>
      <c r="D235" s="3">
        <f t="shared" si="6"/>
        <v>3.3906650672278155E-3</v>
      </c>
      <c r="E235" s="3">
        <f t="shared" si="7"/>
        <v>-5.216495918891101E-3</v>
      </c>
    </row>
    <row r="236" spans="1:5" x14ac:dyDescent="0.25">
      <c r="A236" s="1">
        <v>44519</v>
      </c>
      <c r="B236" s="4">
        <v>468.89</v>
      </c>
      <c r="C236" s="4">
        <v>33.65</v>
      </c>
      <c r="D236" s="3">
        <f t="shared" si="6"/>
        <v>-1.7898621897092797E-3</v>
      </c>
      <c r="E236" s="3">
        <f t="shared" si="7"/>
        <v>5.6623605320589325E-3</v>
      </c>
    </row>
    <row r="237" spans="1:5" x14ac:dyDescent="0.25">
      <c r="A237" s="1">
        <v>44522</v>
      </c>
      <c r="B237" s="4">
        <v>467.57</v>
      </c>
      <c r="C237" s="4">
        <v>33.854999999999997</v>
      </c>
      <c r="D237" s="3">
        <f t="shared" si="6"/>
        <v>-2.8191292190243014E-3</v>
      </c>
      <c r="E237" s="3">
        <f t="shared" si="7"/>
        <v>6.0736428468718745E-3</v>
      </c>
    </row>
    <row r="238" spans="1:5" x14ac:dyDescent="0.25">
      <c r="A238" s="1">
        <v>44523</v>
      </c>
      <c r="B238" s="4">
        <v>468.19</v>
      </c>
      <c r="C238" s="4">
        <v>33.89</v>
      </c>
      <c r="D238" s="3">
        <f t="shared" si="6"/>
        <v>1.3251262946152691E-3</v>
      </c>
      <c r="E238" s="3">
        <f t="shared" si="7"/>
        <v>1.0332866813513343E-3</v>
      </c>
    </row>
    <row r="239" spans="1:5" x14ac:dyDescent="0.25">
      <c r="A239" s="1">
        <v>44524</v>
      </c>
      <c r="B239" s="4">
        <v>469.44</v>
      </c>
      <c r="C239" s="4">
        <v>33.909999999999997</v>
      </c>
      <c r="D239" s="3">
        <f t="shared" si="6"/>
        <v>2.6662985197490018E-3</v>
      </c>
      <c r="E239" s="3">
        <f t="shared" si="7"/>
        <v>5.8997051858712831E-4</v>
      </c>
    </row>
    <row r="240" spans="1:5" x14ac:dyDescent="0.25">
      <c r="A240" s="1">
        <v>44526</v>
      </c>
      <c r="B240" s="4">
        <v>458.97</v>
      </c>
      <c r="C240" s="4">
        <v>33.380000000000003</v>
      </c>
      <c r="D240" s="3">
        <f t="shared" si="6"/>
        <v>-2.2555646507219543E-2</v>
      </c>
      <c r="E240" s="3">
        <f t="shared" si="7"/>
        <v>-1.5753037903858017E-2</v>
      </c>
    </row>
    <row r="241" spans="1:5" x14ac:dyDescent="0.25">
      <c r="A241" s="1">
        <v>44529</v>
      </c>
      <c r="B241" s="4">
        <v>464.6</v>
      </c>
      <c r="C241" s="4">
        <v>33.875</v>
      </c>
      <c r="D241" s="3">
        <f t="shared" si="6"/>
        <v>1.2191971888911539E-2</v>
      </c>
      <c r="E241" s="3">
        <f t="shared" si="7"/>
        <v>1.4720360966175808E-2</v>
      </c>
    </row>
    <row r="242" spans="1:5" x14ac:dyDescent="0.25">
      <c r="A242" s="1">
        <v>44530</v>
      </c>
      <c r="B242" s="4">
        <v>455.56</v>
      </c>
      <c r="C242" s="4">
        <v>32.884999999999998</v>
      </c>
      <c r="D242" s="3">
        <f t="shared" si="6"/>
        <v>-1.9649388930158496E-2</v>
      </c>
      <c r="E242" s="3">
        <f t="shared" si="7"/>
        <v>-2.9660652446550636E-2</v>
      </c>
    </row>
    <row r="243" spans="1:5" x14ac:dyDescent="0.25">
      <c r="A243" s="1">
        <v>44531</v>
      </c>
      <c r="B243" s="4">
        <v>450.5</v>
      </c>
      <c r="C243" s="4">
        <v>32.945</v>
      </c>
      <c r="D243" s="3">
        <f t="shared" si="6"/>
        <v>-1.1169354357757736E-2</v>
      </c>
      <c r="E243" s="3">
        <f t="shared" si="7"/>
        <v>1.8228776124689877E-3</v>
      </c>
    </row>
    <row r="244" spans="1:5" x14ac:dyDescent="0.25">
      <c r="A244" s="1">
        <v>44532</v>
      </c>
      <c r="B244" s="4">
        <v>457.4</v>
      </c>
      <c r="C244" s="4">
        <v>33.365000000000002</v>
      </c>
      <c r="D244" s="3">
        <f t="shared" si="6"/>
        <v>1.5200204540288028E-2</v>
      </c>
      <c r="E244" s="3">
        <f t="shared" si="7"/>
        <v>1.2667941989786645E-2</v>
      </c>
    </row>
    <row r="245" spans="1:5" x14ac:dyDescent="0.25">
      <c r="A245" s="1">
        <v>44533</v>
      </c>
      <c r="B245" s="4">
        <v>453.42</v>
      </c>
      <c r="C245" s="4">
        <v>33.700000000000003</v>
      </c>
      <c r="D245" s="3">
        <f t="shared" si="6"/>
        <v>-8.7394333279971308E-3</v>
      </c>
      <c r="E245" s="3">
        <f t="shared" si="7"/>
        <v>9.9903910027462212E-3</v>
      </c>
    </row>
    <row r="246" spans="1:5" x14ac:dyDescent="0.25">
      <c r="A246" s="1">
        <v>44536</v>
      </c>
      <c r="B246" s="4">
        <v>458.79</v>
      </c>
      <c r="C246" s="4">
        <v>34.215000000000003</v>
      </c>
      <c r="D246" s="3">
        <f t="shared" si="6"/>
        <v>1.1773740767458187E-2</v>
      </c>
      <c r="E246" s="3">
        <f t="shared" si="7"/>
        <v>1.5166307046144994E-2</v>
      </c>
    </row>
    <row r="247" spans="1:5" x14ac:dyDescent="0.25">
      <c r="A247" s="1">
        <v>44537</v>
      </c>
      <c r="B247" s="4">
        <v>468.28</v>
      </c>
      <c r="C247" s="4">
        <v>34.47</v>
      </c>
      <c r="D247" s="3">
        <f t="shared" si="6"/>
        <v>2.0473818583329997E-2</v>
      </c>
      <c r="E247" s="3">
        <f t="shared" si="7"/>
        <v>7.4252361243129011E-3</v>
      </c>
    </row>
    <row r="248" spans="1:5" x14ac:dyDescent="0.25">
      <c r="A248" s="1">
        <v>44538</v>
      </c>
      <c r="B248" s="4">
        <v>469.52</v>
      </c>
      <c r="C248" s="4">
        <v>34.435000000000002</v>
      </c>
      <c r="D248" s="3">
        <f t="shared" si="6"/>
        <v>2.6444886386074984E-3</v>
      </c>
      <c r="E248" s="3">
        <f t="shared" si="7"/>
        <v>-1.0158915321122894E-3</v>
      </c>
    </row>
    <row r="249" spans="1:5" x14ac:dyDescent="0.25">
      <c r="A249" s="1">
        <v>44539</v>
      </c>
      <c r="B249" s="4">
        <v>466.35</v>
      </c>
      <c r="C249" s="4">
        <v>34.39</v>
      </c>
      <c r="D249" s="3">
        <f t="shared" si="6"/>
        <v>-6.7744710772064554E-3</v>
      </c>
      <c r="E249" s="3">
        <f t="shared" si="7"/>
        <v>-1.3076645524868274E-3</v>
      </c>
    </row>
    <row r="250" spans="1:5" x14ac:dyDescent="0.25">
      <c r="A250" s="1">
        <v>44540</v>
      </c>
      <c r="B250" s="4">
        <v>470.74</v>
      </c>
      <c r="C250" s="4">
        <v>34.575000000000003</v>
      </c>
      <c r="D250" s="3">
        <f t="shared" si="6"/>
        <v>9.3694994409374305E-3</v>
      </c>
      <c r="E250" s="3">
        <f t="shared" si="7"/>
        <v>5.3650531066471449E-3</v>
      </c>
    </row>
    <row r="251" spans="1:5" x14ac:dyDescent="0.25">
      <c r="A251" s="1">
        <v>44543</v>
      </c>
      <c r="B251" s="4">
        <v>466.57</v>
      </c>
      <c r="C251" s="4">
        <v>35</v>
      </c>
      <c r="D251" s="3">
        <f t="shared" si="6"/>
        <v>-8.8978619927572288E-3</v>
      </c>
      <c r="E251" s="3">
        <f t="shared" si="7"/>
        <v>1.2217183938591631E-2</v>
      </c>
    </row>
    <row r="252" spans="1:5" x14ac:dyDescent="0.25">
      <c r="A252" s="1">
        <v>44544</v>
      </c>
      <c r="B252" s="4">
        <v>463.36</v>
      </c>
      <c r="C252" s="4">
        <v>34.79</v>
      </c>
      <c r="D252" s="3">
        <f t="shared" si="6"/>
        <v>-6.9037728637556988E-3</v>
      </c>
      <c r="E252" s="3">
        <f t="shared" si="7"/>
        <v>-6.0180723255630212E-3</v>
      </c>
    </row>
    <row r="253" spans="1:5" x14ac:dyDescent="0.25">
      <c r="A253" s="1">
        <v>44545</v>
      </c>
      <c r="B253" s="4">
        <v>470.6</v>
      </c>
      <c r="C253" s="4">
        <v>35.36</v>
      </c>
      <c r="D253" s="3">
        <f t="shared" si="6"/>
        <v>1.5504186535965254E-2</v>
      </c>
      <c r="E253" s="3">
        <f t="shared" si="7"/>
        <v>1.625124860559202E-2</v>
      </c>
    </row>
    <row r="254" spans="1:5" x14ac:dyDescent="0.25">
      <c r="A254" s="1">
        <v>44546</v>
      </c>
      <c r="B254" s="4">
        <v>466.45</v>
      </c>
      <c r="C254" s="4">
        <v>35.54</v>
      </c>
      <c r="D254" s="3">
        <f t="shared" si="6"/>
        <v>-8.8576428862921375E-3</v>
      </c>
      <c r="E254" s="3">
        <f t="shared" si="7"/>
        <v>5.0775849570625703E-3</v>
      </c>
    </row>
    <row r="255" spans="1:5" x14ac:dyDescent="0.25">
      <c r="A255" s="1">
        <v>44547</v>
      </c>
      <c r="B255" s="4">
        <v>459.87</v>
      </c>
      <c r="C255" s="4">
        <v>35.005000000000003</v>
      </c>
      <c r="D255" s="3">
        <f t="shared" si="6"/>
        <v>-1.420699256084431E-2</v>
      </c>
      <c r="E255" s="3">
        <f t="shared" si="7"/>
        <v>-1.516791429734432E-2</v>
      </c>
    </row>
    <row r="256" spans="1:5" x14ac:dyDescent="0.25">
      <c r="A256" s="1">
        <v>44550</v>
      </c>
      <c r="B256" s="4">
        <v>454.98</v>
      </c>
      <c r="C256" s="4">
        <v>34.765000000000001</v>
      </c>
      <c r="D256" s="3">
        <f t="shared" si="6"/>
        <v>-1.0690378905226562E-2</v>
      </c>
      <c r="E256" s="3">
        <f t="shared" si="7"/>
        <v>-6.8797748781798075E-3</v>
      </c>
    </row>
    <row r="257" spans="1:5" x14ac:dyDescent="0.25">
      <c r="A257" s="1">
        <v>44551</v>
      </c>
      <c r="B257" s="4">
        <v>463.06</v>
      </c>
      <c r="C257" s="4">
        <v>34.715000000000003</v>
      </c>
      <c r="D257" s="3">
        <f t="shared" si="6"/>
        <v>1.7603173382153097E-2</v>
      </c>
      <c r="E257" s="3">
        <f t="shared" si="7"/>
        <v>-1.4392633457443169E-3</v>
      </c>
    </row>
    <row r="258" spans="1:5" x14ac:dyDescent="0.25">
      <c r="A258" s="1">
        <v>44552</v>
      </c>
      <c r="B258" s="4">
        <v>467.69</v>
      </c>
      <c r="C258" s="4">
        <v>34.865000000000002</v>
      </c>
      <c r="D258" s="3">
        <f t="shared" si="6"/>
        <v>9.9490479529239367E-3</v>
      </c>
      <c r="E258" s="3">
        <f t="shared" si="7"/>
        <v>4.3115904677374067E-3</v>
      </c>
    </row>
    <row r="259" spans="1:5" x14ac:dyDescent="0.25">
      <c r="A259" s="1">
        <v>44553</v>
      </c>
      <c r="B259" s="4">
        <v>470.6</v>
      </c>
      <c r="C259" s="4">
        <v>34.86</v>
      </c>
      <c r="D259" s="3">
        <f t="shared" si="6"/>
        <v>6.2027930172858176E-3</v>
      </c>
      <c r="E259" s="3">
        <f t="shared" si="7"/>
        <v>-1.4342058109925921E-4</v>
      </c>
    </row>
    <row r="260" spans="1:5" x14ac:dyDescent="0.25">
      <c r="A260" s="1">
        <v>44557</v>
      </c>
      <c r="B260" s="4">
        <v>477.26</v>
      </c>
      <c r="C260" s="4">
        <v>35.03</v>
      </c>
      <c r="D260" s="3">
        <f t="shared" ref="D260:D323" si="8">LN(B260/B259)</f>
        <v>1.4052939471808117E-2</v>
      </c>
      <c r="E260" s="3">
        <f t="shared" ref="E260:E323" si="9">LN(C260/C259)</f>
        <v>4.8647971175206769E-3</v>
      </c>
    </row>
    <row r="261" spans="1:5" x14ac:dyDescent="0.25">
      <c r="A261" s="1">
        <v>44558</v>
      </c>
      <c r="B261" s="4">
        <v>476.87</v>
      </c>
      <c r="C261" s="4">
        <v>35.344999999999999</v>
      </c>
      <c r="D261" s="3">
        <f t="shared" si="8"/>
        <v>-8.1749870923225111E-4</v>
      </c>
      <c r="E261" s="3">
        <f t="shared" si="9"/>
        <v>8.9521024135219441E-3</v>
      </c>
    </row>
    <row r="262" spans="1:5" x14ac:dyDescent="0.25">
      <c r="A262" s="1">
        <v>44559</v>
      </c>
      <c r="B262" s="4">
        <v>477.48</v>
      </c>
      <c r="C262" s="4">
        <v>35.534999999999997</v>
      </c>
      <c r="D262" s="3">
        <f t="shared" si="8"/>
        <v>1.2783571709995747E-3</v>
      </c>
      <c r="E262" s="3">
        <f t="shared" si="9"/>
        <v>5.3611866559410363E-3</v>
      </c>
    </row>
    <row r="263" spans="1:5" x14ac:dyDescent="0.25">
      <c r="A263" s="1">
        <v>44560</v>
      </c>
      <c r="B263" s="4">
        <v>476.16</v>
      </c>
      <c r="C263" s="4">
        <v>35.664999999999999</v>
      </c>
      <c r="D263" s="3">
        <f t="shared" si="8"/>
        <v>-2.7683420221652319E-3</v>
      </c>
      <c r="E263" s="3">
        <f t="shared" si="9"/>
        <v>3.651689451143057E-3</v>
      </c>
    </row>
    <row r="264" spans="1:5" x14ac:dyDescent="0.25">
      <c r="A264" s="1">
        <v>44561</v>
      </c>
      <c r="B264" s="4">
        <v>474.96</v>
      </c>
      <c r="C264" s="4">
        <v>35.79</v>
      </c>
      <c r="D264" s="3">
        <f t="shared" si="8"/>
        <v>-2.5233422422525262E-3</v>
      </c>
      <c r="E264" s="3">
        <f t="shared" si="9"/>
        <v>3.4987090479329107E-3</v>
      </c>
    </row>
    <row r="265" spans="1:5" x14ac:dyDescent="0.25">
      <c r="A265" s="1">
        <v>44564</v>
      </c>
      <c r="B265" s="4">
        <v>477.71</v>
      </c>
      <c r="C265" s="4">
        <v>35.435000000000002</v>
      </c>
      <c r="D265" s="3">
        <f t="shared" si="8"/>
        <v>5.7732638547505844E-3</v>
      </c>
      <c r="E265" s="3">
        <f t="shared" si="9"/>
        <v>-9.968492515715046E-3</v>
      </c>
    </row>
    <row r="266" spans="1:5" x14ac:dyDescent="0.25">
      <c r="A266" s="1">
        <v>44565</v>
      </c>
      <c r="B266" s="4">
        <v>477.55</v>
      </c>
      <c r="C266" s="4">
        <v>35.325000000000003</v>
      </c>
      <c r="D266" s="3">
        <f t="shared" si="8"/>
        <v>-3.3498733642396797E-4</v>
      </c>
      <c r="E266" s="3">
        <f t="shared" si="9"/>
        <v>-3.1091036916281651E-3</v>
      </c>
    </row>
    <row r="267" spans="1:5" x14ac:dyDescent="0.25">
      <c r="A267" s="1">
        <v>44566</v>
      </c>
      <c r="B267" s="4">
        <v>468.38</v>
      </c>
      <c r="C267" s="4">
        <v>35.305</v>
      </c>
      <c r="D267" s="3">
        <f t="shared" si="8"/>
        <v>-1.9388934217042623E-2</v>
      </c>
      <c r="E267" s="3">
        <f t="shared" si="9"/>
        <v>-5.6633160228100729E-4</v>
      </c>
    </row>
    <row r="268" spans="1:5" x14ac:dyDescent="0.25">
      <c r="A268" s="1">
        <v>44567</v>
      </c>
      <c r="B268" s="4">
        <v>467.94</v>
      </c>
      <c r="C268" s="4">
        <v>34.94</v>
      </c>
      <c r="D268" s="3">
        <f t="shared" si="8"/>
        <v>-9.3984969324227357E-4</v>
      </c>
      <c r="E268" s="3">
        <f t="shared" si="9"/>
        <v>-1.0392292262399754E-2</v>
      </c>
    </row>
    <row r="269" spans="1:5" x14ac:dyDescent="0.25">
      <c r="A269" s="1">
        <v>44568</v>
      </c>
      <c r="B269" s="4">
        <v>466.09</v>
      </c>
      <c r="C269" s="4">
        <v>35.204999999999998</v>
      </c>
      <c r="D269" s="3">
        <f t="shared" si="8"/>
        <v>-3.9613340453915338E-3</v>
      </c>
      <c r="E269" s="3">
        <f t="shared" si="9"/>
        <v>7.5558132651859381E-3</v>
      </c>
    </row>
    <row r="270" spans="1:5" x14ac:dyDescent="0.25">
      <c r="A270" s="1">
        <v>44571</v>
      </c>
      <c r="B270" s="4">
        <v>465.51</v>
      </c>
      <c r="C270" s="4">
        <v>34.975000000000001</v>
      </c>
      <c r="D270" s="3">
        <f t="shared" si="8"/>
        <v>-1.2451697615678227E-3</v>
      </c>
      <c r="E270" s="3">
        <f t="shared" si="9"/>
        <v>-6.5545974195515798E-3</v>
      </c>
    </row>
    <row r="271" spans="1:5" x14ac:dyDescent="0.25">
      <c r="A271" s="1">
        <v>44572</v>
      </c>
      <c r="B271" s="4">
        <v>469.75</v>
      </c>
      <c r="C271" s="4">
        <v>34.659999999999997</v>
      </c>
      <c r="D271" s="3">
        <f t="shared" si="8"/>
        <v>9.067059530072372E-3</v>
      </c>
      <c r="E271" s="3">
        <f t="shared" si="9"/>
        <v>-9.0472362640850196E-3</v>
      </c>
    </row>
    <row r="272" spans="1:5" x14ac:dyDescent="0.25">
      <c r="A272" s="1">
        <v>44573</v>
      </c>
      <c r="B272" s="4">
        <v>471.02</v>
      </c>
      <c r="C272" s="4">
        <v>34.770000000000003</v>
      </c>
      <c r="D272" s="3">
        <f t="shared" si="8"/>
        <v>2.6999176663325985E-3</v>
      </c>
      <c r="E272" s="3">
        <f t="shared" si="9"/>
        <v>3.1686617323102564E-3</v>
      </c>
    </row>
    <row r="273" spans="1:5" x14ac:dyDescent="0.25">
      <c r="A273" s="1">
        <v>44574</v>
      </c>
      <c r="B273" s="4">
        <v>464.53</v>
      </c>
      <c r="C273" s="4">
        <v>34.94</v>
      </c>
      <c r="D273" s="3">
        <f t="shared" si="8"/>
        <v>-1.3874414215684552E-2</v>
      </c>
      <c r="E273" s="3">
        <f t="shared" si="9"/>
        <v>4.8773586861403512E-3</v>
      </c>
    </row>
    <row r="274" spans="1:5" x14ac:dyDescent="0.25">
      <c r="A274" s="1">
        <v>44575</v>
      </c>
      <c r="B274" s="4">
        <v>464.72</v>
      </c>
      <c r="C274" s="4">
        <v>34.700000000000003</v>
      </c>
      <c r="D274" s="3">
        <f t="shared" si="8"/>
        <v>4.0893194005450409E-4</v>
      </c>
      <c r="E274" s="3">
        <f t="shared" si="9"/>
        <v>-6.8926177530968186E-3</v>
      </c>
    </row>
    <row r="275" spans="1:5" x14ac:dyDescent="0.25">
      <c r="A275" s="1">
        <v>44579</v>
      </c>
      <c r="B275" s="4">
        <v>456.49</v>
      </c>
      <c r="C275" s="4">
        <v>34.284999999999997</v>
      </c>
      <c r="D275" s="3">
        <f t="shared" si="8"/>
        <v>-1.7868279694227964E-2</v>
      </c>
      <c r="E275" s="3">
        <f t="shared" si="9"/>
        <v>-1.2031746216485902E-2</v>
      </c>
    </row>
    <row r="276" spans="1:5" x14ac:dyDescent="0.25">
      <c r="A276" s="1">
        <v>44580</v>
      </c>
      <c r="B276" s="4">
        <v>451.75</v>
      </c>
      <c r="C276" s="4">
        <v>34.44</v>
      </c>
      <c r="D276" s="3">
        <f t="shared" si="8"/>
        <v>-1.0437864517711328E-2</v>
      </c>
      <c r="E276" s="3">
        <f t="shared" si="9"/>
        <v>4.5107388232023945E-3</v>
      </c>
    </row>
    <row r="277" spans="1:5" x14ac:dyDescent="0.25">
      <c r="A277" s="1">
        <v>44581</v>
      </c>
      <c r="B277" s="4">
        <v>446.75</v>
      </c>
      <c r="C277" s="4">
        <v>34.484999999999999</v>
      </c>
      <c r="D277" s="3">
        <f t="shared" si="8"/>
        <v>-1.1129775432800469E-2</v>
      </c>
      <c r="E277" s="3">
        <f t="shared" si="9"/>
        <v>1.3057673237245279E-3</v>
      </c>
    </row>
    <row r="278" spans="1:5" x14ac:dyDescent="0.25">
      <c r="A278" s="1">
        <v>44582</v>
      </c>
      <c r="B278" s="4">
        <v>437.98</v>
      </c>
      <c r="C278" s="4">
        <v>34.42</v>
      </c>
      <c r="D278" s="3">
        <f t="shared" si="8"/>
        <v>-1.9825906806093339E-2</v>
      </c>
      <c r="E278" s="3">
        <f t="shared" si="9"/>
        <v>-1.8866560998611042E-3</v>
      </c>
    </row>
    <row r="279" spans="1:5" x14ac:dyDescent="0.25">
      <c r="A279" s="1">
        <v>44585</v>
      </c>
      <c r="B279" s="4">
        <v>439.84</v>
      </c>
      <c r="C279" s="4">
        <v>34.090000000000003</v>
      </c>
      <c r="D279" s="3">
        <f t="shared" si="8"/>
        <v>4.2377771834913825E-3</v>
      </c>
      <c r="E279" s="3">
        <f t="shared" si="9"/>
        <v>-9.6337046335816089E-3</v>
      </c>
    </row>
    <row r="280" spans="1:5" x14ac:dyDescent="0.25">
      <c r="A280" s="1">
        <v>44586</v>
      </c>
      <c r="B280" s="4">
        <v>434.47</v>
      </c>
      <c r="C280" s="4">
        <v>33.555</v>
      </c>
      <c r="D280" s="3">
        <f t="shared" si="8"/>
        <v>-1.2284126974367588E-2</v>
      </c>
      <c r="E280" s="3">
        <f t="shared" si="9"/>
        <v>-1.581820253960917E-2</v>
      </c>
    </row>
    <row r="281" spans="1:5" x14ac:dyDescent="0.25">
      <c r="A281" s="1">
        <v>44587</v>
      </c>
      <c r="B281" s="4">
        <v>433.38</v>
      </c>
      <c r="C281" s="4">
        <v>33.28</v>
      </c>
      <c r="D281" s="3">
        <f t="shared" si="8"/>
        <v>-2.5119561517574704E-3</v>
      </c>
      <c r="E281" s="3">
        <f t="shared" si="9"/>
        <v>-8.2292676571947207E-3</v>
      </c>
    </row>
    <row r="282" spans="1:5" x14ac:dyDescent="0.25">
      <c r="A282" s="1">
        <v>44588</v>
      </c>
      <c r="B282" s="4">
        <v>431.24</v>
      </c>
      <c r="C282" s="4">
        <v>33.575000000000003</v>
      </c>
      <c r="D282" s="3">
        <f t="shared" si="8"/>
        <v>-4.9501616198932364E-3</v>
      </c>
      <c r="E282" s="3">
        <f t="shared" si="9"/>
        <v>8.8251264562934448E-3</v>
      </c>
    </row>
    <row r="283" spans="1:5" x14ac:dyDescent="0.25">
      <c r="A283" s="1">
        <v>44589</v>
      </c>
      <c r="B283" s="4">
        <v>441.95</v>
      </c>
      <c r="C283" s="4">
        <v>33.979999999999997</v>
      </c>
      <c r="D283" s="3">
        <f t="shared" si="8"/>
        <v>2.4531973836039653E-2</v>
      </c>
      <c r="E283" s="3">
        <f t="shared" si="9"/>
        <v>1.1990373834484615E-2</v>
      </c>
    </row>
    <row r="284" spans="1:5" x14ac:dyDescent="0.25">
      <c r="A284" s="1">
        <v>44592</v>
      </c>
      <c r="B284" s="4">
        <v>449.91</v>
      </c>
      <c r="C284" s="4">
        <v>34.625</v>
      </c>
      <c r="D284" s="3">
        <f t="shared" si="8"/>
        <v>1.7850809254741543E-2</v>
      </c>
      <c r="E284" s="3">
        <f t="shared" si="9"/>
        <v>1.8803848263716696E-2</v>
      </c>
    </row>
    <row r="285" spans="1:5" x14ac:dyDescent="0.25">
      <c r="A285" s="1">
        <v>44593</v>
      </c>
      <c r="B285" s="4">
        <v>452.95</v>
      </c>
      <c r="C285" s="4">
        <v>34.164999999999999</v>
      </c>
      <c r="D285" s="3">
        <f t="shared" si="8"/>
        <v>6.7341813535983465E-3</v>
      </c>
      <c r="E285" s="3">
        <f t="shared" si="9"/>
        <v>-1.337423627476095E-2</v>
      </c>
    </row>
    <row r="286" spans="1:5" x14ac:dyDescent="0.25">
      <c r="A286" s="1">
        <v>44594</v>
      </c>
      <c r="B286" s="4">
        <v>457.35</v>
      </c>
      <c r="C286" s="4">
        <v>34.67</v>
      </c>
      <c r="D286" s="3">
        <f t="shared" si="8"/>
        <v>9.6672179870768392E-3</v>
      </c>
      <c r="E286" s="3">
        <f t="shared" si="9"/>
        <v>1.4673031464190531E-2</v>
      </c>
    </row>
    <row r="287" spans="1:5" x14ac:dyDescent="0.25">
      <c r="A287" s="1">
        <v>44595</v>
      </c>
      <c r="B287" s="4">
        <v>446.6</v>
      </c>
      <c r="C287" s="4">
        <v>34.515000000000001</v>
      </c>
      <c r="D287" s="3">
        <f t="shared" si="8"/>
        <v>-2.3785622696316028E-2</v>
      </c>
      <c r="E287" s="3">
        <f t="shared" si="9"/>
        <v>-4.4807475414932012E-3</v>
      </c>
    </row>
    <row r="288" spans="1:5" x14ac:dyDescent="0.25">
      <c r="A288" s="1">
        <v>44596</v>
      </c>
      <c r="B288" s="4">
        <v>448.7</v>
      </c>
      <c r="C288" s="4">
        <v>34.24</v>
      </c>
      <c r="D288" s="3">
        <f t="shared" si="8"/>
        <v>4.691173575880018E-3</v>
      </c>
      <c r="E288" s="3">
        <f t="shared" si="9"/>
        <v>-7.9994608818974595E-3</v>
      </c>
    </row>
    <row r="289" spans="1:5" x14ac:dyDescent="0.25">
      <c r="A289" s="1">
        <v>44599</v>
      </c>
      <c r="B289" s="4">
        <v>447.26</v>
      </c>
      <c r="C289" s="4">
        <v>34.19</v>
      </c>
      <c r="D289" s="3">
        <f t="shared" si="8"/>
        <v>-3.2144319833665373E-3</v>
      </c>
      <c r="E289" s="3">
        <f t="shared" si="9"/>
        <v>-1.4613476223316036E-3</v>
      </c>
    </row>
    <row r="290" spans="1:5" x14ac:dyDescent="0.25">
      <c r="A290" s="1">
        <v>44600</v>
      </c>
      <c r="B290" s="4">
        <v>450.94</v>
      </c>
      <c r="C290" s="4">
        <v>34.215000000000003</v>
      </c>
      <c r="D290" s="3">
        <f t="shared" si="8"/>
        <v>8.1942119597949326E-3</v>
      </c>
      <c r="E290" s="3">
        <f t="shared" si="9"/>
        <v>7.3094075325139216E-4</v>
      </c>
    </row>
    <row r="291" spans="1:5" x14ac:dyDescent="0.25">
      <c r="A291" s="1">
        <v>44601</v>
      </c>
      <c r="B291" s="4">
        <v>457.54</v>
      </c>
      <c r="C291" s="4">
        <v>34.365000000000002</v>
      </c>
      <c r="D291" s="3">
        <f t="shared" si="8"/>
        <v>1.4530019629271236E-2</v>
      </c>
      <c r="E291" s="3">
        <f t="shared" si="9"/>
        <v>4.3744601691074426E-3</v>
      </c>
    </row>
    <row r="292" spans="1:5" x14ac:dyDescent="0.25">
      <c r="A292" s="1">
        <v>44602</v>
      </c>
      <c r="B292" s="4">
        <v>449.32</v>
      </c>
      <c r="C292" s="4">
        <v>33.494999999999997</v>
      </c>
      <c r="D292" s="3">
        <f t="shared" si="8"/>
        <v>-1.8128983814268869E-2</v>
      </c>
      <c r="E292" s="3">
        <f t="shared" si="9"/>
        <v>-2.5642430613337784E-2</v>
      </c>
    </row>
    <row r="293" spans="1:5" x14ac:dyDescent="0.25">
      <c r="A293" s="1">
        <v>44603</v>
      </c>
      <c r="B293" s="4">
        <v>440.46</v>
      </c>
      <c r="C293" s="4">
        <v>33.515000000000001</v>
      </c>
      <c r="D293" s="3">
        <f t="shared" si="8"/>
        <v>-1.9915693422623563E-2</v>
      </c>
      <c r="E293" s="3">
        <f t="shared" si="9"/>
        <v>5.9692584969025977E-4</v>
      </c>
    </row>
    <row r="294" spans="1:5" x14ac:dyDescent="0.25">
      <c r="A294" s="1">
        <v>44606</v>
      </c>
      <c r="B294" s="4">
        <v>439.02</v>
      </c>
      <c r="C294" s="4">
        <v>33.229999999999997</v>
      </c>
      <c r="D294" s="3">
        <f t="shared" si="8"/>
        <v>-3.2746652267514284E-3</v>
      </c>
      <c r="E294" s="3">
        <f t="shared" si="9"/>
        <v>-8.540017443418188E-3</v>
      </c>
    </row>
    <row r="295" spans="1:5" x14ac:dyDescent="0.25">
      <c r="A295" s="1">
        <v>44607</v>
      </c>
      <c r="B295" s="4">
        <v>446.1</v>
      </c>
      <c r="C295" s="4">
        <v>33.075000000000003</v>
      </c>
      <c r="D295" s="3">
        <f t="shared" si="8"/>
        <v>1.5998172010225478E-2</v>
      </c>
      <c r="E295" s="3">
        <f t="shared" si="9"/>
        <v>-4.6753723654833178E-3</v>
      </c>
    </row>
    <row r="296" spans="1:5" x14ac:dyDescent="0.25">
      <c r="A296" s="1">
        <v>44608</v>
      </c>
      <c r="B296" s="4">
        <v>446.6</v>
      </c>
      <c r="C296" s="4">
        <v>33.15</v>
      </c>
      <c r="D296" s="3">
        <f t="shared" si="8"/>
        <v>1.1201972718384212E-3</v>
      </c>
      <c r="E296" s="3">
        <f t="shared" si="9"/>
        <v>2.2650066308520615E-3</v>
      </c>
    </row>
    <row r="297" spans="1:5" x14ac:dyDescent="0.25">
      <c r="A297" s="1">
        <v>44609</v>
      </c>
      <c r="B297" s="4">
        <v>437.06</v>
      </c>
      <c r="C297" s="4">
        <v>33.17</v>
      </c>
      <c r="D297" s="3">
        <f t="shared" si="8"/>
        <v>-2.1592853964051223E-2</v>
      </c>
      <c r="E297" s="3">
        <f t="shared" si="9"/>
        <v>6.0313632708953481E-4</v>
      </c>
    </row>
    <row r="298" spans="1:5" x14ac:dyDescent="0.25">
      <c r="A298" s="1">
        <v>44610</v>
      </c>
      <c r="B298" s="4">
        <v>434.23</v>
      </c>
      <c r="C298" s="4">
        <v>33.11</v>
      </c>
      <c r="D298" s="3">
        <f t="shared" si="8"/>
        <v>-6.4961378005348241E-3</v>
      </c>
      <c r="E298" s="3">
        <f t="shared" si="9"/>
        <v>-1.8105013998061647E-3</v>
      </c>
    </row>
    <row r="299" spans="1:5" x14ac:dyDescent="0.25">
      <c r="A299" s="1">
        <v>44614</v>
      </c>
      <c r="B299" s="4">
        <v>429.57</v>
      </c>
      <c r="C299" s="4">
        <v>33.075000000000003</v>
      </c>
      <c r="D299" s="3">
        <f t="shared" si="8"/>
        <v>-1.0789639287446902E-2</v>
      </c>
      <c r="E299" s="3">
        <f t="shared" si="9"/>
        <v>-1.057641558135424E-3</v>
      </c>
    </row>
    <row r="300" spans="1:5" x14ac:dyDescent="0.25">
      <c r="A300" s="1">
        <v>44615</v>
      </c>
      <c r="B300" s="4">
        <v>421.95</v>
      </c>
      <c r="C300" s="4">
        <v>32.515000000000001</v>
      </c>
      <c r="D300" s="3">
        <f t="shared" si="8"/>
        <v>-1.7897884750049015E-2</v>
      </c>
      <c r="E300" s="3">
        <f t="shared" si="9"/>
        <v>-1.7076188679904326E-2</v>
      </c>
    </row>
    <row r="301" spans="1:5" x14ac:dyDescent="0.25">
      <c r="A301" s="1">
        <v>44616</v>
      </c>
      <c r="B301" s="4">
        <v>428.3</v>
      </c>
      <c r="C301" s="4">
        <v>32.774999999999999</v>
      </c>
      <c r="D301" s="3">
        <f t="shared" si="8"/>
        <v>1.49370610173498E-2</v>
      </c>
      <c r="E301" s="3">
        <f t="shared" si="9"/>
        <v>7.9645083286482808E-3</v>
      </c>
    </row>
    <row r="302" spans="1:5" x14ac:dyDescent="0.25">
      <c r="A302" s="1">
        <v>44617</v>
      </c>
      <c r="B302" s="4">
        <v>437.75</v>
      </c>
      <c r="C302" s="4">
        <v>33.79</v>
      </c>
      <c r="D302" s="3">
        <f t="shared" si="8"/>
        <v>2.1824086544635819E-2</v>
      </c>
      <c r="E302" s="3">
        <f t="shared" si="9"/>
        <v>3.0498871076434963E-2</v>
      </c>
    </row>
    <row r="303" spans="1:5" x14ac:dyDescent="0.25">
      <c r="A303" s="1">
        <v>44620</v>
      </c>
      <c r="B303" s="4">
        <v>436.63</v>
      </c>
      <c r="C303" s="4">
        <v>33.965000000000003</v>
      </c>
      <c r="D303" s="3">
        <f t="shared" si="8"/>
        <v>-2.5618166301554618E-3</v>
      </c>
      <c r="E303" s="3">
        <f t="shared" si="9"/>
        <v>5.1656819170667464E-3</v>
      </c>
    </row>
    <row r="304" spans="1:5" x14ac:dyDescent="0.25">
      <c r="A304" s="1">
        <v>44621</v>
      </c>
      <c r="B304" s="4">
        <v>429.98</v>
      </c>
      <c r="C304" s="4">
        <v>33.67</v>
      </c>
      <c r="D304" s="3">
        <f t="shared" si="8"/>
        <v>-1.5347458557803808E-2</v>
      </c>
      <c r="E304" s="3">
        <f t="shared" si="9"/>
        <v>-8.7233494702821535E-3</v>
      </c>
    </row>
    <row r="305" spans="1:5" x14ac:dyDescent="0.25">
      <c r="A305" s="1">
        <v>44622</v>
      </c>
      <c r="B305" s="4">
        <v>437.89</v>
      </c>
      <c r="C305" s="4">
        <v>34.08</v>
      </c>
      <c r="D305" s="3">
        <f t="shared" si="8"/>
        <v>1.8229041304612108E-2</v>
      </c>
      <c r="E305" s="3">
        <f t="shared" si="9"/>
        <v>1.2103468788131858E-2</v>
      </c>
    </row>
    <row r="306" spans="1:5" x14ac:dyDescent="0.25">
      <c r="A306" s="1">
        <v>44623</v>
      </c>
      <c r="B306" s="4">
        <v>435.71</v>
      </c>
      <c r="C306" s="4">
        <v>34.68</v>
      </c>
      <c r="D306" s="3">
        <f t="shared" si="8"/>
        <v>-4.9908528504182354E-3</v>
      </c>
      <c r="E306" s="3">
        <f t="shared" si="9"/>
        <v>1.7452449951226207E-2</v>
      </c>
    </row>
    <row r="307" spans="1:5" x14ac:dyDescent="0.25">
      <c r="A307" s="1">
        <v>44624</v>
      </c>
      <c r="B307" s="4">
        <v>432.17</v>
      </c>
      <c r="C307" s="4">
        <v>35.445</v>
      </c>
      <c r="D307" s="3">
        <f t="shared" si="8"/>
        <v>-8.1578550776720705E-3</v>
      </c>
      <c r="E307" s="3">
        <f t="shared" si="9"/>
        <v>2.1819047394639673E-2</v>
      </c>
    </row>
    <row r="308" spans="1:5" x14ac:dyDescent="0.25">
      <c r="A308" s="1">
        <v>44627</v>
      </c>
      <c r="B308" s="4">
        <v>419.43</v>
      </c>
      <c r="C308" s="4">
        <v>35.905000000000001</v>
      </c>
      <c r="D308" s="3">
        <f t="shared" si="8"/>
        <v>-2.9922382686680685E-2</v>
      </c>
      <c r="E308" s="3">
        <f t="shared" si="9"/>
        <v>1.2894362255300116E-2</v>
      </c>
    </row>
    <row r="309" spans="1:5" x14ac:dyDescent="0.25">
      <c r="A309" s="1">
        <v>44628</v>
      </c>
      <c r="B309" s="4">
        <v>416.25</v>
      </c>
      <c r="C309" s="4">
        <v>35.35</v>
      </c>
      <c r="D309" s="3">
        <f t="shared" si="8"/>
        <v>-7.6106053731893218E-3</v>
      </c>
      <c r="E309" s="3">
        <f t="shared" si="9"/>
        <v>-1.5578169219699034E-2</v>
      </c>
    </row>
    <row r="310" spans="1:5" x14ac:dyDescent="0.25">
      <c r="A310" s="1">
        <v>44629</v>
      </c>
      <c r="B310" s="4">
        <v>427.41</v>
      </c>
      <c r="C310" s="4">
        <v>35.1</v>
      </c>
      <c r="D310" s="3">
        <f t="shared" si="8"/>
        <v>2.6457698602596395E-2</v>
      </c>
      <c r="E310" s="3">
        <f t="shared" si="9"/>
        <v>-7.0972618707616586E-3</v>
      </c>
    </row>
    <row r="311" spans="1:5" x14ac:dyDescent="0.25">
      <c r="A311" s="1">
        <v>44630</v>
      </c>
      <c r="B311" s="4">
        <v>425.48</v>
      </c>
      <c r="C311" s="4">
        <v>35.335000000000001</v>
      </c>
      <c r="D311" s="3">
        <f t="shared" si="8"/>
        <v>-4.5257965137857018E-3</v>
      </c>
      <c r="E311" s="3">
        <f t="shared" si="9"/>
        <v>6.6728436709975634E-3</v>
      </c>
    </row>
    <row r="312" spans="1:5" x14ac:dyDescent="0.25">
      <c r="A312" s="1">
        <v>44631</v>
      </c>
      <c r="B312" s="4">
        <v>420.07</v>
      </c>
      <c r="C312" s="4">
        <v>35.215000000000003</v>
      </c>
      <c r="D312" s="3">
        <f t="shared" si="8"/>
        <v>-1.2796579326729342E-2</v>
      </c>
      <c r="E312" s="3">
        <f t="shared" si="9"/>
        <v>-3.4018459454438653E-3</v>
      </c>
    </row>
    <row r="313" spans="1:5" x14ac:dyDescent="0.25">
      <c r="A313" s="1">
        <v>44634</v>
      </c>
      <c r="B313" s="4">
        <v>417</v>
      </c>
      <c r="C313" s="4">
        <v>35.174999999999997</v>
      </c>
      <c r="D313" s="3">
        <f t="shared" si="8"/>
        <v>-7.3351422579332913E-3</v>
      </c>
      <c r="E313" s="3">
        <f t="shared" si="9"/>
        <v>-1.1365251969210411E-3</v>
      </c>
    </row>
    <row r="314" spans="1:5" x14ac:dyDescent="0.25">
      <c r="A314" s="1">
        <v>44635</v>
      </c>
      <c r="B314" s="4">
        <v>426.17</v>
      </c>
      <c r="C314" s="4">
        <v>35.625</v>
      </c>
      <c r="D314" s="3">
        <f t="shared" si="8"/>
        <v>2.1752105899755896E-2</v>
      </c>
      <c r="E314" s="3">
        <f t="shared" si="9"/>
        <v>1.2712035588361944E-2</v>
      </c>
    </row>
    <row r="315" spans="1:5" x14ac:dyDescent="0.25">
      <c r="A315" s="1">
        <v>44636</v>
      </c>
      <c r="B315" s="4">
        <v>435.62</v>
      </c>
      <c r="C315" s="4">
        <v>35.56</v>
      </c>
      <c r="D315" s="3">
        <f t="shared" si="8"/>
        <v>2.1931975988524546E-2</v>
      </c>
      <c r="E315" s="3">
        <f t="shared" si="9"/>
        <v>-1.8262279431107255E-3</v>
      </c>
    </row>
    <row r="316" spans="1:5" x14ac:dyDescent="0.25">
      <c r="A316" s="1">
        <v>44637</v>
      </c>
      <c r="B316" s="4">
        <v>441.07</v>
      </c>
      <c r="C316" s="4">
        <v>35.71</v>
      </c>
      <c r="D316" s="3">
        <f t="shared" si="8"/>
        <v>1.2433289322195635E-2</v>
      </c>
      <c r="E316" s="3">
        <f t="shared" si="9"/>
        <v>4.2093509606531765E-3</v>
      </c>
    </row>
    <row r="317" spans="1:5" x14ac:dyDescent="0.25">
      <c r="A317" s="1">
        <v>44638</v>
      </c>
      <c r="B317" s="4">
        <v>444.52</v>
      </c>
      <c r="C317" s="4">
        <v>35.405000000000001</v>
      </c>
      <c r="D317" s="3">
        <f t="shared" si="8"/>
        <v>7.7914553081683616E-3</v>
      </c>
      <c r="E317" s="3">
        <f t="shared" si="9"/>
        <v>-8.5777085026198466E-3</v>
      </c>
    </row>
    <row r="318" spans="1:5" x14ac:dyDescent="0.25">
      <c r="A318" s="1">
        <v>44641</v>
      </c>
      <c r="B318" s="4">
        <v>444.39</v>
      </c>
      <c r="C318" s="4">
        <v>35.405000000000001</v>
      </c>
      <c r="D318" s="3">
        <f t="shared" si="8"/>
        <v>-2.9249305537527344E-4</v>
      </c>
      <c r="E318" s="3">
        <f t="shared" si="9"/>
        <v>0</v>
      </c>
    </row>
    <row r="319" spans="1:5" x14ac:dyDescent="0.25">
      <c r="A319" s="1">
        <v>44642</v>
      </c>
      <c r="B319" s="4">
        <v>449.59</v>
      </c>
      <c r="C319" s="4">
        <v>35.454999999999998</v>
      </c>
      <c r="D319" s="3">
        <f t="shared" si="8"/>
        <v>1.1633501077171562E-2</v>
      </c>
      <c r="E319" s="3">
        <f t="shared" si="9"/>
        <v>1.4112336522227355E-3</v>
      </c>
    </row>
    <row r="320" spans="1:5" x14ac:dyDescent="0.25">
      <c r="A320" s="1">
        <v>44643</v>
      </c>
      <c r="B320" s="4">
        <v>443.8</v>
      </c>
      <c r="C320" s="4">
        <v>35.505000000000003</v>
      </c>
      <c r="D320" s="3">
        <f t="shared" si="8"/>
        <v>-1.2962045840748348E-2</v>
      </c>
      <c r="E320" s="3">
        <f t="shared" si="9"/>
        <v>1.4092448780969914E-3</v>
      </c>
    </row>
    <row r="321" spans="1:5" x14ac:dyDescent="0.25">
      <c r="A321" s="1">
        <v>44644</v>
      </c>
      <c r="B321" s="4">
        <v>450.49</v>
      </c>
      <c r="C321" s="4">
        <v>35.869999999999997</v>
      </c>
      <c r="D321" s="3">
        <f t="shared" si="8"/>
        <v>1.4961868745260972E-2</v>
      </c>
      <c r="E321" s="3">
        <f t="shared" si="9"/>
        <v>1.0227759910134034E-2</v>
      </c>
    </row>
    <row r="322" spans="1:5" x14ac:dyDescent="0.25">
      <c r="A322" s="1">
        <v>44645</v>
      </c>
      <c r="B322" s="4">
        <v>452.69</v>
      </c>
      <c r="C322" s="4">
        <v>36.39</v>
      </c>
      <c r="D322" s="3">
        <f t="shared" si="8"/>
        <v>4.8716852700601294E-3</v>
      </c>
      <c r="E322" s="3">
        <f t="shared" si="9"/>
        <v>1.439272007987742E-2</v>
      </c>
    </row>
    <row r="323" spans="1:5" x14ac:dyDescent="0.25">
      <c r="A323" s="1">
        <v>44648</v>
      </c>
      <c r="B323" s="4">
        <v>455.91</v>
      </c>
      <c r="C323" s="4">
        <v>36.625</v>
      </c>
      <c r="D323" s="3">
        <f t="shared" si="8"/>
        <v>7.0878570998088759E-3</v>
      </c>
      <c r="E323" s="3">
        <f t="shared" si="9"/>
        <v>6.4370557131629043E-3</v>
      </c>
    </row>
    <row r="324" spans="1:5" x14ac:dyDescent="0.25">
      <c r="A324" s="1">
        <v>44649</v>
      </c>
      <c r="B324" s="4">
        <v>461.55</v>
      </c>
      <c r="C324" s="4">
        <v>36.965000000000003</v>
      </c>
      <c r="D324" s="3">
        <f t="shared" ref="D324:D387" si="10">LN(B324/B323)</f>
        <v>1.2294968822537068E-2</v>
      </c>
      <c r="E324" s="3">
        <f t="shared" ref="E324:E387" si="11">LN(C324/C323)</f>
        <v>9.2404516718320191E-3</v>
      </c>
    </row>
    <row r="325" spans="1:5" x14ac:dyDescent="0.25">
      <c r="A325" s="1">
        <v>44650</v>
      </c>
      <c r="B325" s="4">
        <v>458.7</v>
      </c>
      <c r="C325" s="4">
        <v>37.270000000000003</v>
      </c>
      <c r="D325" s="3">
        <f t="shared" si="10"/>
        <v>-6.1939888330342207E-3</v>
      </c>
      <c r="E325" s="3">
        <f t="shared" si="11"/>
        <v>8.2171944821036996E-3</v>
      </c>
    </row>
    <row r="326" spans="1:5" x14ac:dyDescent="0.25">
      <c r="A326" s="1">
        <v>44651</v>
      </c>
      <c r="B326" s="4">
        <v>451.64</v>
      </c>
      <c r="C326" s="4">
        <v>37.229999999999997</v>
      </c>
      <c r="D326" s="3">
        <f t="shared" si="10"/>
        <v>-1.5510999290804899E-2</v>
      </c>
      <c r="E326" s="3">
        <f t="shared" si="11"/>
        <v>-1.0738256065416327E-3</v>
      </c>
    </row>
    <row r="327" spans="1:5" x14ac:dyDescent="0.25">
      <c r="A327" s="1">
        <v>44652</v>
      </c>
      <c r="B327" s="4">
        <v>452.92</v>
      </c>
      <c r="C327" s="4">
        <v>37.75</v>
      </c>
      <c r="D327" s="3">
        <f t="shared" si="10"/>
        <v>2.830107133517396E-3</v>
      </c>
      <c r="E327" s="3">
        <f t="shared" si="11"/>
        <v>1.3870587810408305E-2</v>
      </c>
    </row>
    <row r="328" spans="1:5" x14ac:dyDescent="0.25">
      <c r="A328" s="1">
        <v>44655</v>
      </c>
      <c r="B328" s="4">
        <v>456.8</v>
      </c>
      <c r="C328" s="4">
        <v>37.46</v>
      </c>
      <c r="D328" s="3">
        <f t="shared" si="10"/>
        <v>8.5301488959617245E-3</v>
      </c>
      <c r="E328" s="3">
        <f t="shared" si="11"/>
        <v>-7.7117786790912857E-3</v>
      </c>
    </row>
    <row r="329" spans="1:5" x14ac:dyDescent="0.25">
      <c r="A329" s="1">
        <v>44656</v>
      </c>
      <c r="B329" s="4">
        <v>451.03</v>
      </c>
      <c r="C329" s="4">
        <v>37.695</v>
      </c>
      <c r="D329" s="3">
        <f t="shared" si="10"/>
        <v>-1.2711802204395911E-2</v>
      </c>
      <c r="E329" s="3">
        <f t="shared" si="11"/>
        <v>6.253762647722619E-3</v>
      </c>
    </row>
    <row r="330" spans="1:5" x14ac:dyDescent="0.25">
      <c r="A330" s="1">
        <v>44657</v>
      </c>
      <c r="B330" s="4">
        <v>446.52</v>
      </c>
      <c r="C330" s="4">
        <v>38.445</v>
      </c>
      <c r="D330" s="3">
        <f t="shared" si="10"/>
        <v>-1.0049663990873134E-2</v>
      </c>
      <c r="E330" s="3">
        <f t="shared" si="11"/>
        <v>1.9701188820479009E-2</v>
      </c>
    </row>
    <row r="331" spans="1:5" x14ac:dyDescent="0.25">
      <c r="A331" s="1">
        <v>44658</v>
      </c>
      <c r="B331" s="4">
        <v>448.77</v>
      </c>
      <c r="C331" s="4">
        <v>38.35</v>
      </c>
      <c r="D331" s="3">
        <f t="shared" si="10"/>
        <v>5.0263149079478372E-3</v>
      </c>
      <c r="E331" s="3">
        <f t="shared" si="11"/>
        <v>-2.4741206708789026E-3</v>
      </c>
    </row>
    <row r="332" spans="1:5" x14ac:dyDescent="0.25">
      <c r="A332" s="1">
        <v>44659</v>
      </c>
      <c r="B332" s="4">
        <v>447.57</v>
      </c>
      <c r="C332" s="4">
        <v>38.479999999999997</v>
      </c>
      <c r="D332" s="3">
        <f t="shared" si="10"/>
        <v>-2.6775569916126902E-3</v>
      </c>
      <c r="E332" s="3">
        <f t="shared" si="11"/>
        <v>3.3840979842404942E-3</v>
      </c>
    </row>
    <row r="333" spans="1:5" x14ac:dyDescent="0.25">
      <c r="A333" s="1">
        <v>44662</v>
      </c>
      <c r="B333" s="4">
        <v>439.92</v>
      </c>
      <c r="C333" s="4">
        <v>37.954999999999998</v>
      </c>
      <c r="D333" s="3">
        <f t="shared" si="10"/>
        <v>-1.7240057863307297E-2</v>
      </c>
      <c r="E333" s="3">
        <f t="shared" si="11"/>
        <v>-1.3737378328774179E-2</v>
      </c>
    </row>
    <row r="334" spans="1:5" x14ac:dyDescent="0.25">
      <c r="A334" s="1">
        <v>44663</v>
      </c>
      <c r="B334" s="4">
        <v>438.29</v>
      </c>
      <c r="C334" s="4">
        <v>38.1</v>
      </c>
      <c r="D334" s="3">
        <f t="shared" si="10"/>
        <v>-3.7121004582976176E-3</v>
      </c>
      <c r="E334" s="3">
        <f t="shared" si="11"/>
        <v>3.8130346639238997E-3</v>
      </c>
    </row>
    <row r="335" spans="1:5" x14ac:dyDescent="0.25">
      <c r="A335" s="1">
        <v>44664</v>
      </c>
      <c r="B335" s="4">
        <v>443.31</v>
      </c>
      <c r="C335" s="4">
        <v>38.024999999999999</v>
      </c>
      <c r="D335" s="3">
        <f t="shared" si="10"/>
        <v>1.1388507842390453E-2</v>
      </c>
      <c r="E335" s="3">
        <f t="shared" si="11"/>
        <v>-1.9704439872988361E-3</v>
      </c>
    </row>
    <row r="336" spans="1:5" x14ac:dyDescent="0.25">
      <c r="A336" s="1">
        <v>44665</v>
      </c>
      <c r="B336" s="4">
        <v>437.79</v>
      </c>
      <c r="C336" s="4">
        <v>38.045000000000002</v>
      </c>
      <c r="D336" s="3">
        <f t="shared" si="10"/>
        <v>-1.2529956235888151E-2</v>
      </c>
      <c r="E336" s="3">
        <f t="shared" si="11"/>
        <v>5.2583148312955106E-4</v>
      </c>
    </row>
    <row r="337" spans="1:5" x14ac:dyDescent="0.25">
      <c r="A337" s="1">
        <v>44669</v>
      </c>
      <c r="B337" s="4">
        <v>437.97</v>
      </c>
      <c r="C337" s="4">
        <v>37.840000000000003</v>
      </c>
      <c r="D337" s="3">
        <f t="shared" si="10"/>
        <v>4.1107153223414911E-4</v>
      </c>
      <c r="E337" s="3">
        <f t="shared" si="11"/>
        <v>-5.4029254448085045E-3</v>
      </c>
    </row>
    <row r="338" spans="1:5" x14ac:dyDescent="0.25">
      <c r="A338" s="1">
        <v>44670</v>
      </c>
      <c r="B338" s="4">
        <v>445.04</v>
      </c>
      <c r="C338" s="4">
        <v>38.085000000000001</v>
      </c>
      <c r="D338" s="3">
        <f t="shared" si="10"/>
        <v>1.6013750887039567E-2</v>
      </c>
      <c r="E338" s="3">
        <f t="shared" si="11"/>
        <v>6.4537596410738423E-3</v>
      </c>
    </row>
    <row r="339" spans="1:5" x14ac:dyDescent="0.25">
      <c r="A339" s="1">
        <v>44671</v>
      </c>
      <c r="B339" s="4">
        <v>444.71</v>
      </c>
      <c r="C339" s="4">
        <v>38.395000000000003</v>
      </c>
      <c r="D339" s="3">
        <f t="shared" si="10"/>
        <v>-7.417814332827163E-4</v>
      </c>
      <c r="E339" s="3">
        <f t="shared" si="11"/>
        <v>8.1067389577554484E-3</v>
      </c>
    </row>
    <row r="340" spans="1:5" x14ac:dyDescent="0.25">
      <c r="A340" s="1">
        <v>44672</v>
      </c>
      <c r="B340" s="4">
        <v>438.06</v>
      </c>
      <c r="C340" s="4">
        <v>37.76</v>
      </c>
      <c r="D340" s="3">
        <f t="shared" si="10"/>
        <v>-1.5066497037705757E-2</v>
      </c>
      <c r="E340" s="3">
        <f t="shared" si="11"/>
        <v>-1.6676901505207117E-2</v>
      </c>
    </row>
    <row r="341" spans="1:5" x14ac:dyDescent="0.25">
      <c r="A341" s="1">
        <v>44673</v>
      </c>
      <c r="B341" s="4">
        <v>426.04</v>
      </c>
      <c r="C341" s="4">
        <v>37.125</v>
      </c>
      <c r="D341" s="3">
        <f t="shared" si="10"/>
        <v>-2.7822648721084326E-2</v>
      </c>
      <c r="E341" s="3">
        <f t="shared" si="11"/>
        <v>-1.695974415443614E-2</v>
      </c>
    </row>
    <row r="342" spans="1:5" x14ac:dyDescent="0.25">
      <c r="A342" s="1">
        <v>44676</v>
      </c>
      <c r="B342" s="4">
        <v>428.51</v>
      </c>
      <c r="C342" s="4">
        <v>36.869999999999997</v>
      </c>
      <c r="D342" s="3">
        <f t="shared" si="10"/>
        <v>5.7808364134312104E-3</v>
      </c>
      <c r="E342" s="3">
        <f t="shared" si="11"/>
        <v>-6.8923848768105899E-3</v>
      </c>
    </row>
    <row r="343" spans="1:5" x14ac:dyDescent="0.25">
      <c r="A343" s="1">
        <v>44677</v>
      </c>
      <c r="B343" s="4">
        <v>416.1</v>
      </c>
      <c r="C343" s="4">
        <v>36.5</v>
      </c>
      <c r="D343" s="3">
        <f t="shared" si="10"/>
        <v>-2.9388458999500523E-2</v>
      </c>
      <c r="E343" s="3">
        <f t="shared" si="11"/>
        <v>-1.0085951657607296E-2</v>
      </c>
    </row>
    <row r="344" spans="1:5" x14ac:dyDescent="0.25">
      <c r="A344" s="1">
        <v>44678</v>
      </c>
      <c r="B344" s="4">
        <v>417.27</v>
      </c>
      <c r="C344" s="4">
        <v>36.325000000000003</v>
      </c>
      <c r="D344" s="3">
        <f t="shared" si="10"/>
        <v>2.8078782982528193E-3</v>
      </c>
      <c r="E344" s="3">
        <f t="shared" si="11"/>
        <v>-4.8060511320991714E-3</v>
      </c>
    </row>
    <row r="345" spans="1:5" x14ac:dyDescent="0.25">
      <c r="A345" s="1">
        <v>44679</v>
      </c>
      <c r="B345" s="4">
        <v>427.81</v>
      </c>
      <c r="C345" s="4">
        <v>36.729999999999997</v>
      </c>
      <c r="D345" s="3">
        <f t="shared" si="10"/>
        <v>2.4945677497025965E-2</v>
      </c>
      <c r="E345" s="3">
        <f t="shared" si="11"/>
        <v>1.1087650375229244E-2</v>
      </c>
    </row>
    <row r="346" spans="1:5" x14ac:dyDescent="0.25">
      <c r="A346" s="1">
        <v>44680</v>
      </c>
      <c r="B346" s="4">
        <v>412</v>
      </c>
      <c r="C346" s="4">
        <v>35.630000000000003</v>
      </c>
      <c r="D346" s="3">
        <f t="shared" si="10"/>
        <v>-3.76558224346479E-2</v>
      </c>
      <c r="E346" s="3">
        <f t="shared" si="11"/>
        <v>-3.0405880213831057E-2</v>
      </c>
    </row>
    <row r="347" spans="1:5" x14ac:dyDescent="0.25">
      <c r="A347" s="1">
        <v>44683</v>
      </c>
      <c r="B347" s="4">
        <v>414.48</v>
      </c>
      <c r="C347" s="4">
        <v>35.265000000000001</v>
      </c>
      <c r="D347" s="3">
        <f t="shared" si="10"/>
        <v>6.0013731570065136E-3</v>
      </c>
      <c r="E347" s="3">
        <f t="shared" si="11"/>
        <v>-1.0297008957602157E-2</v>
      </c>
    </row>
    <row r="348" spans="1:5" x14ac:dyDescent="0.25">
      <c r="A348" s="1">
        <v>44684</v>
      </c>
      <c r="B348" s="4">
        <v>416.38</v>
      </c>
      <c r="C348" s="4">
        <v>35.4</v>
      </c>
      <c r="D348" s="3">
        <f t="shared" si="10"/>
        <v>4.573582341094686E-3</v>
      </c>
      <c r="E348" s="3">
        <f t="shared" si="11"/>
        <v>3.8208494795862157E-3</v>
      </c>
    </row>
    <row r="349" spans="1:5" x14ac:dyDescent="0.25">
      <c r="A349" s="1">
        <v>44685</v>
      </c>
      <c r="B349" s="4">
        <v>429.06</v>
      </c>
      <c r="C349" s="4">
        <v>36.19</v>
      </c>
      <c r="D349" s="3">
        <f t="shared" si="10"/>
        <v>2.9998464440732057E-2</v>
      </c>
      <c r="E349" s="3">
        <f t="shared" si="11"/>
        <v>2.20710174359223E-2</v>
      </c>
    </row>
    <row r="350" spans="1:5" x14ac:dyDescent="0.25">
      <c r="A350" s="1">
        <v>44686</v>
      </c>
      <c r="B350" s="4">
        <v>413.81</v>
      </c>
      <c r="C350" s="4">
        <v>35.82</v>
      </c>
      <c r="D350" s="3">
        <f t="shared" si="10"/>
        <v>-3.6189838005020722E-2</v>
      </c>
      <c r="E350" s="3">
        <f t="shared" si="11"/>
        <v>-1.0276440943085307E-2</v>
      </c>
    </row>
    <row r="351" spans="1:5" x14ac:dyDescent="0.25">
      <c r="A351" s="1">
        <v>44687</v>
      </c>
      <c r="B351" s="4">
        <v>411.34</v>
      </c>
      <c r="C351" s="4">
        <v>36.104999999999997</v>
      </c>
      <c r="D351" s="3">
        <f t="shared" si="10"/>
        <v>-5.9868081620253512E-3</v>
      </c>
      <c r="E351" s="3">
        <f t="shared" si="11"/>
        <v>7.924963270579179E-3</v>
      </c>
    </row>
    <row r="352" spans="1:5" x14ac:dyDescent="0.25">
      <c r="A352" s="1">
        <v>44690</v>
      </c>
      <c r="B352" s="4">
        <v>398.17</v>
      </c>
      <c r="C352" s="4">
        <v>35.835000000000001</v>
      </c>
      <c r="D352" s="3">
        <f t="shared" si="10"/>
        <v>-3.2541073354959739E-2</v>
      </c>
      <c r="E352" s="3">
        <f t="shared" si="11"/>
        <v>-7.5062904572623526E-3</v>
      </c>
    </row>
    <row r="353" spans="1:5" x14ac:dyDescent="0.25">
      <c r="A353" s="1">
        <v>44691</v>
      </c>
      <c r="B353" s="4">
        <v>399.09</v>
      </c>
      <c r="C353" s="4">
        <v>35.4</v>
      </c>
      <c r="D353" s="3">
        <f t="shared" si="10"/>
        <v>2.307905597570267E-3</v>
      </c>
      <c r="E353" s="3">
        <f t="shared" si="11"/>
        <v>-1.2213249306153898E-2</v>
      </c>
    </row>
    <row r="354" spans="1:5" x14ac:dyDescent="0.25">
      <c r="A354" s="1">
        <v>44692</v>
      </c>
      <c r="B354" s="4">
        <v>392.75</v>
      </c>
      <c r="C354" s="4">
        <v>35.655000000000001</v>
      </c>
      <c r="D354" s="3">
        <f t="shared" si="10"/>
        <v>-1.6013678228193426E-2</v>
      </c>
      <c r="E354" s="3">
        <f t="shared" si="11"/>
        <v>7.177569340538305E-3</v>
      </c>
    </row>
    <row r="355" spans="1:5" x14ac:dyDescent="0.25">
      <c r="A355" s="1">
        <v>44693</v>
      </c>
      <c r="B355" s="4">
        <v>392.34</v>
      </c>
      <c r="C355" s="4">
        <v>35.295000000000002</v>
      </c>
      <c r="D355" s="3">
        <f t="shared" si="10"/>
        <v>-1.0444663344910737E-3</v>
      </c>
      <c r="E355" s="3">
        <f t="shared" si="11"/>
        <v>-1.0148078632831407E-2</v>
      </c>
    </row>
    <row r="356" spans="1:5" x14ac:dyDescent="0.25">
      <c r="A356" s="1">
        <v>44694</v>
      </c>
      <c r="B356" s="4">
        <v>401.72</v>
      </c>
      <c r="C356" s="4">
        <v>35.715000000000003</v>
      </c>
      <c r="D356" s="3">
        <f t="shared" si="10"/>
        <v>2.3626517723898843E-2</v>
      </c>
      <c r="E356" s="3">
        <f t="shared" si="11"/>
        <v>1.1829457759500419E-2</v>
      </c>
    </row>
    <row r="357" spans="1:5" x14ac:dyDescent="0.25">
      <c r="A357" s="1">
        <v>44697</v>
      </c>
      <c r="B357" s="4">
        <v>400.09</v>
      </c>
      <c r="C357" s="4">
        <v>35.825000000000003</v>
      </c>
      <c r="D357" s="3">
        <f t="shared" si="10"/>
        <v>-4.0658067258601722E-3</v>
      </c>
      <c r="E357" s="3">
        <f t="shared" si="11"/>
        <v>3.0752051072996628E-3</v>
      </c>
    </row>
    <row r="358" spans="1:5" x14ac:dyDescent="0.25">
      <c r="A358" s="1">
        <v>44698</v>
      </c>
      <c r="B358" s="4">
        <v>408.32</v>
      </c>
      <c r="C358" s="4">
        <v>36.195</v>
      </c>
      <c r="D358" s="3">
        <f t="shared" si="10"/>
        <v>2.0361658917092289E-2</v>
      </c>
      <c r="E358" s="3">
        <f t="shared" si="11"/>
        <v>1.027501403086912E-2</v>
      </c>
    </row>
    <row r="359" spans="1:5" x14ac:dyDescent="0.25">
      <c r="A359" s="1">
        <v>44699</v>
      </c>
      <c r="B359" s="4">
        <v>391.86</v>
      </c>
      <c r="C359" s="4">
        <v>35.844999999999999</v>
      </c>
      <c r="D359" s="3">
        <f t="shared" si="10"/>
        <v>-4.1146547573749526E-2</v>
      </c>
      <c r="E359" s="3">
        <f t="shared" si="11"/>
        <v>-9.7169004402692608E-3</v>
      </c>
    </row>
    <row r="360" spans="1:5" x14ac:dyDescent="0.25">
      <c r="A360" s="1">
        <v>44700</v>
      </c>
      <c r="B360" s="4">
        <v>389.46</v>
      </c>
      <c r="C360" s="4">
        <v>35.770000000000003</v>
      </c>
      <c r="D360" s="3">
        <f t="shared" si="10"/>
        <v>-6.1434688691886482E-3</v>
      </c>
      <c r="E360" s="3">
        <f t="shared" si="11"/>
        <v>-2.0945340339090751E-3</v>
      </c>
    </row>
    <row r="361" spans="1:5" x14ac:dyDescent="0.25">
      <c r="A361" s="1">
        <v>44701</v>
      </c>
      <c r="B361" s="4">
        <v>389.63</v>
      </c>
      <c r="C361" s="4">
        <v>35.869999999999997</v>
      </c>
      <c r="D361" s="3">
        <f t="shared" si="10"/>
        <v>4.3640658382996524E-4</v>
      </c>
      <c r="E361" s="3">
        <f t="shared" si="11"/>
        <v>2.7917382732646941E-3</v>
      </c>
    </row>
    <row r="362" spans="1:5" x14ac:dyDescent="0.25">
      <c r="A362" s="1">
        <v>44704</v>
      </c>
      <c r="B362" s="4">
        <v>396.92</v>
      </c>
      <c r="C362" s="4">
        <v>36.299999999999997</v>
      </c>
      <c r="D362" s="3">
        <f t="shared" si="10"/>
        <v>1.8537178188778623E-2</v>
      </c>
      <c r="E362" s="3">
        <f t="shared" si="11"/>
        <v>1.1916449726613912E-2</v>
      </c>
    </row>
    <row r="363" spans="1:5" x14ac:dyDescent="0.25">
      <c r="A363" s="1">
        <v>44705</v>
      </c>
      <c r="B363" s="4">
        <v>393.89</v>
      </c>
      <c r="C363" s="4">
        <v>37.024999999999999</v>
      </c>
      <c r="D363" s="3">
        <f t="shared" si="10"/>
        <v>-7.6630665455398933E-3</v>
      </c>
      <c r="E363" s="3">
        <f t="shared" si="11"/>
        <v>1.9775618883057445E-2</v>
      </c>
    </row>
    <row r="364" spans="1:5" x14ac:dyDescent="0.25">
      <c r="A364" s="1">
        <v>44706</v>
      </c>
      <c r="B364" s="4">
        <v>397.37</v>
      </c>
      <c r="C364" s="4">
        <v>37</v>
      </c>
      <c r="D364" s="3">
        <f t="shared" si="10"/>
        <v>8.7961540781685537E-3</v>
      </c>
      <c r="E364" s="3">
        <f t="shared" si="11"/>
        <v>-6.7544750963796684E-4</v>
      </c>
    </row>
    <row r="365" spans="1:5" x14ac:dyDescent="0.25">
      <c r="A365" s="1">
        <v>44707</v>
      </c>
      <c r="B365" s="4">
        <v>405.31</v>
      </c>
      <c r="C365" s="4">
        <v>37.104999999999997</v>
      </c>
      <c r="D365" s="3">
        <f t="shared" si="10"/>
        <v>1.9784369832886017E-2</v>
      </c>
      <c r="E365" s="3">
        <f t="shared" si="11"/>
        <v>2.8338187778723448E-3</v>
      </c>
    </row>
    <row r="366" spans="1:5" x14ac:dyDescent="0.25">
      <c r="A366" s="1">
        <v>44708</v>
      </c>
      <c r="B366" s="4">
        <v>415.26</v>
      </c>
      <c r="C366" s="4">
        <v>37.685000000000002</v>
      </c>
      <c r="D366" s="3">
        <f t="shared" si="10"/>
        <v>2.4252623670271738E-2</v>
      </c>
      <c r="E366" s="3">
        <f t="shared" si="11"/>
        <v>1.5510405873336465E-2</v>
      </c>
    </row>
    <row r="367" spans="1:5" x14ac:dyDescent="0.25">
      <c r="A367" s="1">
        <v>44712</v>
      </c>
      <c r="B367" s="4">
        <v>412.93</v>
      </c>
      <c r="C367" s="4">
        <v>37.164999999999999</v>
      </c>
      <c r="D367" s="3">
        <f t="shared" si="10"/>
        <v>-5.6267430115297945E-3</v>
      </c>
      <c r="E367" s="3">
        <f t="shared" si="11"/>
        <v>-1.3894679118176496E-2</v>
      </c>
    </row>
    <row r="368" spans="1:5" x14ac:dyDescent="0.25">
      <c r="A368" s="1">
        <v>44713</v>
      </c>
      <c r="B368" s="4">
        <v>409.59</v>
      </c>
      <c r="C368" s="4">
        <v>37.104999999999997</v>
      </c>
      <c r="D368" s="3">
        <f t="shared" si="10"/>
        <v>-8.1214277055273228E-3</v>
      </c>
      <c r="E368" s="3">
        <f t="shared" si="11"/>
        <v>-1.6157267551599587E-3</v>
      </c>
    </row>
    <row r="369" spans="1:5" x14ac:dyDescent="0.25">
      <c r="A369" s="1">
        <v>44714</v>
      </c>
      <c r="B369" s="4">
        <v>417.39</v>
      </c>
      <c r="C369" s="4">
        <v>37.354999999999997</v>
      </c>
      <c r="D369" s="3">
        <f t="shared" si="10"/>
        <v>1.886437715712511E-2</v>
      </c>
      <c r="E369" s="3">
        <f t="shared" si="11"/>
        <v>6.7150400056677113E-3</v>
      </c>
    </row>
    <row r="370" spans="1:5" x14ac:dyDescent="0.25">
      <c r="A370" s="1">
        <v>44715</v>
      </c>
      <c r="B370" s="4">
        <v>410.54</v>
      </c>
      <c r="C370" s="4">
        <v>37.174999999999997</v>
      </c>
      <c r="D370" s="3">
        <f t="shared" si="10"/>
        <v>-1.6547670232862254E-2</v>
      </c>
      <c r="E370" s="3">
        <f t="shared" si="11"/>
        <v>-4.8302790815457942E-3</v>
      </c>
    </row>
    <row r="371" spans="1:5" x14ac:dyDescent="0.25">
      <c r="A371" s="1">
        <v>44718</v>
      </c>
      <c r="B371" s="4">
        <v>411.79</v>
      </c>
      <c r="C371" s="4">
        <v>37.340000000000003</v>
      </c>
      <c r="D371" s="3">
        <f t="shared" si="10"/>
        <v>3.0401443769727484E-3</v>
      </c>
      <c r="E371" s="3">
        <f t="shared" si="11"/>
        <v>4.4286457673579534E-3</v>
      </c>
    </row>
    <row r="372" spans="1:5" x14ac:dyDescent="0.25">
      <c r="A372" s="1">
        <v>44719</v>
      </c>
      <c r="B372" s="4">
        <v>415.74</v>
      </c>
      <c r="C372" s="4">
        <v>37.564999999999998</v>
      </c>
      <c r="D372" s="3">
        <f t="shared" si="10"/>
        <v>9.5465542013393745E-3</v>
      </c>
      <c r="E372" s="3">
        <f t="shared" si="11"/>
        <v>6.0076277075471795E-3</v>
      </c>
    </row>
    <row r="373" spans="1:5" x14ac:dyDescent="0.25">
      <c r="A373" s="1">
        <v>44720</v>
      </c>
      <c r="B373" s="4">
        <v>411.22</v>
      </c>
      <c r="C373" s="4">
        <v>36.83</v>
      </c>
      <c r="D373" s="3">
        <f t="shared" si="10"/>
        <v>-1.0931713776889373E-2</v>
      </c>
      <c r="E373" s="3">
        <f t="shared" si="11"/>
        <v>-1.9760035364150028E-2</v>
      </c>
    </row>
    <row r="374" spans="1:5" x14ac:dyDescent="0.25">
      <c r="A374" s="1">
        <v>44721</v>
      </c>
      <c r="B374" s="4">
        <v>401.44</v>
      </c>
      <c r="C374" s="4">
        <v>35.945</v>
      </c>
      <c r="D374" s="3">
        <f t="shared" si="10"/>
        <v>-2.4070268472343417E-2</v>
      </c>
      <c r="E374" s="3">
        <f t="shared" si="11"/>
        <v>-2.4322738021139038E-2</v>
      </c>
    </row>
    <row r="375" spans="1:5" x14ac:dyDescent="0.25">
      <c r="A375" s="1">
        <v>44722</v>
      </c>
      <c r="B375" s="4">
        <v>389.8</v>
      </c>
      <c r="C375" s="4">
        <v>35.67</v>
      </c>
      <c r="D375" s="3">
        <f t="shared" si="10"/>
        <v>-2.9424295544651723E-2</v>
      </c>
      <c r="E375" s="3">
        <f t="shared" si="11"/>
        <v>-7.6799930650346734E-3</v>
      </c>
    </row>
    <row r="376" spans="1:5" x14ac:dyDescent="0.25">
      <c r="A376" s="1">
        <v>44725</v>
      </c>
      <c r="B376" s="4">
        <v>375</v>
      </c>
      <c r="C376" s="4">
        <v>34.03</v>
      </c>
      <c r="D376" s="3">
        <f t="shared" si="10"/>
        <v>-3.8707761103049632E-2</v>
      </c>
      <c r="E376" s="3">
        <f t="shared" si="11"/>
        <v>-4.7067510857985856E-2</v>
      </c>
    </row>
    <row r="377" spans="1:5" x14ac:dyDescent="0.25">
      <c r="A377" s="1">
        <v>44726</v>
      </c>
      <c r="B377" s="4">
        <v>373.87</v>
      </c>
      <c r="C377" s="4">
        <v>33.17</v>
      </c>
      <c r="D377" s="3">
        <f t="shared" si="10"/>
        <v>-3.0178825634185466E-3</v>
      </c>
      <c r="E377" s="3">
        <f t="shared" si="11"/>
        <v>-2.5596635553853272E-2</v>
      </c>
    </row>
    <row r="378" spans="1:5" x14ac:dyDescent="0.25">
      <c r="A378" s="1">
        <v>44727</v>
      </c>
      <c r="B378" s="4">
        <v>379.2</v>
      </c>
      <c r="C378" s="4">
        <v>33.384999999999998</v>
      </c>
      <c r="D378" s="3">
        <f t="shared" si="10"/>
        <v>1.4155626973874524E-2</v>
      </c>
      <c r="E378" s="3">
        <f t="shared" si="11"/>
        <v>6.4608443508710409E-3</v>
      </c>
    </row>
    <row r="379" spans="1:5" x14ac:dyDescent="0.25">
      <c r="A379" s="1">
        <v>44728</v>
      </c>
      <c r="B379" s="4">
        <v>366.65</v>
      </c>
      <c r="C379" s="4">
        <v>32.74</v>
      </c>
      <c r="D379" s="3">
        <f t="shared" si="10"/>
        <v>-3.3656055841058269E-2</v>
      </c>
      <c r="E379" s="3">
        <f t="shared" si="11"/>
        <v>-1.9509125366843183E-2</v>
      </c>
    </row>
    <row r="380" spans="1:5" x14ac:dyDescent="0.25">
      <c r="A380" s="1">
        <v>44729</v>
      </c>
      <c r="B380" s="4">
        <v>365.86</v>
      </c>
      <c r="C380" s="4">
        <v>32.435000000000002</v>
      </c>
      <c r="D380" s="3">
        <f t="shared" si="10"/>
        <v>-2.1569679766562681E-3</v>
      </c>
      <c r="E380" s="3">
        <f t="shared" si="11"/>
        <v>-9.3594852779700938E-3</v>
      </c>
    </row>
    <row r="381" spans="1:5" x14ac:dyDescent="0.25">
      <c r="A381" s="1">
        <v>44733</v>
      </c>
      <c r="B381" s="4">
        <v>375.07</v>
      </c>
      <c r="C381" s="4">
        <v>32.79</v>
      </c>
      <c r="D381" s="3">
        <f t="shared" si="10"/>
        <v>2.4861928653870734E-2</v>
      </c>
      <c r="E381" s="3">
        <f t="shared" si="11"/>
        <v>1.0885504191538128E-2</v>
      </c>
    </row>
    <row r="382" spans="1:5" x14ac:dyDescent="0.25">
      <c r="A382" s="1">
        <v>44734</v>
      </c>
      <c r="B382" s="4">
        <v>374.39</v>
      </c>
      <c r="C382" s="4">
        <v>33.134999999999998</v>
      </c>
      <c r="D382" s="3">
        <f t="shared" si="10"/>
        <v>-1.8146403719978671E-3</v>
      </c>
      <c r="E382" s="3">
        <f t="shared" si="11"/>
        <v>1.0466534683633351E-2</v>
      </c>
    </row>
    <row r="383" spans="1:5" x14ac:dyDescent="0.25">
      <c r="A383" s="1">
        <v>44735</v>
      </c>
      <c r="B383" s="4">
        <v>378.06</v>
      </c>
      <c r="C383" s="4">
        <v>33.914999999999999</v>
      </c>
      <c r="D383" s="3">
        <f t="shared" si="10"/>
        <v>9.754878336994106E-3</v>
      </c>
      <c r="E383" s="3">
        <f t="shared" si="11"/>
        <v>2.3267268857852654E-2</v>
      </c>
    </row>
    <row r="384" spans="1:5" x14ac:dyDescent="0.25">
      <c r="A384" s="1">
        <v>44736</v>
      </c>
      <c r="B384" s="4">
        <v>390.08</v>
      </c>
      <c r="C384" s="4">
        <v>34.505000000000003</v>
      </c>
      <c r="D384" s="3">
        <f t="shared" si="10"/>
        <v>3.1298933110887481E-2</v>
      </c>
      <c r="E384" s="3">
        <f t="shared" si="11"/>
        <v>1.7246846674522323E-2</v>
      </c>
    </row>
    <row r="385" spans="1:5" x14ac:dyDescent="0.25">
      <c r="A385" s="1">
        <v>44739</v>
      </c>
      <c r="B385" s="4">
        <v>388.59</v>
      </c>
      <c r="C385" s="4">
        <v>34.784999999999997</v>
      </c>
      <c r="D385" s="3">
        <f t="shared" si="10"/>
        <v>-3.8270430826324079E-3</v>
      </c>
      <c r="E385" s="3">
        <f t="shared" si="11"/>
        <v>8.0820183030392932E-3</v>
      </c>
    </row>
    <row r="386" spans="1:5" x14ac:dyDescent="0.25">
      <c r="A386" s="1">
        <v>44740</v>
      </c>
      <c r="B386" s="4">
        <v>380.65</v>
      </c>
      <c r="C386" s="4">
        <v>34.655000000000001</v>
      </c>
      <c r="D386" s="3">
        <f t="shared" si="10"/>
        <v>-2.064448545805269E-2</v>
      </c>
      <c r="E386" s="3">
        <f t="shared" si="11"/>
        <v>-3.7442440056564899E-3</v>
      </c>
    </row>
    <row r="387" spans="1:5" x14ac:dyDescent="0.25">
      <c r="A387" s="1">
        <v>44741</v>
      </c>
      <c r="B387" s="4">
        <v>380.34</v>
      </c>
      <c r="C387" s="4">
        <v>34.68</v>
      </c>
      <c r="D387" s="3">
        <f t="shared" si="10"/>
        <v>-8.1472822809159002E-4</v>
      </c>
      <c r="E387" s="3">
        <f t="shared" si="11"/>
        <v>7.2113654239300946E-4</v>
      </c>
    </row>
    <row r="388" spans="1:5" x14ac:dyDescent="0.25">
      <c r="A388" s="1">
        <v>44742</v>
      </c>
      <c r="B388" s="4">
        <v>377.25</v>
      </c>
      <c r="C388" s="4">
        <v>35.064999999999998</v>
      </c>
      <c r="D388" s="3">
        <f t="shared" ref="D388:D451" si="12">LN(B388/B387)</f>
        <v>-8.1574918761717265E-3</v>
      </c>
      <c r="E388" s="3">
        <f t="shared" ref="E388:E451" si="13">LN(C388/C387)</f>
        <v>1.1040330076532679E-2</v>
      </c>
    </row>
    <row r="389" spans="1:5" x14ac:dyDescent="0.25">
      <c r="A389" s="1">
        <v>44743</v>
      </c>
      <c r="B389" s="4">
        <v>381.24</v>
      </c>
      <c r="C389" s="4">
        <v>35.924999999999997</v>
      </c>
      <c r="D389" s="3">
        <f t="shared" si="12"/>
        <v>1.0521000421466828E-2</v>
      </c>
      <c r="E389" s="3">
        <f t="shared" si="13"/>
        <v>2.422994997621488E-2</v>
      </c>
    </row>
    <row r="390" spans="1:5" x14ac:dyDescent="0.25">
      <c r="A390" s="1">
        <v>44747</v>
      </c>
      <c r="B390" s="4">
        <v>381.96</v>
      </c>
      <c r="C390" s="4">
        <v>34.700000000000003</v>
      </c>
      <c r="D390" s="3">
        <f t="shared" si="12"/>
        <v>1.8867930125766356E-3</v>
      </c>
      <c r="E390" s="3">
        <f t="shared" si="13"/>
        <v>-3.4693745012274908E-2</v>
      </c>
    </row>
    <row r="391" spans="1:5" x14ac:dyDescent="0.25">
      <c r="A391" s="1">
        <v>44748</v>
      </c>
      <c r="B391" s="4">
        <v>383.25</v>
      </c>
      <c r="C391" s="4">
        <v>35.06</v>
      </c>
      <c r="D391" s="3">
        <f t="shared" si="12"/>
        <v>3.3716266699216862E-3</v>
      </c>
      <c r="E391" s="3">
        <f t="shared" si="13"/>
        <v>1.0321192540274892E-2</v>
      </c>
    </row>
    <row r="392" spans="1:5" x14ac:dyDescent="0.25">
      <c r="A392" s="1">
        <v>44749</v>
      </c>
      <c r="B392" s="4">
        <v>388.99</v>
      </c>
      <c r="C392" s="4">
        <v>35.024999999999999</v>
      </c>
      <c r="D392" s="3">
        <f t="shared" si="12"/>
        <v>1.4866118595219739E-2</v>
      </c>
      <c r="E392" s="3">
        <f t="shared" si="13"/>
        <v>-9.98787270017881E-4</v>
      </c>
    </row>
    <row r="393" spans="1:5" x14ac:dyDescent="0.25">
      <c r="A393" s="1">
        <v>44750</v>
      </c>
      <c r="B393" s="4">
        <v>388.67</v>
      </c>
      <c r="C393" s="4">
        <v>34.909999999999997</v>
      </c>
      <c r="D393" s="3">
        <f t="shared" si="12"/>
        <v>-8.2298181226062039E-4</v>
      </c>
      <c r="E393" s="3">
        <f t="shared" si="13"/>
        <v>-3.2887711061260969E-3</v>
      </c>
    </row>
    <row r="394" spans="1:5" x14ac:dyDescent="0.25">
      <c r="A394" s="1">
        <v>44753</v>
      </c>
      <c r="B394" s="4">
        <v>384.23</v>
      </c>
      <c r="C394" s="4">
        <v>35.130000000000003</v>
      </c>
      <c r="D394" s="3">
        <f t="shared" si="12"/>
        <v>-1.1489322917771367E-2</v>
      </c>
      <c r="E394" s="3">
        <f t="shared" si="13"/>
        <v>6.2821451607911446E-3</v>
      </c>
    </row>
    <row r="395" spans="1:5" x14ac:dyDescent="0.25">
      <c r="A395" s="1">
        <v>44754</v>
      </c>
      <c r="B395" s="4">
        <v>380.83</v>
      </c>
      <c r="C395" s="4">
        <v>34.96</v>
      </c>
      <c r="D395" s="3">
        <f t="shared" si="12"/>
        <v>-8.8882502903963271E-3</v>
      </c>
      <c r="E395" s="3">
        <f t="shared" si="13"/>
        <v>-4.8509154904009489E-3</v>
      </c>
    </row>
    <row r="396" spans="1:5" x14ac:dyDescent="0.25">
      <c r="A396" s="1">
        <v>44755</v>
      </c>
      <c r="B396" s="4">
        <v>378.83</v>
      </c>
      <c r="C396" s="4">
        <v>34.814999999999998</v>
      </c>
      <c r="D396" s="3">
        <f t="shared" si="12"/>
        <v>-5.2655256850643413E-3</v>
      </c>
      <c r="E396" s="3">
        <f t="shared" si="13"/>
        <v>-4.1562223928247903E-3</v>
      </c>
    </row>
    <row r="397" spans="1:5" x14ac:dyDescent="0.25">
      <c r="A397" s="1">
        <v>44756</v>
      </c>
      <c r="B397" s="4">
        <v>377.91</v>
      </c>
      <c r="C397" s="4">
        <v>34.814999999999998</v>
      </c>
      <c r="D397" s="3">
        <f t="shared" si="12"/>
        <v>-2.4314836093292133E-3</v>
      </c>
      <c r="E397" s="3">
        <f t="shared" si="13"/>
        <v>0</v>
      </c>
    </row>
    <row r="398" spans="1:5" x14ac:dyDescent="0.25">
      <c r="A398" s="1">
        <v>44757</v>
      </c>
      <c r="B398" s="4">
        <v>385.13</v>
      </c>
      <c r="C398" s="4">
        <v>34.880000000000003</v>
      </c>
      <c r="D398" s="3">
        <f t="shared" si="12"/>
        <v>1.8924867598027771E-2</v>
      </c>
      <c r="E398" s="3">
        <f t="shared" si="13"/>
        <v>1.865270646268949E-3</v>
      </c>
    </row>
    <row r="399" spans="1:5" x14ac:dyDescent="0.25">
      <c r="A399" s="1">
        <v>44760</v>
      </c>
      <c r="B399" s="4">
        <v>381.95</v>
      </c>
      <c r="C399" s="4">
        <v>34.395000000000003</v>
      </c>
      <c r="D399" s="3">
        <f t="shared" si="12"/>
        <v>-8.2912296429804803E-3</v>
      </c>
      <c r="E399" s="3">
        <f t="shared" si="13"/>
        <v>-1.4002394062801364E-2</v>
      </c>
    </row>
    <row r="400" spans="1:5" x14ac:dyDescent="0.25">
      <c r="A400" s="1">
        <v>44761</v>
      </c>
      <c r="B400" s="4">
        <v>392.27</v>
      </c>
      <c r="C400" s="4">
        <v>34.615000000000002</v>
      </c>
      <c r="D400" s="3">
        <f t="shared" si="12"/>
        <v>2.6660668216310957E-2</v>
      </c>
      <c r="E400" s="3">
        <f t="shared" si="13"/>
        <v>6.3759091520111753E-3</v>
      </c>
    </row>
    <row r="401" spans="1:5" x14ac:dyDescent="0.25">
      <c r="A401" s="1">
        <v>44762</v>
      </c>
      <c r="B401" s="4">
        <v>394.77</v>
      </c>
      <c r="C401" s="4">
        <v>34.155000000000001</v>
      </c>
      <c r="D401" s="3">
        <f t="shared" si="12"/>
        <v>6.3529386264791514E-3</v>
      </c>
      <c r="E401" s="3">
        <f t="shared" si="13"/>
        <v>-1.3378125946176087E-2</v>
      </c>
    </row>
    <row r="402" spans="1:5" x14ac:dyDescent="0.25">
      <c r="A402" s="1">
        <v>44763</v>
      </c>
      <c r="B402" s="4">
        <v>398.79</v>
      </c>
      <c r="C402" s="4">
        <v>34.244999999999997</v>
      </c>
      <c r="D402" s="3">
        <f t="shared" si="12"/>
        <v>1.013164571745879E-2</v>
      </c>
      <c r="E402" s="3">
        <f t="shared" si="13"/>
        <v>2.6315804660558212E-3</v>
      </c>
    </row>
    <row r="403" spans="1:5" x14ac:dyDescent="0.25">
      <c r="A403" s="1">
        <v>44764</v>
      </c>
      <c r="B403" s="4">
        <v>395.09</v>
      </c>
      <c r="C403" s="4">
        <v>34.715000000000003</v>
      </c>
      <c r="D403" s="3">
        <f t="shared" si="12"/>
        <v>-9.3213754986663389E-3</v>
      </c>
      <c r="E403" s="3">
        <f t="shared" si="13"/>
        <v>1.3631301555368307E-2</v>
      </c>
    </row>
    <row r="404" spans="1:5" x14ac:dyDescent="0.25">
      <c r="A404" s="1">
        <v>44767</v>
      </c>
      <c r="B404" s="4">
        <v>395.57</v>
      </c>
      <c r="C404" s="4">
        <v>35.15</v>
      </c>
      <c r="D404" s="3">
        <f t="shared" si="12"/>
        <v>1.2141756481139922E-3</v>
      </c>
      <c r="E404" s="3">
        <f t="shared" si="13"/>
        <v>1.2452748051436967E-2</v>
      </c>
    </row>
    <row r="405" spans="1:5" x14ac:dyDescent="0.25">
      <c r="A405" s="1">
        <v>44768</v>
      </c>
      <c r="B405" s="4">
        <v>390.89</v>
      </c>
      <c r="C405" s="4">
        <v>35.36</v>
      </c>
      <c r="D405" s="3">
        <f t="shared" si="12"/>
        <v>-1.1901572215659699E-2</v>
      </c>
      <c r="E405" s="3">
        <f t="shared" si="13"/>
        <v>5.9566195127688766E-3</v>
      </c>
    </row>
    <row r="406" spans="1:5" x14ac:dyDescent="0.25">
      <c r="A406" s="1">
        <v>44769</v>
      </c>
      <c r="B406" s="4">
        <v>401.04</v>
      </c>
      <c r="C406" s="4">
        <v>35.39</v>
      </c>
      <c r="D406" s="3">
        <f t="shared" si="12"/>
        <v>2.5634982473842511E-2</v>
      </c>
      <c r="E406" s="3">
        <f t="shared" si="13"/>
        <v>8.4805658792932331E-4</v>
      </c>
    </row>
    <row r="407" spans="1:5" x14ac:dyDescent="0.25">
      <c r="A407" s="1">
        <v>44770</v>
      </c>
      <c r="B407" s="4">
        <v>406.07</v>
      </c>
      <c r="C407" s="4">
        <v>36.659999999999997</v>
      </c>
      <c r="D407" s="3">
        <f t="shared" si="12"/>
        <v>1.2464385578038207E-2</v>
      </c>
      <c r="E407" s="3">
        <f t="shared" si="13"/>
        <v>3.5256948054186839E-2</v>
      </c>
    </row>
    <row r="408" spans="1:5" x14ac:dyDescent="0.25">
      <c r="A408" s="1">
        <v>44771</v>
      </c>
      <c r="B408" s="4">
        <v>411.99</v>
      </c>
      <c r="C408" s="4">
        <v>36.975000000000001</v>
      </c>
      <c r="D408" s="3">
        <f t="shared" si="12"/>
        <v>1.4473518677013943E-2</v>
      </c>
      <c r="E408" s="3">
        <f t="shared" si="13"/>
        <v>8.5557661853046217E-3</v>
      </c>
    </row>
    <row r="409" spans="1:5" x14ac:dyDescent="0.25">
      <c r="A409" s="1">
        <v>44774</v>
      </c>
      <c r="B409" s="4">
        <v>410.77</v>
      </c>
      <c r="C409" s="4">
        <v>37.015000000000001</v>
      </c>
      <c r="D409" s="3">
        <f t="shared" si="12"/>
        <v>-2.9656300601738849E-3</v>
      </c>
      <c r="E409" s="3">
        <f t="shared" si="13"/>
        <v>1.0812272981980643E-3</v>
      </c>
    </row>
    <row r="410" spans="1:5" x14ac:dyDescent="0.25">
      <c r="A410" s="1">
        <v>44775</v>
      </c>
      <c r="B410" s="4">
        <v>408.06</v>
      </c>
      <c r="C410" s="4">
        <v>36.94</v>
      </c>
      <c r="D410" s="3">
        <f t="shared" si="12"/>
        <v>-6.6192247345240292E-3</v>
      </c>
      <c r="E410" s="3">
        <f t="shared" si="13"/>
        <v>-2.0282611239678017E-3</v>
      </c>
    </row>
    <row r="411" spans="1:5" x14ac:dyDescent="0.25">
      <c r="A411" s="1">
        <v>44776</v>
      </c>
      <c r="B411" s="4">
        <v>414.45</v>
      </c>
      <c r="C411" s="4">
        <v>37.17</v>
      </c>
      <c r="D411" s="3">
        <f t="shared" si="12"/>
        <v>1.5538117621932792E-2</v>
      </c>
      <c r="E411" s="3">
        <f t="shared" si="13"/>
        <v>6.2070095380670444E-3</v>
      </c>
    </row>
    <row r="412" spans="1:5" x14ac:dyDescent="0.25">
      <c r="A412" s="1">
        <v>44777</v>
      </c>
      <c r="B412" s="4">
        <v>414.17</v>
      </c>
      <c r="C412" s="4">
        <v>37.25</v>
      </c>
      <c r="D412" s="3">
        <f t="shared" si="12"/>
        <v>-6.758224775099325E-4</v>
      </c>
      <c r="E412" s="3">
        <f t="shared" si="13"/>
        <v>2.149960516407774E-3</v>
      </c>
    </row>
    <row r="413" spans="1:5" x14ac:dyDescent="0.25">
      <c r="A413" s="1">
        <v>44778</v>
      </c>
      <c r="B413" s="4">
        <v>413.47</v>
      </c>
      <c r="C413" s="4">
        <v>37.115000000000002</v>
      </c>
      <c r="D413" s="3">
        <f t="shared" si="12"/>
        <v>-1.6915571188269617E-3</v>
      </c>
      <c r="E413" s="3">
        <f t="shared" si="13"/>
        <v>-3.6307442560582037E-3</v>
      </c>
    </row>
    <row r="414" spans="1:5" x14ac:dyDescent="0.25">
      <c r="A414" s="1">
        <v>44781</v>
      </c>
      <c r="B414" s="4">
        <v>412.99</v>
      </c>
      <c r="C414" s="4">
        <v>37.17</v>
      </c>
      <c r="D414" s="3">
        <f t="shared" si="12"/>
        <v>-1.1615808483673073E-3</v>
      </c>
      <c r="E414" s="3">
        <f t="shared" si="13"/>
        <v>1.4807837396505373E-3</v>
      </c>
    </row>
    <row r="415" spans="1:5" x14ac:dyDescent="0.25">
      <c r="A415" s="1">
        <v>44782</v>
      </c>
      <c r="B415" s="4">
        <v>411.35</v>
      </c>
      <c r="C415" s="4">
        <v>37.585000000000001</v>
      </c>
      <c r="D415" s="3">
        <f t="shared" si="12"/>
        <v>-3.9789459778915934E-3</v>
      </c>
      <c r="E415" s="3">
        <f t="shared" si="13"/>
        <v>1.1103050320271441E-2</v>
      </c>
    </row>
    <row r="416" spans="1:5" x14ac:dyDescent="0.25">
      <c r="A416" s="1">
        <v>44783</v>
      </c>
      <c r="B416" s="4">
        <v>419.99</v>
      </c>
      <c r="C416" s="4">
        <v>37.75</v>
      </c>
      <c r="D416" s="3">
        <f t="shared" si="12"/>
        <v>2.0786467855213823E-2</v>
      </c>
      <c r="E416" s="3">
        <f t="shared" si="13"/>
        <v>4.3804410656013947E-3</v>
      </c>
    </row>
    <row r="417" spans="1:5" x14ac:dyDescent="0.25">
      <c r="A417" s="1">
        <v>44784</v>
      </c>
      <c r="B417" s="4">
        <v>419.99</v>
      </c>
      <c r="C417" s="4">
        <v>37.744999999999997</v>
      </c>
      <c r="D417" s="3">
        <f t="shared" si="12"/>
        <v>0</v>
      </c>
      <c r="E417" s="3">
        <f t="shared" si="13"/>
        <v>-1.3245910344556914E-4</v>
      </c>
    </row>
    <row r="418" spans="1:5" x14ac:dyDescent="0.25">
      <c r="A418" s="1">
        <v>44785</v>
      </c>
      <c r="B418" s="4">
        <v>427.1</v>
      </c>
      <c r="C418" s="4">
        <v>38.36</v>
      </c>
      <c r="D418" s="3">
        <f t="shared" si="12"/>
        <v>1.6787276377267506E-2</v>
      </c>
      <c r="E418" s="3">
        <f t="shared" si="13"/>
        <v>1.616223342364927E-2</v>
      </c>
    </row>
    <row r="419" spans="1:5" x14ac:dyDescent="0.25">
      <c r="A419" s="1">
        <v>44788</v>
      </c>
      <c r="B419" s="4">
        <v>428.86</v>
      </c>
      <c r="C419" s="4">
        <v>38.68</v>
      </c>
      <c r="D419" s="3">
        <f t="shared" si="12"/>
        <v>4.1123474936639098E-3</v>
      </c>
      <c r="E419" s="3">
        <f t="shared" si="13"/>
        <v>8.3074205698560957E-3</v>
      </c>
    </row>
    <row r="420" spans="1:5" x14ac:dyDescent="0.25">
      <c r="A420" s="1">
        <v>44789</v>
      </c>
      <c r="B420" s="4">
        <v>429.7</v>
      </c>
      <c r="C420" s="4">
        <v>38.79</v>
      </c>
      <c r="D420" s="3">
        <f t="shared" si="12"/>
        <v>1.9567654398648256E-3</v>
      </c>
      <c r="E420" s="3">
        <f t="shared" si="13"/>
        <v>2.8398108667821191E-3</v>
      </c>
    </row>
    <row r="421" spans="1:5" x14ac:dyDescent="0.25">
      <c r="A421" s="1">
        <v>44790</v>
      </c>
      <c r="B421" s="4">
        <v>426.65</v>
      </c>
      <c r="C421" s="4">
        <v>38.725000000000001</v>
      </c>
      <c r="D421" s="3">
        <f t="shared" si="12"/>
        <v>-7.1232857983555761E-3</v>
      </c>
      <c r="E421" s="3">
        <f t="shared" si="13"/>
        <v>-1.6770951489434565E-3</v>
      </c>
    </row>
    <row r="422" spans="1:5" x14ac:dyDescent="0.25">
      <c r="A422" s="1">
        <v>44791</v>
      </c>
      <c r="B422" s="4">
        <v>427.89</v>
      </c>
      <c r="C422" s="4">
        <v>38.869999999999997</v>
      </c>
      <c r="D422" s="3">
        <f t="shared" si="12"/>
        <v>2.902148220846789E-3</v>
      </c>
      <c r="E422" s="3">
        <f t="shared" si="13"/>
        <v>3.737358561199259E-3</v>
      </c>
    </row>
    <row r="423" spans="1:5" x14ac:dyDescent="0.25">
      <c r="A423" s="1">
        <v>44792</v>
      </c>
      <c r="B423" s="4">
        <v>422.14</v>
      </c>
      <c r="C423" s="4">
        <v>38.85</v>
      </c>
      <c r="D423" s="3">
        <f t="shared" si="12"/>
        <v>-1.3529140630968878E-2</v>
      </c>
      <c r="E423" s="3">
        <f t="shared" si="13"/>
        <v>-5.1466805047528728E-4</v>
      </c>
    </row>
    <row r="424" spans="1:5" x14ac:dyDescent="0.25">
      <c r="A424" s="1">
        <v>44795</v>
      </c>
      <c r="B424" s="4">
        <v>413.35</v>
      </c>
      <c r="C424" s="4">
        <v>38.32</v>
      </c>
      <c r="D424" s="3">
        <f t="shared" si="12"/>
        <v>-2.104232087378698E-2</v>
      </c>
      <c r="E424" s="3">
        <f t="shared" si="13"/>
        <v>-1.3736123710996639E-2</v>
      </c>
    </row>
    <row r="425" spans="1:5" x14ac:dyDescent="0.25">
      <c r="A425" s="1">
        <v>44796</v>
      </c>
      <c r="B425" s="4">
        <v>412.35</v>
      </c>
      <c r="C425" s="4">
        <v>38.090000000000003</v>
      </c>
      <c r="D425" s="3">
        <f t="shared" si="12"/>
        <v>-2.4221884193202478E-3</v>
      </c>
      <c r="E425" s="3">
        <f t="shared" si="13"/>
        <v>-6.0201726121470733E-3</v>
      </c>
    </row>
    <row r="426" spans="1:5" x14ac:dyDescent="0.25">
      <c r="A426" s="1">
        <v>44797</v>
      </c>
      <c r="B426" s="4">
        <v>413.67</v>
      </c>
      <c r="C426" s="4">
        <v>38.21</v>
      </c>
      <c r="D426" s="3">
        <f t="shared" si="12"/>
        <v>3.1960512423951288E-3</v>
      </c>
      <c r="E426" s="3">
        <f t="shared" si="13"/>
        <v>3.1454809682959039E-3</v>
      </c>
    </row>
    <row r="427" spans="1:5" x14ac:dyDescent="0.25">
      <c r="A427" s="1">
        <v>44798</v>
      </c>
      <c r="B427" s="4">
        <v>419.51</v>
      </c>
      <c r="C427" s="4">
        <v>38.445</v>
      </c>
      <c r="D427" s="3">
        <f t="shared" si="12"/>
        <v>1.4018809003647593E-2</v>
      </c>
      <c r="E427" s="3">
        <f t="shared" si="13"/>
        <v>6.1313870253354285E-3</v>
      </c>
    </row>
    <row r="428" spans="1:5" x14ac:dyDescent="0.25">
      <c r="A428" s="1">
        <v>44799</v>
      </c>
      <c r="B428" s="4">
        <v>405.31</v>
      </c>
      <c r="C428" s="4">
        <v>37.854999999999997</v>
      </c>
      <c r="D428" s="3">
        <f t="shared" si="12"/>
        <v>-3.4435157113851915E-2</v>
      </c>
      <c r="E428" s="3">
        <f t="shared" si="13"/>
        <v>-1.5465576928874297E-2</v>
      </c>
    </row>
    <row r="429" spans="1:5" x14ac:dyDescent="0.25">
      <c r="A429" s="1">
        <v>44802</v>
      </c>
      <c r="B429" s="4">
        <v>402.63</v>
      </c>
      <c r="C429" s="4">
        <v>37.97</v>
      </c>
      <c r="D429" s="3">
        <f t="shared" si="12"/>
        <v>-6.6341803337311061E-3</v>
      </c>
      <c r="E429" s="3">
        <f t="shared" si="13"/>
        <v>3.0333026884410206E-3</v>
      </c>
    </row>
    <row r="430" spans="1:5" x14ac:dyDescent="0.25">
      <c r="A430" s="1">
        <v>44803</v>
      </c>
      <c r="B430" s="4">
        <v>398.21</v>
      </c>
      <c r="C430" s="4">
        <v>37.414999999999999</v>
      </c>
      <c r="D430" s="3">
        <f t="shared" si="12"/>
        <v>-1.1038521754516226E-2</v>
      </c>
      <c r="E430" s="3">
        <f t="shared" si="13"/>
        <v>-1.472468071138908E-2</v>
      </c>
    </row>
    <row r="431" spans="1:5" x14ac:dyDescent="0.25">
      <c r="A431" s="1">
        <v>44804</v>
      </c>
      <c r="B431" s="4">
        <v>395.18</v>
      </c>
      <c r="C431" s="4">
        <v>37.17</v>
      </c>
      <c r="D431" s="3">
        <f t="shared" si="12"/>
        <v>-7.638147017636621E-3</v>
      </c>
      <c r="E431" s="3">
        <f t="shared" si="13"/>
        <v>-6.5697092231609619E-3</v>
      </c>
    </row>
    <row r="432" spans="1:5" x14ac:dyDescent="0.25">
      <c r="A432" s="1">
        <v>44805</v>
      </c>
      <c r="B432" s="4">
        <v>396.42</v>
      </c>
      <c r="C432" s="4">
        <v>37.704999999999998</v>
      </c>
      <c r="D432" s="3">
        <f t="shared" si="12"/>
        <v>3.1328979641779635E-3</v>
      </c>
      <c r="E432" s="3">
        <f t="shared" si="13"/>
        <v>1.4290727345449393E-2</v>
      </c>
    </row>
    <row r="433" spans="1:5" x14ac:dyDescent="0.25">
      <c r="A433" s="1">
        <v>44806</v>
      </c>
      <c r="B433" s="4">
        <v>392.24</v>
      </c>
      <c r="C433" s="4">
        <v>37.299999999999997</v>
      </c>
      <c r="D433" s="3">
        <f t="shared" si="12"/>
        <v>-1.0600357926871508E-2</v>
      </c>
      <c r="E433" s="3">
        <f t="shared" si="13"/>
        <v>-1.0799385004840538E-2</v>
      </c>
    </row>
    <row r="434" spans="1:5" x14ac:dyDescent="0.25">
      <c r="A434" s="1">
        <v>44810</v>
      </c>
      <c r="B434" s="4">
        <v>390.76</v>
      </c>
      <c r="C434" s="4">
        <v>37.395000000000003</v>
      </c>
      <c r="D434" s="3">
        <f t="shared" si="12"/>
        <v>-3.7803365582360863E-3</v>
      </c>
      <c r="E434" s="3">
        <f t="shared" si="13"/>
        <v>2.5436789938612955E-3</v>
      </c>
    </row>
    <row r="435" spans="1:5" x14ac:dyDescent="0.25">
      <c r="A435" s="1">
        <v>44811</v>
      </c>
      <c r="B435" s="4">
        <v>397.78</v>
      </c>
      <c r="C435" s="4">
        <v>38.564999999999998</v>
      </c>
      <c r="D435" s="3">
        <f t="shared" si="12"/>
        <v>1.7805527850358546E-2</v>
      </c>
      <c r="E435" s="3">
        <f t="shared" si="13"/>
        <v>3.0808123742331526E-2</v>
      </c>
    </row>
    <row r="436" spans="1:5" x14ac:dyDescent="0.25">
      <c r="A436" s="1">
        <v>44812</v>
      </c>
      <c r="B436" s="4">
        <v>400.38</v>
      </c>
      <c r="C436" s="4">
        <v>38.534999999999997</v>
      </c>
      <c r="D436" s="3">
        <f t="shared" si="12"/>
        <v>6.5150075084698198E-3</v>
      </c>
      <c r="E436" s="3">
        <f t="shared" si="13"/>
        <v>-7.7821015600591293E-4</v>
      </c>
    </row>
    <row r="437" spans="1:5" x14ac:dyDescent="0.25">
      <c r="A437" s="1">
        <v>44813</v>
      </c>
      <c r="B437" s="4">
        <v>406.6</v>
      </c>
      <c r="C437" s="4">
        <v>38.69</v>
      </c>
      <c r="D437" s="3">
        <f t="shared" si="12"/>
        <v>1.5415805050676233E-2</v>
      </c>
      <c r="E437" s="3">
        <f t="shared" si="13"/>
        <v>4.0142494824650793E-3</v>
      </c>
    </row>
    <row r="438" spans="1:5" x14ac:dyDescent="0.25">
      <c r="A438" s="1">
        <v>44816</v>
      </c>
      <c r="B438" s="4">
        <v>410.97</v>
      </c>
      <c r="C438" s="4">
        <v>39.06</v>
      </c>
      <c r="D438" s="3">
        <f t="shared" si="12"/>
        <v>1.0690317937161619E-2</v>
      </c>
      <c r="E438" s="3">
        <f t="shared" si="13"/>
        <v>9.5177567361112922E-3</v>
      </c>
    </row>
    <row r="439" spans="1:5" x14ac:dyDescent="0.25">
      <c r="A439" s="1">
        <v>44817</v>
      </c>
      <c r="B439" s="4">
        <v>393.1</v>
      </c>
      <c r="C439" s="4">
        <v>38.020000000000003</v>
      </c>
      <c r="D439" s="3">
        <f t="shared" si="12"/>
        <v>-4.4456186703593248E-2</v>
      </c>
      <c r="E439" s="3">
        <f t="shared" si="13"/>
        <v>-2.6986588388249706E-2</v>
      </c>
    </row>
    <row r="440" spans="1:5" x14ac:dyDescent="0.25">
      <c r="A440" s="1">
        <v>44818</v>
      </c>
      <c r="B440" s="4">
        <v>394.6</v>
      </c>
      <c r="C440" s="4">
        <v>38.33</v>
      </c>
      <c r="D440" s="3">
        <f t="shared" si="12"/>
        <v>3.8085611607004129E-3</v>
      </c>
      <c r="E440" s="3">
        <f t="shared" si="13"/>
        <v>8.1205423321804304E-3</v>
      </c>
    </row>
    <row r="441" spans="1:5" x14ac:dyDescent="0.25">
      <c r="A441" s="1">
        <v>44819</v>
      </c>
      <c r="B441" s="4">
        <v>390.12</v>
      </c>
      <c r="C441" s="4">
        <v>37.375</v>
      </c>
      <c r="D441" s="3">
        <f t="shared" si="12"/>
        <v>-1.1418209484700738E-2</v>
      </c>
      <c r="E441" s="3">
        <f t="shared" si="13"/>
        <v>-2.5230847681613232E-2</v>
      </c>
    </row>
    <row r="442" spans="1:5" x14ac:dyDescent="0.25">
      <c r="A442" s="1">
        <v>44820</v>
      </c>
      <c r="B442" s="4">
        <v>385.56</v>
      </c>
      <c r="C442" s="4">
        <v>37.234999999999999</v>
      </c>
      <c r="D442" s="3">
        <f t="shared" si="12"/>
        <v>-1.1757561188046916E-2</v>
      </c>
      <c r="E442" s="3">
        <f t="shared" si="13"/>
        <v>-3.7528525482416718E-3</v>
      </c>
    </row>
    <row r="443" spans="1:5" x14ac:dyDescent="0.25">
      <c r="A443" s="1">
        <v>44823</v>
      </c>
      <c r="B443" s="4">
        <v>388.55</v>
      </c>
      <c r="C443" s="4">
        <v>37.479999999999997</v>
      </c>
      <c r="D443" s="3">
        <f t="shared" si="12"/>
        <v>7.7250387394838076E-3</v>
      </c>
      <c r="E443" s="3">
        <f t="shared" si="13"/>
        <v>6.5582782076125945E-3</v>
      </c>
    </row>
    <row r="444" spans="1:5" x14ac:dyDescent="0.25">
      <c r="A444" s="1">
        <v>44824</v>
      </c>
      <c r="B444" s="4">
        <v>384.09</v>
      </c>
      <c r="C444" s="4">
        <v>36.935000000000002</v>
      </c>
      <c r="D444" s="3">
        <f t="shared" si="12"/>
        <v>-1.1544961529054014E-2</v>
      </c>
      <c r="E444" s="3">
        <f t="shared" si="13"/>
        <v>-1.4647846389520167E-2</v>
      </c>
    </row>
    <row r="445" spans="1:5" x14ac:dyDescent="0.25">
      <c r="A445" s="1">
        <v>44825</v>
      </c>
      <c r="B445" s="4">
        <v>377.39</v>
      </c>
      <c r="C445" s="4">
        <v>36.43</v>
      </c>
      <c r="D445" s="3">
        <f t="shared" si="12"/>
        <v>-1.7597764628122084E-2</v>
      </c>
      <c r="E445" s="3">
        <f t="shared" si="13"/>
        <v>-1.3766999960228718E-2</v>
      </c>
    </row>
    <row r="446" spans="1:5" x14ac:dyDescent="0.25">
      <c r="A446" s="1">
        <v>44826</v>
      </c>
      <c r="B446" s="4">
        <v>374.22</v>
      </c>
      <c r="C446" s="4">
        <v>36.299999999999997</v>
      </c>
      <c r="D446" s="3">
        <f t="shared" si="12"/>
        <v>-8.435275731988906E-3</v>
      </c>
      <c r="E446" s="3">
        <f t="shared" si="13"/>
        <v>-3.5748697496674354E-3</v>
      </c>
    </row>
    <row r="447" spans="1:5" x14ac:dyDescent="0.25">
      <c r="A447" s="1">
        <v>44827</v>
      </c>
      <c r="B447" s="4">
        <v>367.95</v>
      </c>
      <c r="C447" s="4">
        <v>35.880000000000003</v>
      </c>
      <c r="D447" s="3">
        <f t="shared" si="12"/>
        <v>-1.6896800393478389E-2</v>
      </c>
      <c r="E447" s="3">
        <f t="shared" si="13"/>
        <v>-1.1637704080209598E-2</v>
      </c>
    </row>
    <row r="448" spans="1:5" x14ac:dyDescent="0.25">
      <c r="A448" s="1">
        <v>44830</v>
      </c>
      <c r="B448" s="4">
        <v>364.31</v>
      </c>
      <c r="C448" s="4">
        <v>35.015000000000001</v>
      </c>
      <c r="D448" s="3">
        <f t="shared" si="12"/>
        <v>-9.941905830906185E-3</v>
      </c>
      <c r="E448" s="3">
        <f t="shared" si="13"/>
        <v>-2.4403496083114349E-2</v>
      </c>
    </row>
    <row r="449" spans="1:5" x14ac:dyDescent="0.25">
      <c r="A449" s="1">
        <v>44831</v>
      </c>
      <c r="B449" s="4">
        <v>363.38</v>
      </c>
      <c r="C449" s="4">
        <v>34.424999999999997</v>
      </c>
      <c r="D449" s="3">
        <f t="shared" si="12"/>
        <v>-2.5560348674072506E-3</v>
      </c>
      <c r="E449" s="3">
        <f t="shared" si="13"/>
        <v>-1.6993496492762557E-2</v>
      </c>
    </row>
    <row r="450" spans="1:5" x14ac:dyDescent="0.25">
      <c r="A450" s="1">
        <v>44832</v>
      </c>
      <c r="B450" s="4">
        <v>370.53</v>
      </c>
      <c r="C450" s="4">
        <v>34.795000000000002</v>
      </c>
      <c r="D450" s="3">
        <f t="shared" si="12"/>
        <v>1.9485294443738185E-2</v>
      </c>
      <c r="E450" s="3">
        <f t="shared" si="13"/>
        <v>1.0690653682095062E-2</v>
      </c>
    </row>
    <row r="451" spans="1:5" x14ac:dyDescent="0.25">
      <c r="A451" s="1">
        <v>44833</v>
      </c>
      <c r="B451" s="4">
        <v>362.79</v>
      </c>
      <c r="C451" s="4">
        <v>33.4</v>
      </c>
      <c r="D451" s="3">
        <f t="shared" si="12"/>
        <v>-2.1110258652738741E-2</v>
      </c>
      <c r="E451" s="3">
        <f t="shared" si="13"/>
        <v>-4.0917798314158788E-2</v>
      </c>
    </row>
    <row r="452" spans="1:5" x14ac:dyDescent="0.25">
      <c r="A452" s="1">
        <v>44834</v>
      </c>
      <c r="B452" s="4">
        <v>357.18</v>
      </c>
      <c r="C452" s="4">
        <v>32.755000000000003</v>
      </c>
      <c r="D452" s="3">
        <f t="shared" ref="D452:D515" si="14">LN(B452/B451)</f>
        <v>-1.5584298071940119E-2</v>
      </c>
      <c r="E452" s="3">
        <f t="shared" ref="E452:E515" si="15">LN(C452/C451)</f>
        <v>-1.9500277798814986E-2</v>
      </c>
    </row>
    <row r="453" spans="1:5" x14ac:dyDescent="0.25">
      <c r="A453" s="1">
        <v>44837</v>
      </c>
      <c r="B453" s="4">
        <v>366.61</v>
      </c>
      <c r="C453" s="4">
        <v>33.715000000000003</v>
      </c>
      <c r="D453" s="3">
        <f t="shared" si="14"/>
        <v>2.6058756327073728E-2</v>
      </c>
      <c r="E453" s="3">
        <f t="shared" si="15"/>
        <v>2.8887220002705587E-2</v>
      </c>
    </row>
    <row r="454" spans="1:5" x14ac:dyDescent="0.25">
      <c r="A454" s="1">
        <v>44838</v>
      </c>
      <c r="B454" s="4">
        <v>377.97</v>
      </c>
      <c r="C454" s="4">
        <v>34.43</v>
      </c>
      <c r="D454" s="3">
        <f t="shared" si="14"/>
        <v>3.0516214670220646E-2</v>
      </c>
      <c r="E454" s="3">
        <f t="shared" si="15"/>
        <v>2.0985435163887019E-2</v>
      </c>
    </row>
    <row r="455" spans="1:5" x14ac:dyDescent="0.25">
      <c r="A455" s="1">
        <v>44839</v>
      </c>
      <c r="B455" s="4">
        <v>377.09</v>
      </c>
      <c r="C455" s="4">
        <v>33.664999999999999</v>
      </c>
      <c r="D455" s="3">
        <f t="shared" si="14"/>
        <v>-2.3309416428924767E-3</v>
      </c>
      <c r="E455" s="3">
        <f t="shared" si="15"/>
        <v>-2.2469555353188158E-2</v>
      </c>
    </row>
    <row r="456" spans="1:5" x14ac:dyDescent="0.25">
      <c r="A456" s="1">
        <v>44840</v>
      </c>
      <c r="B456" s="4">
        <v>373.2</v>
      </c>
      <c r="C456" s="4">
        <v>32.555</v>
      </c>
      <c r="D456" s="3">
        <f t="shared" si="14"/>
        <v>-1.0369416774566931E-2</v>
      </c>
      <c r="E456" s="3">
        <f t="shared" si="15"/>
        <v>-3.3527755308418797E-2</v>
      </c>
    </row>
    <row r="457" spans="1:5" x14ac:dyDescent="0.25">
      <c r="A457" s="1">
        <v>44841</v>
      </c>
      <c r="B457" s="4">
        <v>362.79</v>
      </c>
      <c r="C457" s="4">
        <v>31.88</v>
      </c>
      <c r="D457" s="3">
        <f t="shared" si="14"/>
        <v>-2.8290314507894862E-2</v>
      </c>
      <c r="E457" s="3">
        <f t="shared" si="15"/>
        <v>-2.0952112766811103E-2</v>
      </c>
    </row>
    <row r="458" spans="1:5" x14ac:dyDescent="0.25">
      <c r="A458" s="1">
        <v>44844</v>
      </c>
      <c r="B458" s="4">
        <v>360.02</v>
      </c>
      <c r="C458" s="4">
        <v>31.934999999999999</v>
      </c>
      <c r="D458" s="3">
        <f t="shared" si="14"/>
        <v>-7.6645690027354052E-3</v>
      </c>
      <c r="E458" s="3">
        <f t="shared" si="15"/>
        <v>1.7237330915382707E-3</v>
      </c>
    </row>
    <row r="459" spans="1:5" x14ac:dyDescent="0.25">
      <c r="A459" s="1">
        <v>44845</v>
      </c>
      <c r="B459" s="4">
        <v>357.74</v>
      </c>
      <c r="C459" s="4">
        <v>31.82</v>
      </c>
      <c r="D459" s="3">
        <f t="shared" si="14"/>
        <v>-6.3531198974587279E-3</v>
      </c>
      <c r="E459" s="3">
        <f t="shared" si="15"/>
        <v>-3.6075641039115757E-3</v>
      </c>
    </row>
    <row r="460" spans="1:5" x14ac:dyDescent="0.25">
      <c r="A460" s="1">
        <v>44846</v>
      </c>
      <c r="B460" s="4">
        <v>356.56</v>
      </c>
      <c r="C460" s="4">
        <v>30.76</v>
      </c>
      <c r="D460" s="3">
        <f t="shared" si="14"/>
        <v>-3.3039369267994011E-3</v>
      </c>
      <c r="E460" s="3">
        <f t="shared" si="15"/>
        <v>-3.3879878272197558E-2</v>
      </c>
    </row>
    <row r="461" spans="1:5" x14ac:dyDescent="0.25">
      <c r="A461" s="1">
        <v>44847</v>
      </c>
      <c r="B461" s="4">
        <v>365.97</v>
      </c>
      <c r="C461" s="4">
        <v>31.53</v>
      </c>
      <c r="D461" s="3">
        <f t="shared" si="14"/>
        <v>2.6048834190455606E-2</v>
      </c>
      <c r="E461" s="3">
        <f t="shared" si="15"/>
        <v>2.472432891952616E-2</v>
      </c>
    </row>
    <row r="462" spans="1:5" x14ac:dyDescent="0.25">
      <c r="A462" s="1">
        <v>44848</v>
      </c>
      <c r="B462" s="4">
        <v>357.63</v>
      </c>
      <c r="C462" s="4">
        <v>31.074999999999999</v>
      </c>
      <c r="D462" s="3">
        <f t="shared" si="14"/>
        <v>-2.3052430430736105E-2</v>
      </c>
      <c r="E462" s="3">
        <f t="shared" si="15"/>
        <v>-1.4535836160194746E-2</v>
      </c>
    </row>
    <row r="463" spans="1:5" x14ac:dyDescent="0.25">
      <c r="A463" s="1">
        <v>44851</v>
      </c>
      <c r="B463" s="4">
        <v>366.82</v>
      </c>
      <c r="C463" s="4">
        <v>31.725000000000001</v>
      </c>
      <c r="D463" s="3">
        <f t="shared" si="14"/>
        <v>2.5372332124866594E-2</v>
      </c>
      <c r="E463" s="3">
        <f t="shared" si="15"/>
        <v>2.070137620367658E-2</v>
      </c>
    </row>
    <row r="464" spans="1:5" x14ac:dyDescent="0.25">
      <c r="A464" s="1">
        <v>44852</v>
      </c>
      <c r="B464" s="4">
        <v>371.13</v>
      </c>
      <c r="C464" s="4">
        <v>32.305</v>
      </c>
      <c r="D464" s="3">
        <f t="shared" si="14"/>
        <v>1.1681141019963441E-2</v>
      </c>
      <c r="E464" s="3">
        <f t="shared" si="15"/>
        <v>1.8117003409677451E-2</v>
      </c>
    </row>
    <row r="465" spans="1:5" x14ac:dyDescent="0.25">
      <c r="A465" s="1">
        <v>44853</v>
      </c>
      <c r="B465" s="4">
        <v>368.5</v>
      </c>
      <c r="C465" s="4">
        <v>31.885000000000002</v>
      </c>
      <c r="D465" s="3">
        <f t="shared" si="14"/>
        <v>-7.1116939134586582E-3</v>
      </c>
      <c r="E465" s="3">
        <f t="shared" si="15"/>
        <v>-1.3086337242893811E-2</v>
      </c>
    </row>
    <row r="466" spans="1:5" x14ac:dyDescent="0.25">
      <c r="A466" s="1">
        <v>44854</v>
      </c>
      <c r="B466" s="4">
        <v>365.41</v>
      </c>
      <c r="C466" s="4">
        <v>31.08</v>
      </c>
      <c r="D466" s="3">
        <f t="shared" si="14"/>
        <v>-8.4207007912151868E-3</v>
      </c>
      <c r="E466" s="3">
        <f t="shared" si="15"/>
        <v>-2.5571154267788342E-2</v>
      </c>
    </row>
    <row r="467" spans="1:5" x14ac:dyDescent="0.25">
      <c r="A467" s="1">
        <v>44855</v>
      </c>
      <c r="B467" s="4">
        <v>374.29</v>
      </c>
      <c r="C467" s="4">
        <v>31.655000000000001</v>
      </c>
      <c r="D467" s="3">
        <f t="shared" si="14"/>
        <v>2.4010887177777527E-2</v>
      </c>
      <c r="E467" s="3">
        <f t="shared" si="15"/>
        <v>1.8331588496643274E-2</v>
      </c>
    </row>
    <row r="468" spans="1:5" x14ac:dyDescent="0.25">
      <c r="A468" s="1">
        <v>44858</v>
      </c>
      <c r="B468" s="4">
        <v>378.87</v>
      </c>
      <c r="C468" s="4">
        <v>31.92</v>
      </c>
      <c r="D468" s="3">
        <f t="shared" si="14"/>
        <v>1.2162240310234919E-2</v>
      </c>
      <c r="E468" s="3">
        <f t="shared" si="15"/>
        <v>8.3366585855182869E-3</v>
      </c>
    </row>
    <row r="469" spans="1:5" x14ac:dyDescent="0.25">
      <c r="A469" s="1">
        <v>44859</v>
      </c>
      <c r="B469" s="4">
        <v>384.92</v>
      </c>
      <c r="C469" s="4">
        <v>32.56</v>
      </c>
      <c r="D469" s="3">
        <f t="shared" si="14"/>
        <v>1.5842382162011729E-2</v>
      </c>
      <c r="E469" s="3">
        <f t="shared" si="15"/>
        <v>1.9851768552731529E-2</v>
      </c>
    </row>
    <row r="470" spans="1:5" x14ac:dyDescent="0.25">
      <c r="A470" s="1">
        <v>44860</v>
      </c>
      <c r="B470" s="4">
        <v>382.02</v>
      </c>
      <c r="C470" s="4">
        <v>32.545000000000002</v>
      </c>
      <c r="D470" s="3">
        <f t="shared" si="14"/>
        <v>-7.5625572312111988E-3</v>
      </c>
      <c r="E470" s="3">
        <f t="shared" si="15"/>
        <v>-4.6079410998893874E-4</v>
      </c>
    </row>
    <row r="471" spans="1:5" x14ac:dyDescent="0.25">
      <c r="A471" s="1">
        <v>44861</v>
      </c>
      <c r="B471" s="4">
        <v>379.98</v>
      </c>
      <c r="C471" s="4">
        <v>32.805</v>
      </c>
      <c r="D471" s="3">
        <f t="shared" si="14"/>
        <v>-5.3543435005949467E-3</v>
      </c>
      <c r="E471" s="3">
        <f t="shared" si="15"/>
        <v>7.9571957724902057E-3</v>
      </c>
    </row>
    <row r="472" spans="1:5" x14ac:dyDescent="0.25">
      <c r="A472" s="1">
        <v>44862</v>
      </c>
      <c r="B472" s="4">
        <v>389.02</v>
      </c>
      <c r="C472" s="4">
        <v>33.704999999999998</v>
      </c>
      <c r="D472" s="3">
        <f t="shared" si="14"/>
        <v>2.3512136422152028E-2</v>
      </c>
      <c r="E472" s="3">
        <f t="shared" si="15"/>
        <v>2.7065251508561351E-2</v>
      </c>
    </row>
    <row r="473" spans="1:5" x14ac:dyDescent="0.25">
      <c r="A473" s="1">
        <v>44865</v>
      </c>
      <c r="B473" s="4">
        <v>386.21</v>
      </c>
      <c r="C473" s="4">
        <v>33.39</v>
      </c>
      <c r="D473" s="3">
        <f t="shared" si="14"/>
        <v>-7.2494931998346905E-3</v>
      </c>
      <c r="E473" s="3">
        <f t="shared" si="15"/>
        <v>-9.3897403498389188E-3</v>
      </c>
    </row>
    <row r="474" spans="1:5" x14ac:dyDescent="0.25">
      <c r="A474" s="1">
        <v>44866</v>
      </c>
      <c r="B474" s="4">
        <v>384.52</v>
      </c>
      <c r="C474" s="4">
        <v>33.520000000000003</v>
      </c>
      <c r="D474" s="3">
        <f t="shared" si="14"/>
        <v>-4.3854597810959487E-3</v>
      </c>
      <c r="E474" s="3">
        <f t="shared" si="15"/>
        <v>3.8858216583193155E-3</v>
      </c>
    </row>
    <row r="475" spans="1:5" x14ac:dyDescent="0.25">
      <c r="A475" s="1">
        <v>44867</v>
      </c>
      <c r="B475" s="4">
        <v>374.87</v>
      </c>
      <c r="C475" s="4">
        <v>33.195</v>
      </c>
      <c r="D475" s="3">
        <f t="shared" si="14"/>
        <v>-2.5416503996650883E-2</v>
      </c>
      <c r="E475" s="3">
        <f t="shared" si="15"/>
        <v>-9.7430134427597594E-3</v>
      </c>
    </row>
    <row r="476" spans="1:5" x14ac:dyDescent="0.25">
      <c r="A476" s="1">
        <v>44868</v>
      </c>
      <c r="B476" s="4">
        <v>371.01</v>
      </c>
      <c r="C476" s="4">
        <v>33.340000000000003</v>
      </c>
      <c r="D476" s="3">
        <f t="shared" si="14"/>
        <v>-1.0350282778889134E-2</v>
      </c>
      <c r="E476" s="3">
        <f t="shared" si="15"/>
        <v>4.3586151515254351E-3</v>
      </c>
    </row>
    <row r="477" spans="1:5" x14ac:dyDescent="0.25">
      <c r="A477" s="1">
        <v>44869</v>
      </c>
      <c r="B477" s="4">
        <v>376.35</v>
      </c>
      <c r="C477" s="4">
        <v>33.545000000000002</v>
      </c>
      <c r="D477" s="3">
        <f t="shared" si="14"/>
        <v>1.4290545058465668E-2</v>
      </c>
      <c r="E477" s="3">
        <f t="shared" si="15"/>
        <v>6.12994369220346E-3</v>
      </c>
    </row>
    <row r="478" spans="1:5" x14ac:dyDescent="0.25">
      <c r="A478" s="1">
        <v>44872</v>
      </c>
      <c r="B478" s="4">
        <v>379.95</v>
      </c>
      <c r="C478" s="4">
        <v>32.905000000000001</v>
      </c>
      <c r="D478" s="3">
        <f t="shared" si="14"/>
        <v>9.5201036352528662E-3</v>
      </c>
      <c r="E478" s="3">
        <f t="shared" si="15"/>
        <v>-1.9263199106768929E-2</v>
      </c>
    </row>
    <row r="479" spans="1:5" x14ac:dyDescent="0.25">
      <c r="A479" s="1">
        <v>44873</v>
      </c>
      <c r="B479" s="4">
        <v>382</v>
      </c>
      <c r="C479" s="4">
        <v>33.134999999999998</v>
      </c>
      <c r="D479" s="3">
        <f t="shared" si="14"/>
        <v>5.3809434907813184E-3</v>
      </c>
      <c r="E479" s="3">
        <f t="shared" si="15"/>
        <v>6.9655036321076185E-3</v>
      </c>
    </row>
    <row r="480" spans="1:5" x14ac:dyDescent="0.25">
      <c r="A480" s="1">
        <v>44874</v>
      </c>
      <c r="B480" s="4">
        <v>374.13</v>
      </c>
      <c r="C480" s="4">
        <v>32.875</v>
      </c>
      <c r="D480" s="3">
        <f t="shared" si="14"/>
        <v>-2.0817278005809729E-2</v>
      </c>
      <c r="E480" s="3">
        <f t="shared" si="15"/>
        <v>-7.8776350422615216E-3</v>
      </c>
    </row>
    <row r="481" spans="1:5" x14ac:dyDescent="0.25">
      <c r="A481" s="1">
        <v>44875</v>
      </c>
      <c r="B481" s="4">
        <v>394.69</v>
      </c>
      <c r="C481" s="4">
        <v>34.424999999999997</v>
      </c>
      <c r="D481" s="3">
        <f t="shared" si="14"/>
        <v>5.3497316049083331E-2</v>
      </c>
      <c r="E481" s="3">
        <f t="shared" si="15"/>
        <v>4.6070554116789751E-2</v>
      </c>
    </row>
    <row r="482" spans="1:5" x14ac:dyDescent="0.25">
      <c r="A482" s="1">
        <v>44876</v>
      </c>
      <c r="B482" s="4">
        <v>398.51</v>
      </c>
      <c r="C482" s="4">
        <v>34.04</v>
      </c>
      <c r="D482" s="3">
        <f t="shared" si="14"/>
        <v>9.6319453684551772E-3</v>
      </c>
      <c r="E482" s="3">
        <f t="shared" si="15"/>
        <v>-1.124674090954513E-2</v>
      </c>
    </row>
    <row r="483" spans="1:5" x14ac:dyDescent="0.25">
      <c r="A483" s="1">
        <v>44879</v>
      </c>
      <c r="B483" s="4">
        <v>395.12</v>
      </c>
      <c r="C483" s="4">
        <v>33.634999999999998</v>
      </c>
      <c r="D483" s="3">
        <f t="shared" si="14"/>
        <v>-8.5430757859343721E-3</v>
      </c>
      <c r="E483" s="3">
        <f t="shared" si="15"/>
        <v>-1.1969112227604316E-2</v>
      </c>
    </row>
    <row r="484" spans="1:5" x14ac:dyDescent="0.25">
      <c r="A484" s="1">
        <v>44880</v>
      </c>
      <c r="B484" s="4">
        <v>398.49</v>
      </c>
      <c r="C484" s="4">
        <v>34.005000000000003</v>
      </c>
      <c r="D484" s="3">
        <f t="shared" si="14"/>
        <v>8.4928875801522537E-3</v>
      </c>
      <c r="E484" s="3">
        <f t="shared" si="15"/>
        <v>1.0940381150032926E-2</v>
      </c>
    </row>
    <row r="485" spans="1:5" x14ac:dyDescent="0.25">
      <c r="A485" s="1">
        <v>44881</v>
      </c>
      <c r="B485" s="4">
        <v>395.45</v>
      </c>
      <c r="C485" s="4">
        <v>34.31</v>
      </c>
      <c r="D485" s="3">
        <f t="shared" si="14"/>
        <v>-7.658046847095477E-3</v>
      </c>
      <c r="E485" s="3">
        <f t="shared" si="15"/>
        <v>8.9292842427563697E-3</v>
      </c>
    </row>
    <row r="486" spans="1:5" x14ac:dyDescent="0.25">
      <c r="A486" s="1">
        <v>44882</v>
      </c>
      <c r="B486" s="4">
        <v>394.24</v>
      </c>
      <c r="C486" s="4">
        <v>33.71</v>
      </c>
      <c r="D486" s="3">
        <f t="shared" si="14"/>
        <v>-3.0644960603259312E-3</v>
      </c>
      <c r="E486" s="3">
        <f t="shared" si="15"/>
        <v>-1.7642327624388977E-2</v>
      </c>
    </row>
    <row r="487" spans="1:5" x14ac:dyDescent="0.25">
      <c r="A487" s="1">
        <v>44883</v>
      </c>
      <c r="B487" s="4">
        <v>396.03</v>
      </c>
      <c r="C487" s="4">
        <v>34.424999999999997</v>
      </c>
      <c r="D487" s="3">
        <f t="shared" si="14"/>
        <v>4.5301050556774709E-3</v>
      </c>
      <c r="E487" s="3">
        <f t="shared" si="15"/>
        <v>2.098851536874911E-2</v>
      </c>
    </row>
    <row r="488" spans="1:5" x14ac:dyDescent="0.25">
      <c r="A488" s="1">
        <v>44886</v>
      </c>
      <c r="B488" s="4">
        <v>394.59</v>
      </c>
      <c r="C488" s="4">
        <v>34.58</v>
      </c>
      <c r="D488" s="3">
        <f t="shared" si="14"/>
        <v>-3.6427148119809842E-3</v>
      </c>
      <c r="E488" s="3">
        <f t="shared" si="15"/>
        <v>4.4924356404259817E-3</v>
      </c>
    </row>
    <row r="489" spans="1:5" x14ac:dyDescent="0.25">
      <c r="A489" s="1">
        <v>44887</v>
      </c>
      <c r="B489" s="4">
        <v>399.9</v>
      </c>
      <c r="C489" s="4">
        <v>34.875</v>
      </c>
      <c r="D489" s="3">
        <f t="shared" si="14"/>
        <v>1.3367264703975644E-2</v>
      </c>
      <c r="E489" s="3">
        <f t="shared" si="15"/>
        <v>8.4947598863852388E-3</v>
      </c>
    </row>
    <row r="490" spans="1:5" x14ac:dyDescent="0.25">
      <c r="A490" s="1">
        <v>44888</v>
      </c>
      <c r="B490" s="4">
        <v>402.42</v>
      </c>
      <c r="C490" s="4">
        <v>35.265000000000001</v>
      </c>
      <c r="D490" s="3">
        <f t="shared" si="14"/>
        <v>6.2818034869281791E-3</v>
      </c>
      <c r="E490" s="3">
        <f t="shared" si="15"/>
        <v>1.1120730518612867E-2</v>
      </c>
    </row>
    <row r="491" spans="1:5" x14ac:dyDescent="0.25">
      <c r="A491" s="1">
        <v>44890</v>
      </c>
      <c r="B491" s="4">
        <v>402.33</v>
      </c>
      <c r="C491" s="4">
        <v>35.47</v>
      </c>
      <c r="D491" s="3">
        <f t="shared" si="14"/>
        <v>-2.2367194874245962E-4</v>
      </c>
      <c r="E491" s="3">
        <f t="shared" si="15"/>
        <v>5.7962981253879709E-3</v>
      </c>
    </row>
    <row r="492" spans="1:5" x14ac:dyDescent="0.25">
      <c r="A492" s="1">
        <v>44893</v>
      </c>
      <c r="B492" s="4">
        <v>395.91</v>
      </c>
      <c r="C492" s="4">
        <v>35.104999999999997</v>
      </c>
      <c r="D492" s="3">
        <f t="shared" si="14"/>
        <v>-1.6085734694110627E-2</v>
      </c>
      <c r="E492" s="3">
        <f t="shared" si="15"/>
        <v>-1.0343698316318347E-2</v>
      </c>
    </row>
    <row r="493" spans="1:5" x14ac:dyDescent="0.25">
      <c r="A493" s="1">
        <v>44894</v>
      </c>
      <c r="B493" s="4">
        <v>395.23</v>
      </c>
      <c r="C493" s="4">
        <v>34.844999999999999</v>
      </c>
      <c r="D493" s="3">
        <f t="shared" si="14"/>
        <v>-1.7190387730498372E-3</v>
      </c>
      <c r="E493" s="3">
        <f t="shared" si="15"/>
        <v>-7.4339155787299825E-3</v>
      </c>
    </row>
    <row r="494" spans="1:5" x14ac:dyDescent="0.25">
      <c r="A494" s="1">
        <v>44895</v>
      </c>
      <c r="B494" s="4">
        <v>407.68</v>
      </c>
      <c r="C494" s="4">
        <v>35.715000000000003</v>
      </c>
      <c r="D494" s="3">
        <f t="shared" si="14"/>
        <v>3.1014679019945916E-2</v>
      </c>
      <c r="E494" s="3">
        <f t="shared" si="15"/>
        <v>2.4661113716453718E-2</v>
      </c>
    </row>
    <row r="495" spans="1:5" x14ac:dyDescent="0.25">
      <c r="A495" s="1">
        <v>44896</v>
      </c>
      <c r="B495" s="4">
        <v>407.38</v>
      </c>
      <c r="C495" s="4">
        <v>35.685000000000002</v>
      </c>
      <c r="D495" s="3">
        <f t="shared" si="14"/>
        <v>-7.3614215774947523E-4</v>
      </c>
      <c r="E495" s="3">
        <f t="shared" si="15"/>
        <v>-8.4033618390518103E-4</v>
      </c>
    </row>
    <row r="496" spans="1:5" x14ac:dyDescent="0.25">
      <c r="A496" s="1">
        <v>44897</v>
      </c>
      <c r="B496" s="4">
        <v>406.91</v>
      </c>
      <c r="C496" s="4">
        <v>35.515000000000001</v>
      </c>
      <c r="D496" s="3">
        <f t="shared" si="14"/>
        <v>-1.1543800174218385E-3</v>
      </c>
      <c r="E496" s="3">
        <f t="shared" si="15"/>
        <v>-4.7752899732574888E-3</v>
      </c>
    </row>
    <row r="497" spans="1:5" x14ac:dyDescent="0.25">
      <c r="A497" s="1">
        <v>44900</v>
      </c>
      <c r="B497" s="4">
        <v>399.59</v>
      </c>
      <c r="C497" s="4">
        <v>35.314999999999998</v>
      </c>
      <c r="D497" s="3">
        <f t="shared" si="14"/>
        <v>-1.815300933233039E-2</v>
      </c>
      <c r="E497" s="3">
        <f t="shared" si="15"/>
        <v>-5.6473395888878139E-3</v>
      </c>
    </row>
    <row r="498" spans="1:5" x14ac:dyDescent="0.25">
      <c r="A498" s="1">
        <v>44901</v>
      </c>
      <c r="B498" s="4">
        <v>393.83</v>
      </c>
      <c r="C498" s="4">
        <v>35.534999999999997</v>
      </c>
      <c r="D498" s="3">
        <f t="shared" si="14"/>
        <v>-1.4519677330389306E-2</v>
      </c>
      <c r="E498" s="3">
        <f t="shared" si="15"/>
        <v>6.2103234179728952E-3</v>
      </c>
    </row>
    <row r="499" spans="1:5" x14ac:dyDescent="0.25">
      <c r="A499" s="1">
        <v>44902</v>
      </c>
      <c r="B499" s="4">
        <v>393.16</v>
      </c>
      <c r="C499" s="4">
        <v>35.369999999999997</v>
      </c>
      <c r="D499" s="3">
        <f t="shared" si="14"/>
        <v>-1.7026904074242595E-3</v>
      </c>
      <c r="E499" s="3">
        <f t="shared" si="15"/>
        <v>-4.6541230614692139E-3</v>
      </c>
    </row>
    <row r="500" spans="1:5" x14ac:dyDescent="0.25">
      <c r="A500" s="1">
        <v>44903</v>
      </c>
      <c r="B500" s="4">
        <v>396.24</v>
      </c>
      <c r="C500" s="4">
        <v>35.6</v>
      </c>
      <c r="D500" s="3">
        <f t="shared" si="14"/>
        <v>7.8034345815536001E-3</v>
      </c>
      <c r="E500" s="3">
        <f t="shared" si="15"/>
        <v>6.4816346405956356E-3</v>
      </c>
    </row>
    <row r="501" spans="1:5" x14ac:dyDescent="0.25">
      <c r="A501" s="1">
        <v>44904</v>
      </c>
      <c r="B501" s="4">
        <v>393.28</v>
      </c>
      <c r="C501" s="4">
        <v>35.414999999999999</v>
      </c>
      <c r="D501" s="3">
        <f t="shared" si="14"/>
        <v>-7.4982619023123906E-3</v>
      </c>
      <c r="E501" s="3">
        <f t="shared" si="15"/>
        <v>-5.2101786523988782E-3</v>
      </c>
    </row>
    <row r="502" spans="1:5" x14ac:dyDescent="0.25">
      <c r="A502" s="1">
        <v>44907</v>
      </c>
      <c r="B502" s="4">
        <v>398.95</v>
      </c>
      <c r="C502" s="4">
        <v>36.225000000000001</v>
      </c>
      <c r="D502" s="3">
        <f t="shared" si="14"/>
        <v>1.4314269376619941E-2</v>
      </c>
      <c r="E502" s="3">
        <f t="shared" si="15"/>
        <v>2.2614029001160173E-2</v>
      </c>
    </row>
    <row r="503" spans="1:5" x14ac:dyDescent="0.25">
      <c r="A503" s="1">
        <v>44908</v>
      </c>
      <c r="B503" s="4">
        <v>401.97</v>
      </c>
      <c r="C503" s="4">
        <v>36.335000000000001</v>
      </c>
      <c r="D503" s="3">
        <f t="shared" si="14"/>
        <v>7.5413632143364424E-3</v>
      </c>
      <c r="E503" s="3">
        <f t="shared" si="15"/>
        <v>3.0319758618530543E-3</v>
      </c>
    </row>
    <row r="504" spans="1:5" x14ac:dyDescent="0.25">
      <c r="A504" s="1">
        <v>44909</v>
      </c>
      <c r="B504" s="4">
        <v>399.4</v>
      </c>
      <c r="C504" s="4">
        <v>36.29</v>
      </c>
      <c r="D504" s="3">
        <f t="shared" si="14"/>
        <v>-6.4140379869115855E-3</v>
      </c>
      <c r="E504" s="3">
        <f t="shared" si="15"/>
        <v>-1.23924284362027E-3</v>
      </c>
    </row>
    <row r="505" spans="1:5" x14ac:dyDescent="0.25">
      <c r="A505" s="1">
        <v>44910</v>
      </c>
      <c r="B505" s="4">
        <v>389.63</v>
      </c>
      <c r="C505" s="4">
        <v>35.85</v>
      </c>
      <c r="D505" s="3">
        <f t="shared" si="14"/>
        <v>-2.4765850124452579E-2</v>
      </c>
      <c r="E505" s="3">
        <f t="shared" si="15"/>
        <v>-1.2198654179349483E-2</v>
      </c>
    </row>
    <row r="506" spans="1:5" x14ac:dyDescent="0.25">
      <c r="A506" s="1">
        <v>44911</v>
      </c>
      <c r="B506" s="4">
        <v>383.27</v>
      </c>
      <c r="C506" s="4">
        <v>35.24</v>
      </c>
      <c r="D506" s="3">
        <f t="shared" si="14"/>
        <v>-1.6457869209277255E-2</v>
      </c>
      <c r="E506" s="3">
        <f t="shared" si="15"/>
        <v>-1.7161765977650616E-2</v>
      </c>
    </row>
    <row r="507" spans="1:5" x14ac:dyDescent="0.25">
      <c r="A507" s="1">
        <v>44914</v>
      </c>
      <c r="B507" s="4">
        <v>380.02</v>
      </c>
      <c r="C507" s="4">
        <v>34.814999999999998</v>
      </c>
      <c r="D507" s="3">
        <f t="shared" si="14"/>
        <v>-8.5158187335991706E-3</v>
      </c>
      <c r="E507" s="3">
        <f t="shared" si="15"/>
        <v>-1.2133472673468836E-2</v>
      </c>
    </row>
    <row r="508" spans="1:5" x14ac:dyDescent="0.25">
      <c r="A508" s="1">
        <v>44915</v>
      </c>
      <c r="B508" s="4">
        <v>380.54</v>
      </c>
      <c r="C508" s="4">
        <v>34.825000000000003</v>
      </c>
      <c r="D508" s="3">
        <f t="shared" si="14"/>
        <v>1.367413697868956E-3</v>
      </c>
      <c r="E508" s="3">
        <f t="shared" si="15"/>
        <v>2.8719127135941417E-4</v>
      </c>
    </row>
    <row r="509" spans="1:5" x14ac:dyDescent="0.25">
      <c r="A509" s="1">
        <v>44916</v>
      </c>
      <c r="B509" s="4">
        <v>386.23</v>
      </c>
      <c r="C509" s="4">
        <v>35.31</v>
      </c>
      <c r="D509" s="3">
        <f t="shared" si="14"/>
        <v>1.4841750323798428E-2</v>
      </c>
      <c r="E509" s="3">
        <f t="shared" si="15"/>
        <v>1.3830690274425631E-2</v>
      </c>
    </row>
    <row r="510" spans="1:5" x14ac:dyDescent="0.25">
      <c r="A510" s="1">
        <v>44917</v>
      </c>
      <c r="B510" s="4">
        <v>380.72</v>
      </c>
      <c r="C510" s="4">
        <v>35.094999999999999</v>
      </c>
      <c r="D510" s="3">
        <f t="shared" si="14"/>
        <v>-1.4368850123197928E-2</v>
      </c>
      <c r="E510" s="3">
        <f t="shared" si="15"/>
        <v>-6.1075397579103442E-3</v>
      </c>
    </row>
    <row r="511" spans="1:5" x14ac:dyDescent="0.25">
      <c r="A511" s="1">
        <v>44918</v>
      </c>
      <c r="B511" s="4">
        <v>382.91</v>
      </c>
      <c r="C511" s="4">
        <v>35.454999999999998</v>
      </c>
      <c r="D511" s="3">
        <f t="shared" si="14"/>
        <v>5.7357778088630582E-3</v>
      </c>
      <c r="E511" s="3">
        <f t="shared" si="15"/>
        <v>1.0205616573575185E-2</v>
      </c>
    </row>
    <row r="512" spans="1:5" x14ac:dyDescent="0.25">
      <c r="A512" s="1">
        <v>44922</v>
      </c>
      <c r="B512" s="4">
        <v>381.4</v>
      </c>
      <c r="C512" s="4">
        <v>35.674999999999997</v>
      </c>
      <c r="D512" s="3">
        <f t="shared" si="14"/>
        <v>-3.9512814553994673E-3</v>
      </c>
      <c r="E512" s="3">
        <f t="shared" si="15"/>
        <v>6.1858766069400675E-3</v>
      </c>
    </row>
    <row r="513" spans="1:5" x14ac:dyDescent="0.25">
      <c r="A513" s="1">
        <v>44923</v>
      </c>
      <c r="B513" s="4">
        <v>376.66</v>
      </c>
      <c r="C513" s="4">
        <v>35.335000000000001</v>
      </c>
      <c r="D513" s="3">
        <f t="shared" si="14"/>
        <v>-1.2505769399717388E-2</v>
      </c>
      <c r="E513" s="3">
        <f t="shared" si="15"/>
        <v>-9.5761892200824147E-3</v>
      </c>
    </row>
    <row r="514" spans="1:5" x14ac:dyDescent="0.25">
      <c r="A514" s="1">
        <v>44924</v>
      </c>
      <c r="B514" s="4">
        <v>383.44</v>
      </c>
      <c r="C514" s="4">
        <v>35.590000000000003</v>
      </c>
      <c r="D514" s="3">
        <f t="shared" si="14"/>
        <v>1.7840231084774682E-2</v>
      </c>
      <c r="E514" s="3">
        <f t="shared" si="15"/>
        <v>7.1907253792837782E-3</v>
      </c>
    </row>
    <row r="515" spans="1:5" x14ac:dyDescent="0.25">
      <c r="A515" s="1">
        <v>44925</v>
      </c>
      <c r="B515" s="4">
        <v>382.43</v>
      </c>
      <c r="C515" s="4">
        <v>35.25</v>
      </c>
      <c r="D515" s="3">
        <f t="shared" si="14"/>
        <v>-2.6375248684724715E-3</v>
      </c>
      <c r="E515" s="3">
        <f t="shared" si="15"/>
        <v>-9.5991702638237378E-3</v>
      </c>
    </row>
    <row r="516" spans="1:5" x14ac:dyDescent="0.25">
      <c r="A516" s="1">
        <v>44929</v>
      </c>
      <c r="B516" s="4">
        <v>380.82</v>
      </c>
      <c r="C516" s="4">
        <v>35.25</v>
      </c>
      <c r="D516" s="3">
        <f t="shared" ref="D516:D579" si="16">LN(B516/B515)</f>
        <v>-4.2188074364696449E-3</v>
      </c>
      <c r="E516" s="3">
        <f t="shared" ref="E516:E579" si="17">LN(C516/C515)</f>
        <v>0</v>
      </c>
    </row>
    <row r="517" spans="1:5" x14ac:dyDescent="0.25">
      <c r="A517" s="1">
        <v>44930</v>
      </c>
      <c r="B517" s="4">
        <v>383.76</v>
      </c>
      <c r="C517" s="4">
        <v>35.57</v>
      </c>
      <c r="D517" s="3">
        <f t="shared" si="16"/>
        <v>7.6905346473746996E-3</v>
      </c>
      <c r="E517" s="3">
        <f t="shared" si="17"/>
        <v>9.0370567020861409E-3</v>
      </c>
    </row>
    <row r="518" spans="1:5" x14ac:dyDescent="0.25">
      <c r="A518" s="1">
        <v>44931</v>
      </c>
      <c r="B518" s="4">
        <v>379.38</v>
      </c>
      <c r="C518" s="4">
        <v>34.799999999999997</v>
      </c>
      <c r="D518" s="3">
        <f t="shared" si="16"/>
        <v>-1.1479015895231615E-2</v>
      </c>
      <c r="E518" s="3">
        <f t="shared" si="17"/>
        <v>-2.1885199179935255E-2</v>
      </c>
    </row>
    <row r="519" spans="1:5" x14ac:dyDescent="0.25">
      <c r="A519" s="1">
        <v>44932</v>
      </c>
      <c r="B519" s="4">
        <v>388.08</v>
      </c>
      <c r="C519" s="4">
        <v>35.5</v>
      </c>
      <c r="D519" s="3">
        <f t="shared" si="16"/>
        <v>2.26731626383842E-2</v>
      </c>
      <c r="E519" s="3">
        <f t="shared" si="17"/>
        <v>1.9915309700941516E-2</v>
      </c>
    </row>
    <row r="520" spans="1:5" x14ac:dyDescent="0.25">
      <c r="A520" s="1">
        <v>44935</v>
      </c>
      <c r="B520" s="4">
        <v>387.86</v>
      </c>
      <c r="C520" s="4">
        <v>35.74</v>
      </c>
      <c r="D520" s="3">
        <f t="shared" si="16"/>
        <v>-5.670541688662555E-4</v>
      </c>
      <c r="E520" s="3">
        <f t="shared" si="17"/>
        <v>6.7378132499118174E-3</v>
      </c>
    </row>
    <row r="521" spans="1:5" x14ac:dyDescent="0.25">
      <c r="A521" s="1">
        <v>44936</v>
      </c>
      <c r="B521" s="4">
        <v>390.58</v>
      </c>
      <c r="C521" s="4">
        <v>35.75</v>
      </c>
      <c r="D521" s="3">
        <f t="shared" si="16"/>
        <v>6.9883640865415998E-3</v>
      </c>
      <c r="E521" s="3">
        <f t="shared" si="17"/>
        <v>2.797594087346738E-4</v>
      </c>
    </row>
    <row r="522" spans="1:5" x14ac:dyDescent="0.25">
      <c r="A522" s="1">
        <v>44937</v>
      </c>
      <c r="B522" s="4">
        <v>395.52</v>
      </c>
      <c r="C522" s="4">
        <v>36.04</v>
      </c>
      <c r="D522" s="3">
        <f t="shared" si="16"/>
        <v>1.2568540974635067E-2</v>
      </c>
      <c r="E522" s="3">
        <f t="shared" si="17"/>
        <v>8.0791636001204033E-3</v>
      </c>
    </row>
    <row r="523" spans="1:5" x14ac:dyDescent="0.25">
      <c r="A523" s="1">
        <v>44938</v>
      </c>
      <c r="B523" s="4">
        <v>396.96</v>
      </c>
      <c r="C523" s="4">
        <v>35.795000000000002</v>
      </c>
      <c r="D523" s="3">
        <f t="shared" si="16"/>
        <v>3.6341651142196693E-3</v>
      </c>
      <c r="E523" s="3">
        <f t="shared" si="17"/>
        <v>-6.8212138919887958E-3</v>
      </c>
    </row>
    <row r="524" spans="1:5" x14ac:dyDescent="0.25">
      <c r="A524" s="1">
        <v>44939</v>
      </c>
      <c r="B524" s="4">
        <v>398.5</v>
      </c>
      <c r="C524" s="4">
        <v>35.664999999999999</v>
      </c>
      <c r="D524" s="3">
        <f t="shared" si="16"/>
        <v>3.8719782867788571E-3</v>
      </c>
      <c r="E524" s="3">
        <f t="shared" si="17"/>
        <v>-3.638403118146942E-3</v>
      </c>
    </row>
    <row r="525" spans="1:5" x14ac:dyDescent="0.25">
      <c r="A525" s="1">
        <v>44943</v>
      </c>
      <c r="B525" s="4">
        <v>397.77</v>
      </c>
      <c r="C525" s="4">
        <v>35.615000000000002</v>
      </c>
      <c r="D525" s="3">
        <f t="shared" si="16"/>
        <v>-1.8335494355326959E-3</v>
      </c>
      <c r="E525" s="3">
        <f t="shared" si="17"/>
        <v>-1.4029182996842067E-3</v>
      </c>
    </row>
    <row r="526" spans="1:5" x14ac:dyDescent="0.25">
      <c r="A526" s="1">
        <v>44944</v>
      </c>
      <c r="B526" s="4">
        <v>391.49</v>
      </c>
      <c r="C526" s="4">
        <v>34.76</v>
      </c>
      <c r="D526" s="3">
        <f t="shared" si="16"/>
        <v>-1.5913976474265158E-2</v>
      </c>
      <c r="E526" s="3">
        <f t="shared" si="17"/>
        <v>-2.4299597033125973E-2</v>
      </c>
    </row>
    <row r="527" spans="1:5" x14ac:dyDescent="0.25">
      <c r="A527" s="1">
        <v>44945</v>
      </c>
      <c r="B527" s="4">
        <v>388.64</v>
      </c>
      <c r="C527" s="4">
        <v>34.409999999999997</v>
      </c>
      <c r="D527" s="3">
        <f t="shared" si="16"/>
        <v>-7.3065070666095107E-3</v>
      </c>
      <c r="E527" s="3">
        <f t="shared" si="17"/>
        <v>-1.0120080587802298E-2</v>
      </c>
    </row>
    <row r="528" spans="1:5" x14ac:dyDescent="0.25">
      <c r="A528" s="1">
        <v>44946</v>
      </c>
      <c r="B528" s="4">
        <v>395.88</v>
      </c>
      <c r="C528" s="4">
        <v>34.615000000000002</v>
      </c>
      <c r="D528" s="3">
        <f t="shared" si="16"/>
        <v>1.8457669774628E-2</v>
      </c>
      <c r="E528" s="3">
        <f t="shared" si="17"/>
        <v>5.9398943205998247E-3</v>
      </c>
    </row>
    <row r="529" spans="1:5" x14ac:dyDescent="0.25">
      <c r="A529" s="1">
        <v>44949</v>
      </c>
      <c r="B529" s="4">
        <v>400.63</v>
      </c>
      <c r="C529" s="4">
        <v>34.625</v>
      </c>
      <c r="D529" s="3">
        <f t="shared" si="16"/>
        <v>1.1927173067783311E-2</v>
      </c>
      <c r="E529" s="3">
        <f t="shared" si="17"/>
        <v>2.8885037751385086E-4</v>
      </c>
    </row>
    <row r="530" spans="1:5" x14ac:dyDescent="0.25">
      <c r="A530" s="1">
        <v>44950</v>
      </c>
      <c r="B530" s="4">
        <v>400.2</v>
      </c>
      <c r="C530" s="4">
        <v>34.799999999999997</v>
      </c>
      <c r="D530" s="3">
        <f t="shared" si="16"/>
        <v>-1.0738859466406948E-3</v>
      </c>
      <c r="E530" s="3">
        <f t="shared" si="17"/>
        <v>5.0414222729259321E-3</v>
      </c>
    </row>
    <row r="531" spans="1:5" x14ac:dyDescent="0.25">
      <c r="A531" s="1">
        <v>44951</v>
      </c>
      <c r="B531" s="4">
        <v>400.35</v>
      </c>
      <c r="C531" s="4">
        <v>34.33</v>
      </c>
      <c r="D531" s="3">
        <f t="shared" si="16"/>
        <v>3.7474236900996322E-4</v>
      </c>
      <c r="E531" s="3">
        <f t="shared" si="17"/>
        <v>-1.359777931082789E-2</v>
      </c>
    </row>
    <row r="532" spans="1:5" x14ac:dyDescent="0.25">
      <c r="A532" s="1">
        <v>44952</v>
      </c>
      <c r="B532" s="4">
        <v>404.75</v>
      </c>
      <c r="C532" s="4">
        <v>34.445</v>
      </c>
      <c r="D532" s="3">
        <f t="shared" si="16"/>
        <v>1.093042803910157E-2</v>
      </c>
      <c r="E532" s="3">
        <f t="shared" si="17"/>
        <v>3.3442415755585071E-3</v>
      </c>
    </row>
    <row r="533" spans="1:5" x14ac:dyDescent="0.25">
      <c r="A533" s="1">
        <v>44953</v>
      </c>
      <c r="B533" s="4">
        <v>405.68</v>
      </c>
      <c r="C533" s="4">
        <v>34.445</v>
      </c>
      <c r="D533" s="3">
        <f t="shared" si="16"/>
        <v>2.2950789290190616E-3</v>
      </c>
      <c r="E533" s="3">
        <f t="shared" si="17"/>
        <v>0</v>
      </c>
    </row>
    <row r="534" spans="1:5" x14ac:dyDescent="0.25">
      <c r="A534" s="1">
        <v>44956</v>
      </c>
      <c r="B534" s="4">
        <v>400.59</v>
      </c>
      <c r="C534" s="4">
        <v>34.29</v>
      </c>
      <c r="D534" s="3">
        <f t="shared" si="16"/>
        <v>-1.2626211122781377E-2</v>
      </c>
      <c r="E534" s="3">
        <f t="shared" si="17"/>
        <v>-4.510082570330233E-3</v>
      </c>
    </row>
    <row r="535" spans="1:5" x14ac:dyDescent="0.25">
      <c r="A535" s="1">
        <v>44957</v>
      </c>
      <c r="B535" s="4">
        <v>406.48</v>
      </c>
      <c r="C535" s="4">
        <v>34.545000000000002</v>
      </c>
      <c r="D535" s="3">
        <f t="shared" si="16"/>
        <v>1.4596266921494291E-2</v>
      </c>
      <c r="E535" s="3">
        <f t="shared" si="17"/>
        <v>7.4090554659293163E-3</v>
      </c>
    </row>
    <row r="536" spans="1:5" x14ac:dyDescent="0.25">
      <c r="A536" s="1">
        <v>44958</v>
      </c>
      <c r="B536" s="4">
        <v>410.8</v>
      </c>
      <c r="C536" s="4">
        <v>34.604999999999997</v>
      </c>
      <c r="D536" s="3">
        <f t="shared" si="16"/>
        <v>1.0571750768926609E-2</v>
      </c>
      <c r="E536" s="3">
        <f t="shared" si="17"/>
        <v>1.7353583530682632E-3</v>
      </c>
    </row>
    <row r="537" spans="1:5" x14ac:dyDescent="0.25">
      <c r="A537" s="1">
        <v>44959</v>
      </c>
      <c r="B537" s="4">
        <v>416.78</v>
      </c>
      <c r="C537" s="4">
        <v>34.68</v>
      </c>
      <c r="D537" s="3">
        <f t="shared" si="16"/>
        <v>1.4452026588540324E-2</v>
      </c>
      <c r="E537" s="3">
        <f t="shared" si="17"/>
        <v>2.1649716185145706E-3</v>
      </c>
    </row>
    <row r="538" spans="1:5" x14ac:dyDescent="0.25">
      <c r="A538" s="1">
        <v>44960</v>
      </c>
      <c r="B538" s="4">
        <v>412.35</v>
      </c>
      <c r="C538" s="4">
        <v>33.954999999999998</v>
      </c>
      <c r="D538" s="3">
        <f t="shared" si="16"/>
        <v>-1.0686001363579114E-2</v>
      </c>
      <c r="E538" s="3">
        <f t="shared" si="17"/>
        <v>-2.1127033346586471E-2</v>
      </c>
    </row>
    <row r="539" spans="1:5" x14ac:dyDescent="0.25">
      <c r="A539" s="1">
        <v>44963</v>
      </c>
      <c r="B539" s="4">
        <v>409.83</v>
      </c>
      <c r="C539" s="4">
        <v>34.244999999999997</v>
      </c>
      <c r="D539" s="3">
        <f t="shared" si="16"/>
        <v>-6.1300637118590429E-3</v>
      </c>
      <c r="E539" s="3">
        <f t="shared" si="17"/>
        <v>8.5044500841137093E-3</v>
      </c>
    </row>
    <row r="540" spans="1:5" x14ac:dyDescent="0.25">
      <c r="A540" s="1">
        <v>44964</v>
      </c>
      <c r="B540" s="4">
        <v>415.19</v>
      </c>
      <c r="C540" s="4">
        <v>34.229999999999997</v>
      </c>
      <c r="D540" s="3">
        <f t="shared" si="16"/>
        <v>1.2993807215710453E-2</v>
      </c>
      <c r="E540" s="3">
        <f t="shared" si="17"/>
        <v>-4.3811610777463834E-4</v>
      </c>
    </row>
    <row r="541" spans="1:5" x14ac:dyDescent="0.25">
      <c r="A541" s="1">
        <v>44965</v>
      </c>
      <c r="B541" s="4">
        <v>410.65</v>
      </c>
      <c r="C541" s="4">
        <v>33.655000000000001</v>
      </c>
      <c r="D541" s="3">
        <f t="shared" si="16"/>
        <v>-1.0994976597014684E-2</v>
      </c>
      <c r="E541" s="3">
        <f t="shared" si="17"/>
        <v>-1.6940819079417441E-2</v>
      </c>
    </row>
    <row r="542" spans="1:5" x14ac:dyDescent="0.25">
      <c r="A542" s="1">
        <v>44966</v>
      </c>
      <c r="B542" s="4">
        <v>407.09</v>
      </c>
      <c r="C542" s="4">
        <v>33.195</v>
      </c>
      <c r="D542" s="3">
        <f t="shared" si="16"/>
        <v>-8.7069789681597232E-3</v>
      </c>
      <c r="E542" s="3">
        <f t="shared" si="17"/>
        <v>-1.3762371291553789E-2</v>
      </c>
    </row>
    <row r="543" spans="1:5" x14ac:dyDescent="0.25">
      <c r="A543" s="1">
        <v>44967</v>
      </c>
      <c r="B543" s="4">
        <v>408.04</v>
      </c>
      <c r="C543" s="4">
        <v>33.854999999999997</v>
      </c>
      <c r="D543" s="3">
        <f t="shared" si="16"/>
        <v>2.3309175962767342E-3</v>
      </c>
      <c r="E543" s="3">
        <f t="shared" si="17"/>
        <v>1.9687436766486013E-2</v>
      </c>
    </row>
    <row r="544" spans="1:5" x14ac:dyDescent="0.25">
      <c r="A544" s="1">
        <v>44970</v>
      </c>
      <c r="B544" s="4">
        <v>412.83</v>
      </c>
      <c r="C544" s="4">
        <v>34.06</v>
      </c>
      <c r="D544" s="3">
        <f t="shared" si="16"/>
        <v>1.1670677130981681E-2</v>
      </c>
      <c r="E544" s="3">
        <f t="shared" si="17"/>
        <v>6.036976296933688E-3</v>
      </c>
    </row>
    <row r="545" spans="1:5" x14ac:dyDescent="0.25">
      <c r="A545" s="1">
        <v>44971</v>
      </c>
      <c r="B545" s="4">
        <v>412.64</v>
      </c>
      <c r="C545" s="4">
        <v>33.914999999999999</v>
      </c>
      <c r="D545" s="3">
        <f t="shared" si="16"/>
        <v>-4.6034381226534601E-4</v>
      </c>
      <c r="E545" s="3">
        <f t="shared" si="17"/>
        <v>-4.2662808364994018E-3</v>
      </c>
    </row>
    <row r="546" spans="1:5" x14ac:dyDescent="0.25">
      <c r="A546" s="1">
        <v>44972</v>
      </c>
      <c r="B546" s="4">
        <v>413.98</v>
      </c>
      <c r="C546" s="4">
        <v>34.134999999999998</v>
      </c>
      <c r="D546" s="3">
        <f t="shared" si="16"/>
        <v>3.2421213466098373E-3</v>
      </c>
      <c r="E546" s="3">
        <f t="shared" si="17"/>
        <v>6.4658564722006638E-3</v>
      </c>
    </row>
    <row r="547" spans="1:5" x14ac:dyDescent="0.25">
      <c r="A547" s="1">
        <v>44973</v>
      </c>
      <c r="B547" s="4">
        <v>408.28</v>
      </c>
      <c r="C547" s="4">
        <v>33.875</v>
      </c>
      <c r="D547" s="3">
        <f t="shared" si="16"/>
        <v>-1.3864449944346924E-2</v>
      </c>
      <c r="E547" s="3">
        <f t="shared" si="17"/>
        <v>-7.6459716703786117E-3</v>
      </c>
    </row>
    <row r="548" spans="1:5" x14ac:dyDescent="0.25">
      <c r="A548" s="1">
        <v>44974</v>
      </c>
      <c r="B548" s="4">
        <v>407.26</v>
      </c>
      <c r="C548" s="4">
        <v>34.24</v>
      </c>
      <c r="D548" s="3">
        <f t="shared" si="16"/>
        <v>-2.5014114129287036E-3</v>
      </c>
      <c r="E548" s="3">
        <f t="shared" si="17"/>
        <v>1.0717272073676412E-2</v>
      </c>
    </row>
    <row r="549" spans="1:5" x14ac:dyDescent="0.25">
      <c r="A549" s="1">
        <v>44978</v>
      </c>
      <c r="B549" s="4">
        <v>399.09</v>
      </c>
      <c r="C549" s="4">
        <v>33.6</v>
      </c>
      <c r="D549" s="3">
        <f t="shared" si="16"/>
        <v>-2.0264846758444924E-2</v>
      </c>
      <c r="E549" s="3">
        <f t="shared" si="17"/>
        <v>-1.8868484304382805E-2</v>
      </c>
    </row>
    <row r="550" spans="1:5" x14ac:dyDescent="0.25">
      <c r="A550" s="1">
        <v>44979</v>
      </c>
      <c r="B550" s="4">
        <v>398.54</v>
      </c>
      <c r="C550" s="4">
        <v>33.47</v>
      </c>
      <c r="D550" s="3">
        <f t="shared" si="16"/>
        <v>-1.3790857594857767E-3</v>
      </c>
      <c r="E550" s="3">
        <f t="shared" si="17"/>
        <v>-3.8765517459234062E-3</v>
      </c>
    </row>
    <row r="551" spans="1:5" x14ac:dyDescent="0.25">
      <c r="A551" s="1">
        <v>44980</v>
      </c>
      <c r="B551" s="4">
        <v>400.66</v>
      </c>
      <c r="C551" s="4">
        <v>33.295000000000002</v>
      </c>
      <c r="D551" s="3">
        <f t="shared" si="16"/>
        <v>5.3053177490683745E-3</v>
      </c>
      <c r="E551" s="3">
        <f t="shared" si="17"/>
        <v>-5.2422796606494656E-3</v>
      </c>
    </row>
    <row r="552" spans="1:5" x14ac:dyDescent="0.25">
      <c r="A552" s="1">
        <v>44981</v>
      </c>
      <c r="B552" s="4">
        <v>396.38</v>
      </c>
      <c r="C552" s="4">
        <v>33.305</v>
      </c>
      <c r="D552" s="3">
        <f t="shared" si="16"/>
        <v>-1.0739840257304857E-2</v>
      </c>
      <c r="E552" s="3">
        <f t="shared" si="17"/>
        <v>3.0030030255707871E-4</v>
      </c>
    </row>
    <row r="553" spans="1:5" x14ac:dyDescent="0.25">
      <c r="A553" s="1">
        <v>44984</v>
      </c>
      <c r="B553" s="4">
        <v>397.73</v>
      </c>
      <c r="C553" s="4">
        <v>33.08</v>
      </c>
      <c r="D553" s="3">
        <f t="shared" si="16"/>
        <v>3.4000360164898186E-3</v>
      </c>
      <c r="E553" s="3">
        <f t="shared" si="17"/>
        <v>-6.7786657096522611E-3</v>
      </c>
    </row>
    <row r="554" spans="1:5" x14ac:dyDescent="0.25">
      <c r="A554" s="1">
        <v>44985</v>
      </c>
      <c r="B554" s="4">
        <v>396.26</v>
      </c>
      <c r="C554" s="4">
        <v>32.5</v>
      </c>
      <c r="D554" s="3">
        <f t="shared" si="16"/>
        <v>-3.702821646578554E-3</v>
      </c>
      <c r="E554" s="3">
        <f t="shared" si="17"/>
        <v>-1.7688780819798688E-2</v>
      </c>
    </row>
    <row r="555" spans="1:5" x14ac:dyDescent="0.25">
      <c r="A555" s="1">
        <v>44986</v>
      </c>
      <c r="B555" s="4">
        <v>394.74</v>
      </c>
      <c r="C555" s="4">
        <v>31.965</v>
      </c>
      <c r="D555" s="3">
        <f t="shared" si="16"/>
        <v>-3.8432411401512784E-3</v>
      </c>
      <c r="E555" s="3">
        <f t="shared" si="17"/>
        <v>-1.6598535117001604E-2</v>
      </c>
    </row>
    <row r="556" spans="1:5" x14ac:dyDescent="0.25">
      <c r="A556" s="1">
        <v>44987</v>
      </c>
      <c r="B556" s="4">
        <v>397.81</v>
      </c>
      <c r="C556" s="4">
        <v>32.57</v>
      </c>
      <c r="D556" s="3">
        <f t="shared" si="16"/>
        <v>7.7471840383819606E-3</v>
      </c>
      <c r="E556" s="3">
        <f t="shared" si="17"/>
        <v>1.8750065069451923E-2</v>
      </c>
    </row>
    <row r="557" spans="1:5" x14ac:dyDescent="0.25">
      <c r="A557" s="1">
        <v>44988</v>
      </c>
      <c r="B557" s="4">
        <v>404.19</v>
      </c>
      <c r="C557" s="4">
        <v>33.125</v>
      </c>
      <c r="D557" s="3">
        <f t="shared" si="16"/>
        <v>1.5910560071522653E-2</v>
      </c>
      <c r="E557" s="3">
        <f t="shared" si="17"/>
        <v>1.6896665018244141E-2</v>
      </c>
    </row>
    <row r="558" spans="1:5" x14ac:dyDescent="0.25">
      <c r="A558" s="1">
        <v>44991</v>
      </c>
      <c r="B558" s="4">
        <v>404.47</v>
      </c>
      <c r="C558" s="4">
        <v>33.284999999999997</v>
      </c>
      <c r="D558" s="3">
        <f t="shared" si="16"/>
        <v>6.9250367568510966E-4</v>
      </c>
      <c r="E558" s="3">
        <f t="shared" si="17"/>
        <v>4.8185607462805985E-3</v>
      </c>
    </row>
    <row r="559" spans="1:5" x14ac:dyDescent="0.25">
      <c r="A559" s="1">
        <v>44992</v>
      </c>
      <c r="B559" s="4">
        <v>398.27</v>
      </c>
      <c r="C559" s="4">
        <v>32.74</v>
      </c>
      <c r="D559" s="3">
        <f t="shared" si="16"/>
        <v>-1.5447400871124195E-2</v>
      </c>
      <c r="E559" s="3">
        <f t="shared" si="17"/>
        <v>-1.6509273109677904E-2</v>
      </c>
    </row>
    <row r="560" spans="1:5" x14ac:dyDescent="0.25">
      <c r="A560" s="1">
        <v>44993</v>
      </c>
      <c r="B560" s="4">
        <v>398.92</v>
      </c>
      <c r="C560" s="4">
        <v>32.99</v>
      </c>
      <c r="D560" s="3">
        <f t="shared" si="16"/>
        <v>1.6307282932402868E-3</v>
      </c>
      <c r="E560" s="3">
        <f t="shared" si="17"/>
        <v>7.6069132975012475E-3</v>
      </c>
    </row>
    <row r="561" spans="1:5" x14ac:dyDescent="0.25">
      <c r="A561" s="1">
        <v>44994</v>
      </c>
      <c r="B561" s="4">
        <v>391.56</v>
      </c>
      <c r="C561" s="4">
        <v>32.725000000000001</v>
      </c>
      <c r="D561" s="3">
        <f t="shared" si="16"/>
        <v>-1.862213514043767E-2</v>
      </c>
      <c r="E561" s="3">
        <f t="shared" si="17"/>
        <v>-8.0651734445264488E-3</v>
      </c>
    </row>
    <row r="562" spans="1:5" x14ac:dyDescent="0.25">
      <c r="A562" s="1">
        <v>44995</v>
      </c>
      <c r="B562" s="4">
        <v>385.91</v>
      </c>
      <c r="C562" s="4">
        <v>32.21</v>
      </c>
      <c r="D562" s="3">
        <f t="shared" si="16"/>
        <v>-1.4534578736324003E-2</v>
      </c>
      <c r="E562" s="3">
        <f t="shared" si="17"/>
        <v>-1.5862348452856195E-2</v>
      </c>
    </row>
    <row r="563" spans="1:5" x14ac:dyDescent="0.25">
      <c r="A563" s="1">
        <v>44998</v>
      </c>
      <c r="B563" s="4">
        <v>385.36</v>
      </c>
      <c r="C563" s="4">
        <v>32.704999999999998</v>
      </c>
      <c r="D563" s="3">
        <f t="shared" si="16"/>
        <v>-1.4262193349402262E-3</v>
      </c>
      <c r="E563" s="3">
        <f t="shared" si="17"/>
        <v>1.5251008070068441E-2</v>
      </c>
    </row>
    <row r="564" spans="1:5" x14ac:dyDescent="0.25">
      <c r="A564" s="1">
        <v>44999</v>
      </c>
      <c r="B564" s="4">
        <v>391.73</v>
      </c>
      <c r="C564" s="4">
        <v>33.134999999999998</v>
      </c>
      <c r="D564" s="3">
        <f t="shared" si="16"/>
        <v>1.6394864643464138E-2</v>
      </c>
      <c r="E564" s="3">
        <f t="shared" si="17"/>
        <v>1.3062154127014152E-2</v>
      </c>
    </row>
    <row r="565" spans="1:5" x14ac:dyDescent="0.25">
      <c r="A565" s="1">
        <v>45000</v>
      </c>
      <c r="B565" s="4">
        <v>389.28</v>
      </c>
      <c r="C565" s="4">
        <v>33.585000000000001</v>
      </c>
      <c r="D565" s="3">
        <f t="shared" si="16"/>
        <v>-6.2739479302169662E-3</v>
      </c>
      <c r="E565" s="3">
        <f t="shared" si="17"/>
        <v>1.3489413178637803E-2</v>
      </c>
    </row>
    <row r="566" spans="1:5" x14ac:dyDescent="0.25">
      <c r="A566" s="1">
        <v>45001</v>
      </c>
      <c r="B566" s="4">
        <v>396.11</v>
      </c>
      <c r="C566" s="4">
        <v>33.81</v>
      </c>
      <c r="D566" s="3">
        <f t="shared" si="16"/>
        <v>1.7393071423942103E-2</v>
      </c>
      <c r="E566" s="3">
        <f t="shared" si="17"/>
        <v>6.6770780009667383E-3</v>
      </c>
    </row>
    <row r="567" spans="1:5" x14ac:dyDescent="0.25">
      <c r="A567" s="1">
        <v>45002</v>
      </c>
      <c r="B567" s="4">
        <v>389.99</v>
      </c>
      <c r="C567" s="4">
        <v>33.484999999999999</v>
      </c>
      <c r="D567" s="3">
        <f t="shared" si="16"/>
        <v>-1.557085268984003E-2</v>
      </c>
      <c r="E567" s="3">
        <f t="shared" si="17"/>
        <v>-9.6590393577812381E-3</v>
      </c>
    </row>
    <row r="568" spans="1:5" x14ac:dyDescent="0.25">
      <c r="A568" s="1">
        <v>45005</v>
      </c>
      <c r="B568" s="4">
        <v>393.74</v>
      </c>
      <c r="C568" s="4">
        <v>33.5</v>
      </c>
      <c r="D568" s="3">
        <f t="shared" si="16"/>
        <v>9.5696952226267413E-3</v>
      </c>
      <c r="E568" s="3">
        <f t="shared" si="17"/>
        <v>4.4786146900719639E-4</v>
      </c>
    </row>
    <row r="569" spans="1:5" x14ac:dyDescent="0.25">
      <c r="A569" s="1">
        <v>45006</v>
      </c>
      <c r="B569" s="4">
        <v>398.91</v>
      </c>
      <c r="C569" s="4">
        <v>32.825000000000003</v>
      </c>
      <c r="D569" s="3">
        <f t="shared" si="16"/>
        <v>1.304503454478312E-2</v>
      </c>
      <c r="E569" s="3">
        <f t="shared" si="17"/>
        <v>-2.0355018642160824E-2</v>
      </c>
    </row>
    <row r="570" spans="1:5" x14ac:dyDescent="0.25">
      <c r="A570" s="1">
        <v>45007</v>
      </c>
      <c r="B570" s="4">
        <v>392.11</v>
      </c>
      <c r="C570" s="4">
        <v>32.18</v>
      </c>
      <c r="D570" s="3">
        <f t="shared" si="16"/>
        <v>-1.7193414865615837E-2</v>
      </c>
      <c r="E570" s="3">
        <f t="shared" si="17"/>
        <v>-1.9845278624622802E-2</v>
      </c>
    </row>
    <row r="571" spans="1:5" x14ac:dyDescent="0.25">
      <c r="A571" s="1">
        <v>45008</v>
      </c>
      <c r="B571" s="4">
        <v>393.17</v>
      </c>
      <c r="C571" s="4">
        <v>31.85</v>
      </c>
      <c r="D571" s="3">
        <f t="shared" si="16"/>
        <v>2.6996756412876735E-3</v>
      </c>
      <c r="E571" s="3">
        <f t="shared" si="17"/>
        <v>-1.0307759546064761E-2</v>
      </c>
    </row>
    <row r="572" spans="1:5" x14ac:dyDescent="0.25">
      <c r="A572" s="1">
        <v>45009</v>
      </c>
      <c r="B572" s="4">
        <v>395.75</v>
      </c>
      <c r="C572" s="4">
        <v>32.844999999999999</v>
      </c>
      <c r="D572" s="3">
        <f t="shared" si="16"/>
        <v>6.5406104487253924E-3</v>
      </c>
      <c r="E572" s="3">
        <f t="shared" si="17"/>
        <v>3.0762144326263927E-2</v>
      </c>
    </row>
    <row r="573" spans="1:5" x14ac:dyDescent="0.25">
      <c r="A573" s="1">
        <v>45012</v>
      </c>
      <c r="B573" s="4">
        <v>396.49</v>
      </c>
      <c r="C573" s="4">
        <v>32.884999999999998</v>
      </c>
      <c r="D573" s="3">
        <f t="shared" si="16"/>
        <v>1.8681213147759624E-3</v>
      </c>
      <c r="E573" s="3">
        <f t="shared" si="17"/>
        <v>1.2171004088780853E-3</v>
      </c>
    </row>
    <row r="574" spans="1:5" x14ac:dyDescent="0.25">
      <c r="A574" s="1">
        <v>45013</v>
      </c>
      <c r="B574" s="4">
        <v>395.6</v>
      </c>
      <c r="C574" s="4">
        <v>32.975000000000001</v>
      </c>
      <c r="D574" s="3">
        <f t="shared" si="16"/>
        <v>-2.2472203273405217E-3</v>
      </c>
      <c r="E574" s="3">
        <f t="shared" si="17"/>
        <v>2.7330718500641238E-3</v>
      </c>
    </row>
    <row r="575" spans="1:5" x14ac:dyDescent="0.25">
      <c r="A575" s="1">
        <v>45014</v>
      </c>
      <c r="B575" s="4">
        <v>401.35</v>
      </c>
      <c r="C575" s="4">
        <v>33.454999999999998</v>
      </c>
      <c r="D575" s="3">
        <f t="shared" si="16"/>
        <v>1.4430264829028837E-2</v>
      </c>
      <c r="E575" s="3">
        <f t="shared" si="17"/>
        <v>1.4451553631401918E-2</v>
      </c>
    </row>
    <row r="576" spans="1:5" x14ac:dyDescent="0.25">
      <c r="A576" s="1">
        <v>45015</v>
      </c>
      <c r="B576" s="4">
        <v>403.7</v>
      </c>
      <c r="C576" s="4">
        <v>33.6</v>
      </c>
      <c r="D576" s="3">
        <f t="shared" si="16"/>
        <v>5.8381632813091638E-3</v>
      </c>
      <c r="E576" s="3">
        <f t="shared" si="17"/>
        <v>4.3248147343784111E-3</v>
      </c>
    </row>
    <row r="577" spans="1:5" x14ac:dyDescent="0.25">
      <c r="A577" s="1">
        <v>45016</v>
      </c>
      <c r="B577" s="4">
        <v>409.39</v>
      </c>
      <c r="C577" s="4">
        <v>33.844999999999999</v>
      </c>
      <c r="D577" s="3">
        <f t="shared" si="16"/>
        <v>1.3996219080722017E-2</v>
      </c>
      <c r="E577" s="3">
        <f t="shared" si="17"/>
        <v>7.2652109914124324E-3</v>
      </c>
    </row>
    <row r="578" spans="1:5" x14ac:dyDescent="0.25">
      <c r="A578" s="1">
        <v>45019</v>
      </c>
      <c r="B578" s="4">
        <v>410.95</v>
      </c>
      <c r="C578" s="4">
        <v>33.615000000000002</v>
      </c>
      <c r="D578" s="3">
        <f t="shared" si="16"/>
        <v>3.8033056548918628E-3</v>
      </c>
      <c r="E578" s="3">
        <f t="shared" si="17"/>
        <v>-6.8188820395708232E-3</v>
      </c>
    </row>
    <row r="579" spans="1:5" x14ac:dyDescent="0.25">
      <c r="A579" s="1">
        <v>45020</v>
      </c>
      <c r="B579" s="4">
        <v>408.67</v>
      </c>
      <c r="C579" s="4">
        <v>33.784999999999997</v>
      </c>
      <c r="D579" s="3">
        <f t="shared" si="16"/>
        <v>-5.563568192875277E-3</v>
      </c>
      <c r="E579" s="3">
        <f t="shared" si="17"/>
        <v>5.0445210831378436E-3</v>
      </c>
    </row>
    <row r="580" spans="1:5" x14ac:dyDescent="0.25">
      <c r="A580" s="1">
        <v>45021</v>
      </c>
      <c r="B580" s="4">
        <v>407.6</v>
      </c>
      <c r="C580" s="4">
        <v>34.659999999999997</v>
      </c>
      <c r="D580" s="3">
        <f t="shared" ref="D580:D643" si="18">LN(B580/B579)</f>
        <v>-2.6216830530638819E-3</v>
      </c>
      <c r="E580" s="3">
        <f t="shared" ref="E580:E643" si="19">LN(C580/C579)</f>
        <v>2.5569367283322004E-2</v>
      </c>
    </row>
    <row r="581" spans="1:5" x14ac:dyDescent="0.25">
      <c r="A581" s="1">
        <v>45022</v>
      </c>
      <c r="B581" s="4">
        <v>409.19</v>
      </c>
      <c r="C581" s="4">
        <v>34.905000000000001</v>
      </c>
      <c r="D581" s="3">
        <f t="shared" si="18"/>
        <v>3.8932945026267682E-3</v>
      </c>
      <c r="E581" s="3">
        <f t="shared" si="19"/>
        <v>7.0438011349049194E-3</v>
      </c>
    </row>
    <row r="582" spans="1:5" x14ac:dyDescent="0.25">
      <c r="A582" s="1">
        <v>45026</v>
      </c>
      <c r="B582" s="4">
        <v>409.61</v>
      </c>
      <c r="C582" s="4">
        <v>34.835000000000001</v>
      </c>
      <c r="D582" s="3">
        <f t="shared" si="18"/>
        <v>1.025891638582921E-3</v>
      </c>
      <c r="E582" s="3">
        <f t="shared" si="19"/>
        <v>-2.0074569402824816E-3</v>
      </c>
    </row>
    <row r="583" spans="1:5" x14ac:dyDescent="0.25">
      <c r="A583" s="1">
        <v>45027</v>
      </c>
      <c r="B583" s="4">
        <v>409.72</v>
      </c>
      <c r="C583" s="4">
        <v>34.865000000000002</v>
      </c>
      <c r="D583" s="3">
        <f t="shared" si="18"/>
        <v>2.6851207855412625E-4</v>
      </c>
      <c r="E583" s="3">
        <f t="shared" si="19"/>
        <v>8.6083219089193167E-4</v>
      </c>
    </row>
    <row r="584" spans="1:5" x14ac:dyDescent="0.25">
      <c r="A584" s="1">
        <v>45028</v>
      </c>
      <c r="B584" s="4">
        <v>408.05</v>
      </c>
      <c r="C584" s="4">
        <v>34.83</v>
      </c>
      <c r="D584" s="3">
        <f t="shared" si="18"/>
        <v>-4.0842836530820669E-3</v>
      </c>
      <c r="E584" s="3">
        <f t="shared" si="19"/>
        <v>-1.0043762950643651E-3</v>
      </c>
    </row>
    <row r="585" spans="1:5" x14ac:dyDescent="0.25">
      <c r="A585" s="1">
        <v>45029</v>
      </c>
      <c r="B585" s="4">
        <v>413.47</v>
      </c>
      <c r="C585" s="4">
        <v>34.835000000000001</v>
      </c>
      <c r="D585" s="3">
        <f t="shared" si="18"/>
        <v>1.3195244525946406E-2</v>
      </c>
      <c r="E585" s="3">
        <f t="shared" si="19"/>
        <v>1.4354410417254739E-4</v>
      </c>
    </row>
    <row r="586" spans="1:5" x14ac:dyDescent="0.25">
      <c r="A586" s="1">
        <v>45030</v>
      </c>
      <c r="B586" s="4">
        <v>412.46</v>
      </c>
      <c r="C586" s="4">
        <v>34.445</v>
      </c>
      <c r="D586" s="3">
        <f t="shared" si="18"/>
        <v>-2.4457290652973962E-3</v>
      </c>
      <c r="E586" s="3">
        <f t="shared" si="19"/>
        <v>-1.1258779436923104E-2</v>
      </c>
    </row>
    <row r="587" spans="1:5" x14ac:dyDescent="0.25">
      <c r="A587" s="1">
        <v>45033</v>
      </c>
      <c r="B587" s="4">
        <v>413.94</v>
      </c>
      <c r="C587" s="4">
        <v>34.634999999999998</v>
      </c>
      <c r="D587" s="3">
        <f t="shared" si="18"/>
        <v>3.5818044101713262E-3</v>
      </c>
      <c r="E587" s="3">
        <f t="shared" si="19"/>
        <v>5.500882429409118E-3</v>
      </c>
    </row>
    <row r="588" spans="1:5" x14ac:dyDescent="0.25">
      <c r="A588" s="1">
        <v>45034</v>
      </c>
      <c r="B588" s="4">
        <v>414.21</v>
      </c>
      <c r="C588" s="4">
        <v>34.454999999999998</v>
      </c>
      <c r="D588" s="3">
        <f t="shared" si="18"/>
        <v>6.5205581009834682E-4</v>
      </c>
      <c r="E588" s="3">
        <f t="shared" si="19"/>
        <v>-5.2106066653970513E-3</v>
      </c>
    </row>
    <row r="589" spans="1:5" x14ac:dyDescent="0.25">
      <c r="A589" s="1">
        <v>45035</v>
      </c>
      <c r="B589" s="4">
        <v>414.14</v>
      </c>
      <c r="C589" s="4">
        <v>34.72</v>
      </c>
      <c r="D589" s="3">
        <f t="shared" si="18"/>
        <v>-1.6901068429200423E-4</v>
      </c>
      <c r="E589" s="3">
        <f t="shared" si="19"/>
        <v>7.6617649829780962E-3</v>
      </c>
    </row>
    <row r="590" spans="1:5" x14ac:dyDescent="0.25">
      <c r="A590" s="1">
        <v>45036</v>
      </c>
      <c r="B590" s="4">
        <v>411.88</v>
      </c>
      <c r="C590" s="4">
        <v>34.71</v>
      </c>
      <c r="D590" s="3">
        <f t="shared" si="18"/>
        <v>-5.4720361233285752E-3</v>
      </c>
      <c r="E590" s="3">
        <f t="shared" si="19"/>
        <v>-2.8805991845451477E-4</v>
      </c>
    </row>
    <row r="591" spans="1:5" x14ac:dyDescent="0.25">
      <c r="A591" s="1">
        <v>45037</v>
      </c>
      <c r="B591" s="4">
        <v>412.2</v>
      </c>
      <c r="C591" s="4">
        <v>34.81</v>
      </c>
      <c r="D591" s="3">
        <f t="shared" si="18"/>
        <v>7.766236678086255E-4</v>
      </c>
      <c r="E591" s="3">
        <f t="shared" si="19"/>
        <v>2.8768719496527445E-3</v>
      </c>
    </row>
    <row r="592" spans="1:5" x14ac:dyDescent="0.25">
      <c r="A592" s="1">
        <v>45040</v>
      </c>
      <c r="B592" s="4">
        <v>412.63</v>
      </c>
      <c r="C592" s="4">
        <v>34.984999999999999</v>
      </c>
      <c r="D592" s="3">
        <f t="shared" si="18"/>
        <v>1.0426391837209052E-3</v>
      </c>
      <c r="E592" s="3">
        <f t="shared" si="19"/>
        <v>5.0146963745124618E-3</v>
      </c>
    </row>
    <row r="593" spans="1:5" x14ac:dyDescent="0.25">
      <c r="A593" s="1">
        <v>45041</v>
      </c>
      <c r="B593" s="4">
        <v>406.08</v>
      </c>
      <c r="C593" s="4">
        <v>34.950000000000003</v>
      </c>
      <c r="D593" s="3">
        <f t="shared" si="18"/>
        <v>-1.6001123114056864E-2</v>
      </c>
      <c r="E593" s="3">
        <f t="shared" si="19"/>
        <v>-1.0009295180406915E-3</v>
      </c>
    </row>
    <row r="594" spans="1:5" x14ac:dyDescent="0.25">
      <c r="A594" s="1">
        <v>45042</v>
      </c>
      <c r="B594" s="4">
        <v>404.36</v>
      </c>
      <c r="C594" s="4">
        <v>34.130000000000003</v>
      </c>
      <c r="D594" s="3">
        <f t="shared" si="18"/>
        <v>-4.2446142401659599E-3</v>
      </c>
      <c r="E594" s="3">
        <f t="shared" si="19"/>
        <v>-2.3741705761203651E-2</v>
      </c>
    </row>
    <row r="595" spans="1:5" x14ac:dyDescent="0.25">
      <c r="A595" s="1">
        <v>45043</v>
      </c>
      <c r="B595" s="4">
        <v>412.41</v>
      </c>
      <c r="C595" s="4">
        <v>34.54</v>
      </c>
      <c r="D595" s="3">
        <f t="shared" si="18"/>
        <v>1.9712429865581499E-2</v>
      </c>
      <c r="E595" s="3">
        <f t="shared" si="19"/>
        <v>1.1941309799916857E-2</v>
      </c>
    </row>
    <row r="596" spans="1:5" x14ac:dyDescent="0.25">
      <c r="A596" s="1">
        <v>45044</v>
      </c>
      <c r="B596" s="4">
        <v>415.93</v>
      </c>
      <c r="C596" s="4">
        <v>34.49</v>
      </c>
      <c r="D596" s="3">
        <f t="shared" si="18"/>
        <v>8.4989767202002364E-3</v>
      </c>
      <c r="E596" s="3">
        <f t="shared" si="19"/>
        <v>-1.4486457697829532E-3</v>
      </c>
    </row>
    <row r="597" spans="1:5" x14ac:dyDescent="0.25">
      <c r="A597" s="1">
        <v>45047</v>
      </c>
      <c r="B597" s="4">
        <v>415.51</v>
      </c>
      <c r="C597" s="4">
        <v>34.549999999999997</v>
      </c>
      <c r="D597" s="3">
        <f t="shared" si="18"/>
        <v>-1.0102954770624826E-3</v>
      </c>
      <c r="E597" s="3">
        <f t="shared" si="19"/>
        <v>1.7381232649292583E-3</v>
      </c>
    </row>
    <row r="598" spans="1:5" x14ac:dyDescent="0.25">
      <c r="A598" s="1">
        <v>45048</v>
      </c>
      <c r="B598" s="4">
        <v>410.84</v>
      </c>
      <c r="C598" s="4">
        <v>34.130000000000003</v>
      </c>
      <c r="D598" s="3">
        <f t="shared" si="18"/>
        <v>-1.1302837096972707E-2</v>
      </c>
      <c r="E598" s="3">
        <f t="shared" si="19"/>
        <v>-1.2230787295063023E-2</v>
      </c>
    </row>
    <row r="599" spans="1:5" x14ac:dyDescent="0.25">
      <c r="A599" s="1">
        <v>45049</v>
      </c>
      <c r="B599" s="4">
        <v>408.02</v>
      </c>
      <c r="C599" s="4">
        <v>34.034999999999997</v>
      </c>
      <c r="D599" s="3">
        <f t="shared" si="18"/>
        <v>-6.8876514870204741E-3</v>
      </c>
      <c r="E599" s="3">
        <f t="shared" si="19"/>
        <v>-2.7873560187011322E-3</v>
      </c>
    </row>
    <row r="600" spans="1:5" x14ac:dyDescent="0.25">
      <c r="A600" s="1">
        <v>45050</v>
      </c>
      <c r="B600" s="4">
        <v>405.13</v>
      </c>
      <c r="C600" s="4">
        <v>34.295000000000002</v>
      </c>
      <c r="D600" s="3">
        <f t="shared" si="18"/>
        <v>-7.1081895552386363E-3</v>
      </c>
      <c r="E600" s="3">
        <f t="shared" si="19"/>
        <v>7.610164051370002E-3</v>
      </c>
    </row>
    <row r="601" spans="1:5" x14ac:dyDescent="0.25">
      <c r="A601" s="1">
        <v>45051</v>
      </c>
      <c r="B601" s="4">
        <v>412.63</v>
      </c>
      <c r="C601" s="4">
        <v>34.515000000000001</v>
      </c>
      <c r="D601" s="3">
        <f t="shared" si="18"/>
        <v>1.8343304384735255E-2</v>
      </c>
      <c r="E601" s="3">
        <f t="shared" si="19"/>
        <v>6.3944412041542211E-3</v>
      </c>
    </row>
    <row r="602" spans="1:5" x14ac:dyDescent="0.25">
      <c r="A602" s="1">
        <v>45054</v>
      </c>
      <c r="B602" s="4">
        <v>412.74</v>
      </c>
      <c r="C602" s="4">
        <v>34.409999999999997</v>
      </c>
      <c r="D602" s="3">
        <f t="shared" si="18"/>
        <v>2.6654712589809285E-4</v>
      </c>
      <c r="E602" s="3">
        <f t="shared" si="19"/>
        <v>-3.0467923460499959E-3</v>
      </c>
    </row>
    <row r="603" spans="1:5" x14ac:dyDescent="0.25">
      <c r="A603" s="1">
        <v>45055</v>
      </c>
      <c r="B603" s="4">
        <v>410.93</v>
      </c>
      <c r="C603" s="4">
        <v>34.365000000000002</v>
      </c>
      <c r="D603" s="3">
        <f t="shared" si="18"/>
        <v>-4.3949710769147091E-3</v>
      </c>
      <c r="E603" s="3">
        <f t="shared" si="19"/>
        <v>-1.3086152358203179E-3</v>
      </c>
    </row>
    <row r="604" spans="1:5" x14ac:dyDescent="0.25">
      <c r="A604" s="1">
        <v>45056</v>
      </c>
      <c r="B604" s="4">
        <v>412.85</v>
      </c>
      <c r="C604" s="4">
        <v>34.68</v>
      </c>
      <c r="D604" s="3">
        <f t="shared" si="18"/>
        <v>4.6614471743745894E-3</v>
      </c>
      <c r="E604" s="3">
        <f t="shared" si="19"/>
        <v>9.1245473387725016E-3</v>
      </c>
    </row>
    <row r="605" spans="1:5" x14ac:dyDescent="0.25">
      <c r="A605" s="1">
        <v>45057</v>
      </c>
      <c r="B605" s="4">
        <v>412.13</v>
      </c>
      <c r="C605" s="4">
        <v>34.325000000000003</v>
      </c>
      <c r="D605" s="3">
        <f t="shared" si="18"/>
        <v>-1.7454973037059438E-3</v>
      </c>
      <c r="E605" s="3">
        <f t="shared" si="19"/>
        <v>-1.02892002583063E-2</v>
      </c>
    </row>
    <row r="606" spans="1:5" x14ac:dyDescent="0.25">
      <c r="A606" s="1">
        <v>45058</v>
      </c>
      <c r="B606" s="4">
        <v>411.59</v>
      </c>
      <c r="C606" s="4">
        <v>34.515000000000001</v>
      </c>
      <c r="D606" s="3">
        <f t="shared" si="18"/>
        <v>-1.3111253274346358E-3</v>
      </c>
      <c r="E606" s="3">
        <f t="shared" si="19"/>
        <v>5.5200605014041077E-3</v>
      </c>
    </row>
    <row r="607" spans="1:5" x14ac:dyDescent="0.25">
      <c r="A607" s="1">
        <v>45061</v>
      </c>
      <c r="B607" s="4">
        <v>413.01</v>
      </c>
      <c r="C607" s="4">
        <v>34.08</v>
      </c>
      <c r="D607" s="3">
        <f t="shared" si="18"/>
        <v>3.4440975106645386E-3</v>
      </c>
      <c r="E607" s="3">
        <f t="shared" si="19"/>
        <v>-1.2683310194323999E-2</v>
      </c>
    </row>
    <row r="608" spans="1:5" x14ac:dyDescent="0.25">
      <c r="A608" s="1">
        <v>45062</v>
      </c>
      <c r="B608" s="4">
        <v>410.25</v>
      </c>
      <c r="C608" s="4">
        <v>33.325000000000003</v>
      </c>
      <c r="D608" s="3">
        <f t="shared" si="18"/>
        <v>-6.7050757727612157E-3</v>
      </c>
      <c r="E608" s="3">
        <f t="shared" si="19"/>
        <v>-2.2402835896342524E-2</v>
      </c>
    </row>
    <row r="609" spans="1:5" x14ac:dyDescent="0.25">
      <c r="A609" s="1">
        <v>45063</v>
      </c>
      <c r="B609" s="4">
        <v>415.23</v>
      </c>
      <c r="C609" s="4">
        <v>33.204999999999998</v>
      </c>
      <c r="D609" s="3">
        <f t="shared" si="18"/>
        <v>1.2065853606519992E-2</v>
      </c>
      <c r="E609" s="3">
        <f t="shared" si="19"/>
        <v>-3.6073990720955408E-3</v>
      </c>
    </row>
    <row r="610" spans="1:5" x14ac:dyDescent="0.25">
      <c r="A610" s="1">
        <v>45064</v>
      </c>
      <c r="B610" s="4">
        <v>419.23</v>
      </c>
      <c r="C610" s="4">
        <v>33.104999999999997</v>
      </c>
      <c r="D610" s="3">
        <f t="shared" si="18"/>
        <v>9.5871117549640728E-3</v>
      </c>
      <c r="E610" s="3">
        <f t="shared" si="19"/>
        <v>-3.0161386158676683E-3</v>
      </c>
    </row>
    <row r="611" spans="1:5" x14ac:dyDescent="0.25">
      <c r="A611" s="1">
        <v>45065</v>
      </c>
      <c r="B611" s="4">
        <v>418.62</v>
      </c>
      <c r="C611" s="4">
        <v>33.055</v>
      </c>
      <c r="D611" s="3">
        <f t="shared" si="18"/>
        <v>-1.456108152484133E-3</v>
      </c>
      <c r="E611" s="3">
        <f t="shared" si="19"/>
        <v>-1.5114875912678753E-3</v>
      </c>
    </row>
    <row r="612" spans="1:5" x14ac:dyDescent="0.25">
      <c r="A612" s="1">
        <v>45068</v>
      </c>
      <c r="B612" s="4">
        <v>418.79</v>
      </c>
      <c r="C612" s="4">
        <v>33.064999999999998</v>
      </c>
      <c r="D612" s="3">
        <f t="shared" si="18"/>
        <v>4.0601378616302573E-4</v>
      </c>
      <c r="E612" s="3">
        <f t="shared" si="19"/>
        <v>3.0248034108424949E-4</v>
      </c>
    </row>
    <row r="613" spans="1:5" x14ac:dyDescent="0.25">
      <c r="A613" s="1">
        <v>45069</v>
      </c>
      <c r="B613" s="4">
        <v>414.09</v>
      </c>
      <c r="C613" s="4">
        <v>32.950000000000003</v>
      </c>
      <c r="D613" s="3">
        <f t="shared" si="18"/>
        <v>-1.1286259461766542E-2</v>
      </c>
      <c r="E613" s="3">
        <f t="shared" si="19"/>
        <v>-3.4840601781093209E-3</v>
      </c>
    </row>
    <row r="614" spans="1:5" x14ac:dyDescent="0.25">
      <c r="A614" s="1">
        <v>45070</v>
      </c>
      <c r="B614" s="4">
        <v>411.09</v>
      </c>
      <c r="C614" s="4">
        <v>32.734999999999999</v>
      </c>
      <c r="D614" s="3">
        <f t="shared" si="18"/>
        <v>-7.2711728773772874E-3</v>
      </c>
      <c r="E614" s="3">
        <f t="shared" si="19"/>
        <v>-6.5464190554615949E-3</v>
      </c>
    </row>
    <row r="615" spans="1:5" x14ac:dyDescent="0.25">
      <c r="A615" s="1">
        <v>45071</v>
      </c>
      <c r="B615" s="4">
        <v>414.65</v>
      </c>
      <c r="C615" s="4">
        <v>32.295000000000002</v>
      </c>
      <c r="D615" s="3">
        <f t="shared" si="18"/>
        <v>8.6226222709935504E-3</v>
      </c>
      <c r="E615" s="3">
        <f t="shared" si="19"/>
        <v>-1.3532422408618537E-2</v>
      </c>
    </row>
    <row r="616" spans="1:5" x14ac:dyDescent="0.25">
      <c r="A616" s="1">
        <v>45072</v>
      </c>
      <c r="B616" s="4">
        <v>420.02</v>
      </c>
      <c r="C616" s="4">
        <v>32.295000000000002</v>
      </c>
      <c r="D616" s="3">
        <f t="shared" si="18"/>
        <v>1.2867538294069412E-2</v>
      </c>
      <c r="E616" s="3">
        <f t="shared" si="19"/>
        <v>0</v>
      </c>
    </row>
    <row r="617" spans="1:5" x14ac:dyDescent="0.25">
      <c r="A617" s="1">
        <v>45076</v>
      </c>
      <c r="B617" s="4">
        <v>420.18</v>
      </c>
      <c r="C617" s="4">
        <v>32.17</v>
      </c>
      <c r="D617" s="3">
        <f t="shared" si="18"/>
        <v>3.8086170419922012E-4</v>
      </c>
      <c r="E617" s="3">
        <f t="shared" si="19"/>
        <v>-3.8780782335010641E-3</v>
      </c>
    </row>
    <row r="618" spans="1:5" x14ac:dyDescent="0.25">
      <c r="A618" s="1">
        <v>45077</v>
      </c>
      <c r="B618" s="4">
        <v>417.85</v>
      </c>
      <c r="C618" s="4">
        <v>32.465000000000003</v>
      </c>
      <c r="D618" s="3">
        <f t="shared" si="18"/>
        <v>-5.5606744480361887E-3</v>
      </c>
      <c r="E618" s="3">
        <f t="shared" si="19"/>
        <v>9.1282447095150879E-3</v>
      </c>
    </row>
    <row r="619" spans="1:5" x14ac:dyDescent="0.25">
      <c r="A619" s="1">
        <v>45078</v>
      </c>
      <c r="B619" s="4">
        <v>421.82</v>
      </c>
      <c r="C619" s="4">
        <v>32.225000000000001</v>
      </c>
      <c r="D619" s="3">
        <f t="shared" si="18"/>
        <v>9.4561663100233059E-3</v>
      </c>
      <c r="E619" s="3">
        <f t="shared" si="19"/>
        <v>-7.4200371351990308E-3</v>
      </c>
    </row>
    <row r="620" spans="1:5" x14ac:dyDescent="0.25">
      <c r="A620" s="1">
        <v>45079</v>
      </c>
      <c r="B620" s="4">
        <v>427.92</v>
      </c>
      <c r="C620" s="4">
        <v>32.56</v>
      </c>
      <c r="D620" s="3">
        <f t="shared" si="18"/>
        <v>1.435757946552626E-2</v>
      </c>
      <c r="E620" s="3">
        <f t="shared" si="19"/>
        <v>1.0341992309088411E-2</v>
      </c>
    </row>
    <row r="621" spans="1:5" x14ac:dyDescent="0.25">
      <c r="A621" s="1">
        <v>45082</v>
      </c>
      <c r="B621" s="4">
        <v>427.1</v>
      </c>
      <c r="C621" s="4">
        <v>32.715000000000003</v>
      </c>
      <c r="D621" s="3">
        <f t="shared" si="18"/>
        <v>-1.9180843755738138E-3</v>
      </c>
      <c r="E621" s="3">
        <f t="shared" si="19"/>
        <v>4.7491471873626276E-3</v>
      </c>
    </row>
    <row r="622" spans="1:5" x14ac:dyDescent="0.25">
      <c r="A622" s="1">
        <v>45083</v>
      </c>
      <c r="B622" s="4">
        <v>428.03</v>
      </c>
      <c r="C622" s="4">
        <v>32.69</v>
      </c>
      <c r="D622" s="3">
        <f t="shared" si="18"/>
        <v>2.175108735888259E-3</v>
      </c>
      <c r="E622" s="3">
        <f t="shared" si="19"/>
        <v>-7.6446758558297307E-4</v>
      </c>
    </row>
    <row r="623" spans="1:5" x14ac:dyDescent="0.25">
      <c r="A623" s="1">
        <v>45084</v>
      </c>
      <c r="B623" s="4">
        <v>426.55</v>
      </c>
      <c r="C623" s="4">
        <v>33.244999999999997</v>
      </c>
      <c r="D623" s="3">
        <f t="shared" si="18"/>
        <v>-3.4636932286051863E-3</v>
      </c>
      <c r="E623" s="3">
        <f t="shared" si="19"/>
        <v>1.6835159118299088E-2</v>
      </c>
    </row>
    <row r="624" spans="1:5" x14ac:dyDescent="0.25">
      <c r="A624" s="1">
        <v>45085</v>
      </c>
      <c r="B624" s="4">
        <v>429.13</v>
      </c>
      <c r="C624" s="4">
        <v>33.39</v>
      </c>
      <c r="D624" s="3">
        <f t="shared" si="18"/>
        <v>6.0303099719344862E-3</v>
      </c>
      <c r="E624" s="3">
        <f t="shared" si="19"/>
        <v>4.3520741011450741E-3</v>
      </c>
    </row>
    <row r="625" spans="1:5" x14ac:dyDescent="0.25">
      <c r="A625" s="1">
        <v>45086</v>
      </c>
      <c r="B625" s="4">
        <v>429.9</v>
      </c>
      <c r="C625" s="4">
        <v>33.195</v>
      </c>
      <c r="D625" s="3">
        <f t="shared" si="18"/>
        <v>1.7927201755973496E-3</v>
      </c>
      <c r="E625" s="3">
        <f t="shared" si="19"/>
        <v>-5.8571917844405285E-3</v>
      </c>
    </row>
    <row r="626" spans="1:5" x14ac:dyDescent="0.25">
      <c r="A626" s="1">
        <v>45089</v>
      </c>
      <c r="B626" s="4">
        <v>433.8</v>
      </c>
      <c r="C626" s="4">
        <v>33.134999999999998</v>
      </c>
      <c r="D626" s="3">
        <f t="shared" si="18"/>
        <v>9.0309748905383121E-3</v>
      </c>
      <c r="E626" s="3">
        <f t="shared" si="19"/>
        <v>-1.8091366309325836E-3</v>
      </c>
    </row>
    <row r="627" spans="1:5" x14ac:dyDescent="0.25">
      <c r="A627" s="1">
        <v>45090</v>
      </c>
      <c r="B627" s="4">
        <v>436.66</v>
      </c>
      <c r="C627" s="4">
        <v>33.130000000000003</v>
      </c>
      <c r="D627" s="3">
        <f t="shared" si="18"/>
        <v>6.5712618421964793E-3</v>
      </c>
      <c r="E627" s="3">
        <f t="shared" si="19"/>
        <v>-1.5090922838554985E-4</v>
      </c>
    </row>
    <row r="628" spans="1:5" x14ac:dyDescent="0.25">
      <c r="A628" s="1">
        <v>45091</v>
      </c>
      <c r="B628" s="4">
        <v>437.18</v>
      </c>
      <c r="C628" s="4">
        <v>33.11</v>
      </c>
      <c r="D628" s="3">
        <f t="shared" si="18"/>
        <v>1.1901493668857574E-3</v>
      </c>
      <c r="E628" s="3">
        <f t="shared" si="19"/>
        <v>-6.0386475264969752E-4</v>
      </c>
    </row>
    <row r="629" spans="1:5" x14ac:dyDescent="0.25">
      <c r="A629" s="1">
        <v>45092</v>
      </c>
      <c r="B629" s="4">
        <v>442.6</v>
      </c>
      <c r="C629" s="4">
        <v>33.47</v>
      </c>
      <c r="D629" s="3">
        <f t="shared" si="18"/>
        <v>1.2321418015093063E-2</v>
      </c>
      <c r="E629" s="3">
        <f t="shared" si="19"/>
        <v>1.0814163664080428E-2</v>
      </c>
    </row>
    <row r="630" spans="1:5" x14ac:dyDescent="0.25">
      <c r="A630" s="1">
        <v>45093</v>
      </c>
      <c r="B630" s="4">
        <v>439.46</v>
      </c>
      <c r="C630" s="4">
        <v>33.65</v>
      </c>
      <c r="D630" s="3">
        <f t="shared" si="18"/>
        <v>-7.1197271478285846E-3</v>
      </c>
      <c r="E630" s="3">
        <f t="shared" si="19"/>
        <v>5.3635408675014994E-3</v>
      </c>
    </row>
    <row r="631" spans="1:5" x14ac:dyDescent="0.25">
      <c r="A631" s="1">
        <v>45097</v>
      </c>
      <c r="B631" s="4">
        <v>437.18</v>
      </c>
      <c r="C631" s="4">
        <v>32.99</v>
      </c>
      <c r="D631" s="3">
        <f t="shared" si="18"/>
        <v>-5.2016908672644678E-3</v>
      </c>
      <c r="E631" s="3">
        <f t="shared" si="19"/>
        <v>-1.9808570850246687E-2</v>
      </c>
    </row>
    <row r="632" spans="1:5" x14ac:dyDescent="0.25">
      <c r="A632" s="1">
        <v>45098</v>
      </c>
      <c r="B632" s="4">
        <v>434.94</v>
      </c>
      <c r="C632" s="4">
        <v>33.255000000000003</v>
      </c>
      <c r="D632" s="3">
        <f t="shared" si="18"/>
        <v>-5.1369190610149277E-3</v>
      </c>
      <c r="E632" s="3">
        <f t="shared" si="19"/>
        <v>8.0006464958944437E-3</v>
      </c>
    </row>
    <row r="633" spans="1:5" x14ac:dyDescent="0.25">
      <c r="A633" s="1">
        <v>45099</v>
      </c>
      <c r="B633" s="4">
        <v>436.51</v>
      </c>
      <c r="C633" s="4">
        <v>33</v>
      </c>
      <c r="D633" s="3">
        <f t="shared" si="18"/>
        <v>3.603193983842244E-3</v>
      </c>
      <c r="E633" s="3">
        <f t="shared" si="19"/>
        <v>-7.697570269904315E-3</v>
      </c>
    </row>
    <row r="634" spans="1:5" x14ac:dyDescent="0.25">
      <c r="A634" s="1">
        <v>45100</v>
      </c>
      <c r="B634" s="4">
        <v>433.21</v>
      </c>
      <c r="C634" s="4">
        <v>32.515000000000001</v>
      </c>
      <c r="D634" s="3">
        <f t="shared" si="18"/>
        <v>-7.5886856384261006E-3</v>
      </c>
      <c r="E634" s="3">
        <f t="shared" si="19"/>
        <v>-1.4806040145365046E-2</v>
      </c>
    </row>
    <row r="635" spans="1:5" x14ac:dyDescent="0.25">
      <c r="A635" s="1">
        <v>45103</v>
      </c>
      <c r="B635" s="4">
        <v>431.44</v>
      </c>
      <c r="C635" s="4">
        <v>32.835000000000001</v>
      </c>
      <c r="D635" s="3">
        <f t="shared" si="18"/>
        <v>-4.0941478572860132E-3</v>
      </c>
      <c r="E635" s="3">
        <f t="shared" si="19"/>
        <v>9.7934983218207362E-3</v>
      </c>
    </row>
    <row r="636" spans="1:5" x14ac:dyDescent="0.25">
      <c r="A636" s="1">
        <v>45104</v>
      </c>
      <c r="B636" s="4">
        <v>436.17</v>
      </c>
      <c r="C636" s="4">
        <v>32.844999999999999</v>
      </c>
      <c r="D636" s="3">
        <f t="shared" si="18"/>
        <v>1.0903624582472378E-2</v>
      </c>
      <c r="E636" s="3">
        <f t="shared" si="19"/>
        <v>3.0450670150022007E-4</v>
      </c>
    </row>
    <row r="637" spans="1:5" x14ac:dyDescent="0.25">
      <c r="A637" s="1">
        <v>45105</v>
      </c>
      <c r="B637" s="4">
        <v>436.39</v>
      </c>
      <c r="C637" s="4">
        <v>32.36</v>
      </c>
      <c r="D637" s="3">
        <f t="shared" si="18"/>
        <v>5.0426332782104474E-4</v>
      </c>
      <c r="E637" s="3">
        <f t="shared" si="19"/>
        <v>-1.4876434154145298E-2</v>
      </c>
    </row>
    <row r="638" spans="1:5" x14ac:dyDescent="0.25">
      <c r="A638" s="1">
        <v>45106</v>
      </c>
      <c r="B638" s="4">
        <v>438.11</v>
      </c>
      <c r="C638" s="4">
        <v>32.36</v>
      </c>
      <c r="D638" s="3">
        <f t="shared" si="18"/>
        <v>3.9336814589317872E-3</v>
      </c>
      <c r="E638" s="3">
        <f t="shared" si="19"/>
        <v>0</v>
      </c>
    </row>
    <row r="639" spans="1:5" x14ac:dyDescent="0.25">
      <c r="A639" s="1">
        <v>45107</v>
      </c>
      <c r="B639" s="4">
        <v>443.28</v>
      </c>
      <c r="C639" s="4">
        <v>32.72</v>
      </c>
      <c r="D639" s="3">
        <f t="shared" si="18"/>
        <v>1.1731604160897278E-2</v>
      </c>
      <c r="E639" s="3">
        <f t="shared" si="19"/>
        <v>1.1063419544255354E-2</v>
      </c>
    </row>
    <row r="640" spans="1:5" x14ac:dyDescent="0.25">
      <c r="A640" s="1">
        <v>45110</v>
      </c>
      <c r="B640" s="4">
        <v>443.79</v>
      </c>
      <c r="C640" s="4">
        <v>32.965000000000003</v>
      </c>
      <c r="D640" s="3">
        <f t="shared" si="18"/>
        <v>1.1498530131599501E-3</v>
      </c>
      <c r="E640" s="3">
        <f t="shared" si="19"/>
        <v>7.4598808307168307E-3</v>
      </c>
    </row>
    <row r="641" spans="1:5" x14ac:dyDescent="0.25">
      <c r="A641" s="1">
        <v>45112</v>
      </c>
      <c r="B641" s="4">
        <v>443.13</v>
      </c>
      <c r="C641" s="4">
        <v>33.340000000000003</v>
      </c>
      <c r="D641" s="3">
        <f t="shared" si="18"/>
        <v>-1.4882968516360822E-3</v>
      </c>
      <c r="E641" s="3">
        <f t="shared" si="19"/>
        <v>1.1311484757384877E-2</v>
      </c>
    </row>
    <row r="642" spans="1:5" x14ac:dyDescent="0.25">
      <c r="A642" s="1">
        <v>45113</v>
      </c>
      <c r="B642" s="4">
        <v>439.66</v>
      </c>
      <c r="C642" s="4">
        <v>32.935000000000002</v>
      </c>
      <c r="D642" s="3">
        <f t="shared" si="18"/>
        <v>-7.8614797886470567E-3</v>
      </c>
      <c r="E642" s="3">
        <f t="shared" si="19"/>
        <v>-1.2221955229991732E-2</v>
      </c>
    </row>
    <row r="643" spans="1:5" x14ac:dyDescent="0.25">
      <c r="A643" s="1">
        <v>45114</v>
      </c>
      <c r="B643" s="4">
        <v>438.55</v>
      </c>
      <c r="C643" s="4">
        <v>32.695</v>
      </c>
      <c r="D643" s="3">
        <f t="shared" si="18"/>
        <v>-2.527870534580391E-3</v>
      </c>
      <c r="E643" s="3">
        <f t="shared" si="19"/>
        <v>-7.3137610794171016E-3</v>
      </c>
    </row>
    <row r="644" spans="1:5" x14ac:dyDescent="0.25">
      <c r="A644" s="1">
        <v>45117</v>
      </c>
      <c r="B644" s="4">
        <v>439.66</v>
      </c>
      <c r="C644" s="4">
        <v>32.555</v>
      </c>
      <c r="D644" s="3">
        <f t="shared" ref="D644:D707" si="20">LN(B644/B643)</f>
        <v>2.527870534580404E-3</v>
      </c>
      <c r="E644" s="3">
        <f t="shared" ref="E644:E707" si="21">LN(C644/C643)</f>
        <v>-4.2911943244139444E-3</v>
      </c>
    </row>
    <row r="645" spans="1:5" x14ac:dyDescent="0.25">
      <c r="A645" s="1">
        <v>45118</v>
      </c>
      <c r="B645" s="4">
        <v>442.46</v>
      </c>
      <c r="C645" s="4">
        <v>32.96</v>
      </c>
      <c r="D645" s="3">
        <f t="shared" si="20"/>
        <v>6.3483639498694202E-3</v>
      </c>
      <c r="E645" s="3">
        <f t="shared" si="21"/>
        <v>1.2363738352445535E-2</v>
      </c>
    </row>
    <row r="646" spans="1:5" x14ac:dyDescent="0.25">
      <c r="A646" s="1">
        <v>45119</v>
      </c>
      <c r="B646" s="4">
        <v>446.02</v>
      </c>
      <c r="C646" s="4">
        <v>33.44</v>
      </c>
      <c r="D646" s="3">
        <f t="shared" si="20"/>
        <v>8.0137291821313055E-3</v>
      </c>
      <c r="E646" s="3">
        <f t="shared" si="21"/>
        <v>1.4458083175229917E-2</v>
      </c>
    </row>
    <row r="647" spans="1:5" x14ac:dyDescent="0.25">
      <c r="A647" s="1">
        <v>45120</v>
      </c>
      <c r="B647" s="4">
        <v>449.56</v>
      </c>
      <c r="C647" s="4">
        <v>33.555</v>
      </c>
      <c r="D647" s="3">
        <f t="shared" si="20"/>
        <v>7.9055325860945234E-3</v>
      </c>
      <c r="E647" s="3">
        <f t="shared" si="21"/>
        <v>3.4330953937018456E-3</v>
      </c>
    </row>
    <row r="648" spans="1:5" x14ac:dyDescent="0.25">
      <c r="A648" s="1">
        <v>45121</v>
      </c>
      <c r="B648" s="4">
        <v>449.28</v>
      </c>
      <c r="C648" s="4">
        <v>33.424999999999997</v>
      </c>
      <c r="D648" s="3">
        <f t="shared" si="20"/>
        <v>-6.230252526748096E-4</v>
      </c>
      <c r="E648" s="3">
        <f t="shared" si="21"/>
        <v>-3.8817606221958167E-3</v>
      </c>
    </row>
    <row r="649" spans="1:5" x14ac:dyDescent="0.25">
      <c r="A649" s="1">
        <v>45124</v>
      </c>
      <c r="B649" s="4">
        <v>450.84</v>
      </c>
      <c r="C649" s="4">
        <v>33.04</v>
      </c>
      <c r="D649" s="3">
        <f t="shared" si="20"/>
        <v>3.4662079764863291E-3</v>
      </c>
      <c r="E649" s="3">
        <f t="shared" si="21"/>
        <v>-1.1585174335229537E-2</v>
      </c>
    </row>
    <row r="650" spans="1:5" x14ac:dyDescent="0.25">
      <c r="A650" s="1">
        <v>45125</v>
      </c>
      <c r="B650" s="4">
        <v>454.19</v>
      </c>
      <c r="C650" s="4">
        <v>32.784999999999997</v>
      </c>
      <c r="D650" s="3">
        <f t="shared" si="20"/>
        <v>7.4031033224915849E-3</v>
      </c>
      <c r="E650" s="3">
        <f t="shared" si="21"/>
        <v>-7.7478549371946433E-3</v>
      </c>
    </row>
    <row r="651" spans="1:5" x14ac:dyDescent="0.25">
      <c r="A651" s="1">
        <v>45126</v>
      </c>
      <c r="B651" s="4">
        <v>455.2</v>
      </c>
      <c r="C651" s="4">
        <v>33.119999999999997</v>
      </c>
      <c r="D651" s="3">
        <f t="shared" si="20"/>
        <v>2.221270115751745E-3</v>
      </c>
      <c r="E651" s="3">
        <f t="shared" si="21"/>
        <v>1.0166235801476157E-2</v>
      </c>
    </row>
    <row r="652" spans="1:5" x14ac:dyDescent="0.25">
      <c r="A652" s="1">
        <v>45127</v>
      </c>
      <c r="B652" s="4">
        <v>452.18</v>
      </c>
      <c r="C652" s="4">
        <v>33.725000000000001</v>
      </c>
      <c r="D652" s="3">
        <f t="shared" si="20"/>
        <v>-6.6565521639509522E-3</v>
      </c>
      <c r="E652" s="3">
        <f t="shared" si="21"/>
        <v>1.8102072576760851E-2</v>
      </c>
    </row>
    <row r="653" spans="1:5" x14ac:dyDescent="0.25">
      <c r="A653" s="1">
        <v>45128</v>
      </c>
      <c r="B653" s="4">
        <v>452.18</v>
      </c>
      <c r="C653" s="4">
        <v>34.229999999999997</v>
      </c>
      <c r="D653" s="3">
        <f t="shared" si="20"/>
        <v>0</v>
      </c>
      <c r="E653" s="3">
        <f t="shared" si="21"/>
        <v>1.4863050448274353E-2</v>
      </c>
    </row>
    <row r="654" spans="1:5" x14ac:dyDescent="0.25">
      <c r="A654" s="1">
        <v>45131</v>
      </c>
      <c r="B654" s="4">
        <v>454.2</v>
      </c>
      <c r="C654" s="4">
        <v>34.14</v>
      </c>
      <c r="D654" s="3">
        <f t="shared" si="20"/>
        <v>4.4572990232878184E-3</v>
      </c>
      <c r="E654" s="3">
        <f t="shared" si="21"/>
        <v>-2.6327351757993141E-3</v>
      </c>
    </row>
    <row r="655" spans="1:5" x14ac:dyDescent="0.25">
      <c r="A655" s="1">
        <v>45132</v>
      </c>
      <c r="B655" s="4">
        <v>455.44</v>
      </c>
      <c r="C655" s="4">
        <v>34.200000000000003</v>
      </c>
      <c r="D655" s="3">
        <f t="shared" si="20"/>
        <v>2.7263549713683632E-3</v>
      </c>
      <c r="E655" s="3">
        <f t="shared" si="21"/>
        <v>1.7559267022650125E-3</v>
      </c>
    </row>
    <row r="656" spans="1:5" x14ac:dyDescent="0.25">
      <c r="A656" s="1">
        <v>45133</v>
      </c>
      <c r="B656" s="4">
        <v>455.51</v>
      </c>
      <c r="C656" s="4">
        <v>34.200000000000003</v>
      </c>
      <c r="D656" s="3">
        <f t="shared" si="20"/>
        <v>1.5368571301989099E-4</v>
      </c>
      <c r="E656" s="3">
        <f t="shared" si="21"/>
        <v>0</v>
      </c>
    </row>
    <row r="657" spans="1:5" x14ac:dyDescent="0.25">
      <c r="A657" s="1">
        <v>45134</v>
      </c>
      <c r="B657" s="4">
        <v>452.49</v>
      </c>
      <c r="C657" s="4">
        <v>33.594999999999999</v>
      </c>
      <c r="D657" s="3">
        <f t="shared" si="20"/>
        <v>-6.6520069075757743E-3</v>
      </c>
      <c r="E657" s="3">
        <f t="shared" si="21"/>
        <v>-1.784839769644633E-2</v>
      </c>
    </row>
    <row r="658" spans="1:5" x14ac:dyDescent="0.25">
      <c r="A658" s="1">
        <v>45135</v>
      </c>
      <c r="B658" s="4">
        <v>456.92</v>
      </c>
      <c r="C658" s="4">
        <v>33.520000000000003</v>
      </c>
      <c r="D658" s="3">
        <f t="shared" si="20"/>
        <v>9.7426574174757259E-3</v>
      </c>
      <c r="E658" s="3">
        <f t="shared" si="21"/>
        <v>-2.2349707582308598E-3</v>
      </c>
    </row>
    <row r="659" spans="1:5" x14ac:dyDescent="0.25">
      <c r="A659" s="1">
        <v>45138</v>
      </c>
      <c r="B659" s="4">
        <v>457.79</v>
      </c>
      <c r="C659" s="4">
        <v>33.534999999999997</v>
      </c>
      <c r="D659" s="3">
        <f t="shared" si="20"/>
        <v>1.9022428143197323E-3</v>
      </c>
      <c r="E659" s="3">
        <f t="shared" si="21"/>
        <v>4.4739393781808071E-4</v>
      </c>
    </row>
    <row r="660" spans="1:5" x14ac:dyDescent="0.25">
      <c r="A660" s="1">
        <v>45139</v>
      </c>
      <c r="B660" s="4">
        <v>456.48</v>
      </c>
      <c r="C660" s="4">
        <v>33.125</v>
      </c>
      <c r="D660" s="3">
        <f t="shared" si="20"/>
        <v>-2.8656762148763105E-3</v>
      </c>
      <c r="E660" s="3">
        <f t="shared" si="21"/>
        <v>-1.2301385245314198E-2</v>
      </c>
    </row>
    <row r="661" spans="1:5" x14ac:dyDescent="0.25">
      <c r="A661" s="1">
        <v>45140</v>
      </c>
      <c r="B661" s="4">
        <v>450.13</v>
      </c>
      <c r="C661" s="4">
        <v>33.125</v>
      </c>
      <c r="D661" s="3">
        <f t="shared" si="20"/>
        <v>-1.4008457532295803E-2</v>
      </c>
      <c r="E661" s="3">
        <f t="shared" si="21"/>
        <v>0</v>
      </c>
    </row>
    <row r="662" spans="1:5" x14ac:dyDescent="0.25">
      <c r="A662" s="1">
        <v>45141</v>
      </c>
      <c r="B662" s="4">
        <v>448.84</v>
      </c>
      <c r="C662" s="4">
        <v>32.369999999999997</v>
      </c>
      <c r="D662" s="3">
        <f t="shared" si="20"/>
        <v>-2.8699531362286835E-3</v>
      </c>
      <c r="E662" s="3">
        <f t="shared" si="21"/>
        <v>-2.3056216368233334E-2</v>
      </c>
    </row>
    <row r="663" spans="1:5" x14ac:dyDescent="0.25">
      <c r="A663" s="1">
        <v>45142</v>
      </c>
      <c r="B663" s="4">
        <v>446.81</v>
      </c>
      <c r="C663" s="4">
        <v>31.995000000000001</v>
      </c>
      <c r="D663" s="3">
        <f t="shared" si="20"/>
        <v>-4.5330284733862483E-3</v>
      </c>
      <c r="E663" s="3">
        <f t="shared" si="21"/>
        <v>-1.1652427346729244E-2</v>
      </c>
    </row>
    <row r="664" spans="1:5" x14ac:dyDescent="0.25">
      <c r="A664" s="1">
        <v>45145</v>
      </c>
      <c r="B664" s="4">
        <v>450.71</v>
      </c>
      <c r="C664" s="4">
        <v>31.99</v>
      </c>
      <c r="D664" s="3">
        <f t="shared" si="20"/>
        <v>8.6906688351894665E-3</v>
      </c>
      <c r="E664" s="3">
        <f t="shared" si="21"/>
        <v>-1.5628662999706339E-4</v>
      </c>
    </row>
    <row r="665" spans="1:5" x14ac:dyDescent="0.25">
      <c r="A665" s="1">
        <v>45146</v>
      </c>
      <c r="B665" s="4">
        <v>448.75</v>
      </c>
      <c r="C665" s="4">
        <v>32.14</v>
      </c>
      <c r="D665" s="3">
        <f t="shared" si="20"/>
        <v>-4.3581773559801798E-3</v>
      </c>
      <c r="E665" s="3">
        <f t="shared" si="21"/>
        <v>4.6780063479399791E-3</v>
      </c>
    </row>
    <row r="666" spans="1:5" x14ac:dyDescent="0.25">
      <c r="A666" s="1">
        <v>45147</v>
      </c>
      <c r="B666" s="4">
        <v>445.75</v>
      </c>
      <c r="C666" s="4">
        <v>32.21</v>
      </c>
      <c r="D666" s="3">
        <f t="shared" si="20"/>
        <v>-6.707683059238894E-3</v>
      </c>
      <c r="E666" s="3">
        <f t="shared" si="21"/>
        <v>2.175603033741032E-3</v>
      </c>
    </row>
    <row r="667" spans="1:5" x14ac:dyDescent="0.25">
      <c r="A667" s="1">
        <v>45148</v>
      </c>
      <c r="B667" s="4">
        <v>445.91</v>
      </c>
      <c r="C667" s="4">
        <v>32.11</v>
      </c>
      <c r="D667" s="3">
        <f t="shared" si="20"/>
        <v>3.5888119174855629E-4</v>
      </c>
      <c r="E667" s="3">
        <f t="shared" si="21"/>
        <v>-3.1094552416849317E-3</v>
      </c>
    </row>
    <row r="668" spans="1:5" x14ac:dyDescent="0.25">
      <c r="A668" s="1">
        <v>45149</v>
      </c>
      <c r="B668" s="4">
        <v>445.65</v>
      </c>
      <c r="C668" s="4">
        <v>32.284999999999997</v>
      </c>
      <c r="D668" s="3">
        <f t="shared" si="20"/>
        <v>-5.8324735827212058E-4</v>
      </c>
      <c r="E668" s="3">
        <f t="shared" si="21"/>
        <v>5.4352179770076449E-3</v>
      </c>
    </row>
    <row r="669" spans="1:5" x14ac:dyDescent="0.25">
      <c r="A669" s="1">
        <v>45152</v>
      </c>
      <c r="B669" s="4">
        <v>448.11</v>
      </c>
      <c r="C669" s="4">
        <v>32.03</v>
      </c>
      <c r="D669" s="3">
        <f t="shared" si="20"/>
        <v>5.5048474135844126E-3</v>
      </c>
      <c r="E669" s="3">
        <f t="shared" si="21"/>
        <v>-7.9297624573633624E-3</v>
      </c>
    </row>
    <row r="670" spans="1:5" x14ac:dyDescent="0.25">
      <c r="A670" s="1">
        <v>45153</v>
      </c>
      <c r="B670" s="4">
        <v>442.89</v>
      </c>
      <c r="C670" s="4">
        <v>31.51</v>
      </c>
      <c r="D670" s="3">
        <f t="shared" si="20"/>
        <v>-1.1717305776204584E-2</v>
      </c>
      <c r="E670" s="3">
        <f t="shared" si="21"/>
        <v>-1.6368007851883491E-2</v>
      </c>
    </row>
    <row r="671" spans="1:5" x14ac:dyDescent="0.25">
      <c r="A671" s="1">
        <v>45154</v>
      </c>
      <c r="B671" s="4">
        <v>439.64</v>
      </c>
      <c r="C671" s="4">
        <v>31.65</v>
      </c>
      <c r="D671" s="3">
        <f t="shared" si="20"/>
        <v>-7.3652220134066181E-3</v>
      </c>
      <c r="E671" s="3">
        <f t="shared" si="21"/>
        <v>4.433192821001835E-3</v>
      </c>
    </row>
    <row r="672" spans="1:5" x14ac:dyDescent="0.25">
      <c r="A672" s="1">
        <v>45155</v>
      </c>
      <c r="B672" s="4">
        <v>436.29</v>
      </c>
      <c r="C672" s="4">
        <v>31.58</v>
      </c>
      <c r="D672" s="3">
        <f t="shared" si="20"/>
        <v>-7.6490503429710987E-3</v>
      </c>
      <c r="E672" s="3">
        <f t="shared" si="21"/>
        <v>-2.2141397626891475E-3</v>
      </c>
    </row>
    <row r="673" spans="1:5" x14ac:dyDescent="0.25">
      <c r="A673" s="1">
        <v>45156</v>
      </c>
      <c r="B673" s="4">
        <v>436.5</v>
      </c>
      <c r="C673" s="4">
        <v>31.745000000000001</v>
      </c>
      <c r="D673" s="3">
        <f t="shared" si="20"/>
        <v>4.8121542192835354E-4</v>
      </c>
      <c r="E673" s="3">
        <f t="shared" si="21"/>
        <v>5.2112237949172502E-3</v>
      </c>
    </row>
    <row r="674" spans="1:5" x14ac:dyDescent="0.25">
      <c r="A674" s="1">
        <v>45159</v>
      </c>
      <c r="B674" s="4">
        <v>439.34</v>
      </c>
      <c r="C674" s="4">
        <v>31.545000000000002</v>
      </c>
      <c r="D674" s="3">
        <f t="shared" si="20"/>
        <v>6.485225506382827E-3</v>
      </c>
      <c r="E674" s="3">
        <f t="shared" si="21"/>
        <v>-6.3201347996404474E-3</v>
      </c>
    </row>
    <row r="675" spans="1:5" x14ac:dyDescent="0.25">
      <c r="A675" s="1">
        <v>45160</v>
      </c>
      <c r="B675" s="4">
        <v>438.15</v>
      </c>
      <c r="C675" s="4">
        <v>31.635000000000002</v>
      </c>
      <c r="D675" s="3">
        <f t="shared" si="20"/>
        <v>-2.7122832841800179E-3</v>
      </c>
      <c r="E675" s="3">
        <f t="shared" si="21"/>
        <v>2.8490047760748711E-3</v>
      </c>
    </row>
    <row r="676" spans="1:5" x14ac:dyDescent="0.25">
      <c r="A676" s="1">
        <v>45161</v>
      </c>
      <c r="B676" s="4">
        <v>443.03</v>
      </c>
      <c r="C676" s="4">
        <v>31.76</v>
      </c>
      <c r="D676" s="3">
        <f t="shared" si="20"/>
        <v>1.1076170340667732E-2</v>
      </c>
      <c r="E676" s="3">
        <f t="shared" si="21"/>
        <v>3.943533780087374E-3</v>
      </c>
    </row>
    <row r="677" spans="1:5" x14ac:dyDescent="0.25">
      <c r="A677" s="1">
        <v>45162</v>
      </c>
      <c r="B677" s="4">
        <v>436.89</v>
      </c>
      <c r="C677" s="4">
        <v>31.574999999999999</v>
      </c>
      <c r="D677" s="3">
        <f t="shared" si="20"/>
        <v>-1.3956040679928571E-2</v>
      </c>
      <c r="E677" s="3">
        <f t="shared" si="21"/>
        <v>-5.8419681423802806E-3</v>
      </c>
    </row>
    <row r="678" spans="1:5" x14ac:dyDescent="0.25">
      <c r="A678" s="1">
        <v>45163</v>
      </c>
      <c r="B678" s="4">
        <v>439.97</v>
      </c>
      <c r="C678" s="4">
        <v>31.815000000000001</v>
      </c>
      <c r="D678" s="3">
        <f t="shared" si="20"/>
        <v>7.0250956070405718E-3</v>
      </c>
      <c r="E678" s="3">
        <f t="shared" si="21"/>
        <v>7.5722084482006359E-3</v>
      </c>
    </row>
    <row r="679" spans="1:5" x14ac:dyDescent="0.25">
      <c r="A679" s="1">
        <v>45166</v>
      </c>
      <c r="B679" s="4">
        <v>442.76</v>
      </c>
      <c r="C679" s="4">
        <v>31.81</v>
      </c>
      <c r="D679" s="3">
        <f t="shared" si="20"/>
        <v>6.321319747784041E-3</v>
      </c>
      <c r="E679" s="3">
        <f t="shared" si="21"/>
        <v>-1.5717092370281214E-4</v>
      </c>
    </row>
    <row r="680" spans="1:5" x14ac:dyDescent="0.25">
      <c r="A680" s="1">
        <v>45167</v>
      </c>
      <c r="B680" s="4">
        <v>449.16</v>
      </c>
      <c r="C680" s="4">
        <v>31.93</v>
      </c>
      <c r="D680" s="3">
        <f t="shared" si="20"/>
        <v>1.4351309186914706E-2</v>
      </c>
      <c r="E680" s="3">
        <f t="shared" si="21"/>
        <v>3.7653009656379763E-3</v>
      </c>
    </row>
    <row r="681" spans="1:5" x14ac:dyDescent="0.25">
      <c r="A681" s="1">
        <v>45168</v>
      </c>
      <c r="B681" s="4">
        <v>451.01</v>
      </c>
      <c r="C681" s="4">
        <v>31.785</v>
      </c>
      <c r="D681" s="3">
        <f t="shared" si="20"/>
        <v>4.1103405015262941E-3</v>
      </c>
      <c r="E681" s="3">
        <f t="shared" si="21"/>
        <v>-4.5515263383185192E-3</v>
      </c>
    </row>
    <row r="682" spans="1:5" x14ac:dyDescent="0.25">
      <c r="A682" s="1">
        <v>45169</v>
      </c>
      <c r="B682" s="4">
        <v>450.35</v>
      </c>
      <c r="C682" s="4">
        <v>31.48</v>
      </c>
      <c r="D682" s="3">
        <f t="shared" si="20"/>
        <v>-1.4644539761124395E-3</v>
      </c>
      <c r="E682" s="3">
        <f t="shared" si="21"/>
        <v>-9.64205683916965E-3</v>
      </c>
    </row>
    <row r="683" spans="1:5" x14ac:dyDescent="0.25">
      <c r="A683" s="1">
        <v>45170</v>
      </c>
      <c r="B683" s="4">
        <v>451.19</v>
      </c>
      <c r="C683" s="4">
        <v>31.32</v>
      </c>
      <c r="D683" s="3">
        <f t="shared" si="20"/>
        <v>1.8634785879243847E-3</v>
      </c>
      <c r="E683" s="3">
        <f t="shared" si="21"/>
        <v>-5.0955524266001698E-3</v>
      </c>
    </row>
    <row r="684" spans="1:5" x14ac:dyDescent="0.25">
      <c r="A684" s="1">
        <v>45174</v>
      </c>
      <c r="B684" s="4">
        <v>449.24</v>
      </c>
      <c r="C684" s="4">
        <v>30.84</v>
      </c>
      <c r="D684" s="3">
        <f t="shared" si="20"/>
        <v>-4.3312707228408305E-3</v>
      </c>
      <c r="E684" s="3">
        <f t="shared" si="21"/>
        <v>-1.5444322427473631E-2</v>
      </c>
    </row>
    <row r="685" spans="1:5" x14ac:dyDescent="0.25">
      <c r="A685" s="1">
        <v>45175</v>
      </c>
      <c r="B685" s="4">
        <v>446.22</v>
      </c>
      <c r="C685" s="4">
        <v>30.91</v>
      </c>
      <c r="D685" s="3">
        <f t="shared" si="20"/>
        <v>-6.7451621515715147E-3</v>
      </c>
      <c r="E685" s="3">
        <f t="shared" si="21"/>
        <v>2.2672074488961926E-3</v>
      </c>
    </row>
    <row r="686" spans="1:5" x14ac:dyDescent="0.25">
      <c r="A686" s="1">
        <v>45176</v>
      </c>
      <c r="B686" s="4">
        <v>444.85</v>
      </c>
      <c r="C686" s="4">
        <v>31.315000000000001</v>
      </c>
      <c r="D686" s="3">
        <f t="shared" si="20"/>
        <v>-3.0749572524875293E-3</v>
      </c>
      <c r="E686" s="3">
        <f t="shared" si="21"/>
        <v>1.3017459833351319E-2</v>
      </c>
    </row>
    <row r="687" spans="1:5" x14ac:dyDescent="0.25">
      <c r="A687" s="1">
        <v>45177</v>
      </c>
      <c r="B687" s="4">
        <v>445.52</v>
      </c>
      <c r="C687" s="4">
        <v>31.59</v>
      </c>
      <c r="D687" s="3">
        <f t="shared" si="20"/>
        <v>1.5049925906366721E-3</v>
      </c>
      <c r="E687" s="3">
        <f t="shared" si="21"/>
        <v>8.7433988366175507E-3</v>
      </c>
    </row>
    <row r="688" spans="1:5" x14ac:dyDescent="0.25">
      <c r="A688" s="1">
        <v>45180</v>
      </c>
      <c r="B688" s="4">
        <v>448.45</v>
      </c>
      <c r="C688" s="4">
        <v>31.72</v>
      </c>
      <c r="D688" s="3">
        <f t="shared" si="20"/>
        <v>6.5550532825989624E-3</v>
      </c>
      <c r="E688" s="3">
        <f t="shared" si="21"/>
        <v>4.1067819526532812E-3</v>
      </c>
    </row>
    <row r="689" spans="1:5" x14ac:dyDescent="0.25">
      <c r="A689" s="1">
        <v>45181</v>
      </c>
      <c r="B689" s="4">
        <v>445.99</v>
      </c>
      <c r="C689" s="4">
        <v>31.76</v>
      </c>
      <c r="D689" s="3">
        <f t="shared" si="20"/>
        <v>-5.5006623199777786E-3</v>
      </c>
      <c r="E689" s="3">
        <f t="shared" si="21"/>
        <v>1.2602396122877732E-3</v>
      </c>
    </row>
    <row r="690" spans="1:5" x14ac:dyDescent="0.25">
      <c r="A690" s="1">
        <v>45182</v>
      </c>
      <c r="B690" s="4">
        <v>446.51</v>
      </c>
      <c r="C690" s="4">
        <v>32.14</v>
      </c>
      <c r="D690" s="3">
        <f t="shared" si="20"/>
        <v>1.1652662382967427E-3</v>
      </c>
      <c r="E690" s="3">
        <f t="shared" si="21"/>
        <v>1.1893723930431541E-2</v>
      </c>
    </row>
    <row r="691" spans="1:5" x14ac:dyDescent="0.25">
      <c r="A691" s="1">
        <v>45183</v>
      </c>
      <c r="B691" s="4">
        <v>450.36</v>
      </c>
      <c r="C691" s="4">
        <v>32.61</v>
      </c>
      <c r="D691" s="3">
        <f t="shared" si="20"/>
        <v>8.5854664525986928E-3</v>
      </c>
      <c r="E691" s="3">
        <f t="shared" si="21"/>
        <v>1.4517629491861101E-2</v>
      </c>
    </row>
    <row r="692" spans="1:5" x14ac:dyDescent="0.25">
      <c r="A692" s="1">
        <v>45184</v>
      </c>
      <c r="B692" s="4">
        <v>443.37</v>
      </c>
      <c r="C692" s="4">
        <v>32.47</v>
      </c>
      <c r="D692" s="3">
        <f t="shared" si="20"/>
        <v>-1.5642627040338787E-2</v>
      </c>
      <c r="E692" s="3">
        <f t="shared" si="21"/>
        <v>-4.3024036864732235E-3</v>
      </c>
    </row>
    <row r="693" spans="1:5" x14ac:dyDescent="0.25">
      <c r="A693" s="1">
        <v>45187</v>
      </c>
      <c r="B693" s="4">
        <v>443.63</v>
      </c>
      <c r="C693" s="4">
        <v>32.185000000000002</v>
      </c>
      <c r="D693" s="3">
        <f t="shared" si="20"/>
        <v>5.8624578905627572E-4</v>
      </c>
      <c r="E693" s="3">
        <f t="shared" si="21"/>
        <v>-8.8160806101753031E-3</v>
      </c>
    </row>
    <row r="694" spans="1:5" x14ac:dyDescent="0.25">
      <c r="A694" s="1">
        <v>45188</v>
      </c>
      <c r="B694" s="4">
        <v>442.71</v>
      </c>
      <c r="C694" s="4">
        <v>32.01</v>
      </c>
      <c r="D694" s="3">
        <f t="shared" si="20"/>
        <v>-2.0759535401795267E-3</v>
      </c>
      <c r="E694" s="3">
        <f t="shared" si="21"/>
        <v>-5.4521515228075799E-3</v>
      </c>
    </row>
    <row r="695" spans="1:5" x14ac:dyDescent="0.25">
      <c r="A695" s="1">
        <v>45189</v>
      </c>
      <c r="B695" s="4">
        <v>438.64</v>
      </c>
      <c r="C695" s="4">
        <v>32.04</v>
      </c>
      <c r="D695" s="3">
        <f t="shared" si="20"/>
        <v>-9.2358970476747321E-3</v>
      </c>
      <c r="E695" s="3">
        <f t="shared" si="21"/>
        <v>9.3676821838687991E-4</v>
      </c>
    </row>
    <row r="696" spans="1:5" x14ac:dyDescent="0.25">
      <c r="A696" s="1">
        <v>45190</v>
      </c>
      <c r="B696" s="4">
        <v>431.39</v>
      </c>
      <c r="C696" s="4">
        <v>31.704999999999998</v>
      </c>
      <c r="D696" s="3">
        <f t="shared" si="20"/>
        <v>-1.6666477752474377E-2</v>
      </c>
      <c r="E696" s="3">
        <f t="shared" si="21"/>
        <v>-1.0510725048163526E-2</v>
      </c>
    </row>
    <row r="697" spans="1:5" x14ac:dyDescent="0.25">
      <c r="A697" s="1">
        <v>45191</v>
      </c>
      <c r="B697" s="4">
        <v>430.42</v>
      </c>
      <c r="C697" s="4">
        <v>31.645</v>
      </c>
      <c r="D697" s="3">
        <f t="shared" si="20"/>
        <v>-2.2510771738795798E-3</v>
      </c>
      <c r="E697" s="3">
        <f t="shared" si="21"/>
        <v>-1.8942389247262467E-3</v>
      </c>
    </row>
    <row r="698" spans="1:5" x14ac:dyDescent="0.25">
      <c r="A698" s="1">
        <v>45194</v>
      </c>
      <c r="B698" s="4">
        <v>432.23</v>
      </c>
      <c r="C698" s="4">
        <v>31.6</v>
      </c>
      <c r="D698" s="3">
        <f t="shared" si="20"/>
        <v>4.1963778035399597E-3</v>
      </c>
      <c r="E698" s="3">
        <f t="shared" si="21"/>
        <v>-1.4230376344021656E-3</v>
      </c>
    </row>
    <row r="699" spans="1:5" x14ac:dyDescent="0.25">
      <c r="A699" s="1">
        <v>45195</v>
      </c>
      <c r="B699" s="4">
        <v>425.88</v>
      </c>
      <c r="C699" s="4">
        <v>30.655000000000001</v>
      </c>
      <c r="D699" s="3">
        <f t="shared" si="20"/>
        <v>-1.4800237526573553E-2</v>
      </c>
      <c r="E699" s="3">
        <f t="shared" si="21"/>
        <v>-3.0361339378215224E-2</v>
      </c>
    </row>
    <row r="700" spans="1:5" x14ac:dyDescent="0.25">
      <c r="A700" s="1">
        <v>45196</v>
      </c>
      <c r="B700" s="4">
        <v>426.05</v>
      </c>
      <c r="C700" s="4">
        <v>30.065000000000001</v>
      </c>
      <c r="D700" s="3">
        <f t="shared" si="20"/>
        <v>3.9909382755964483E-4</v>
      </c>
      <c r="E700" s="3">
        <f t="shared" si="21"/>
        <v>-1.9434076723119257E-2</v>
      </c>
    </row>
    <row r="701" spans="1:5" x14ac:dyDescent="0.25">
      <c r="A701" s="1">
        <v>45197</v>
      </c>
      <c r="B701" s="4">
        <v>428.52</v>
      </c>
      <c r="C701" s="4">
        <v>29.414999999999999</v>
      </c>
      <c r="D701" s="3">
        <f t="shared" si="20"/>
        <v>5.7807011203923403E-3</v>
      </c>
      <c r="E701" s="3">
        <f t="shared" si="21"/>
        <v>-2.1856956175112748E-2</v>
      </c>
    </row>
    <row r="702" spans="1:5" x14ac:dyDescent="0.25">
      <c r="A702" s="1">
        <v>45198</v>
      </c>
      <c r="B702" s="4">
        <v>427.48</v>
      </c>
      <c r="C702" s="4">
        <v>29.465</v>
      </c>
      <c r="D702" s="3">
        <f t="shared" si="20"/>
        <v>-2.4299077376612977E-3</v>
      </c>
      <c r="E702" s="3">
        <f t="shared" si="21"/>
        <v>1.6983699734572906E-3</v>
      </c>
    </row>
    <row r="703" spans="1:5" x14ac:dyDescent="0.25">
      <c r="A703" s="1">
        <v>45201</v>
      </c>
      <c r="B703" s="4">
        <v>427.31</v>
      </c>
      <c r="C703" s="4">
        <v>28.094999999999999</v>
      </c>
      <c r="D703" s="3">
        <f t="shared" si="20"/>
        <v>-3.9775851903122946E-4</v>
      </c>
      <c r="E703" s="3">
        <f t="shared" si="21"/>
        <v>-4.7611493725715139E-2</v>
      </c>
    </row>
    <row r="704" spans="1:5" x14ac:dyDescent="0.25">
      <c r="A704" s="1">
        <v>45202</v>
      </c>
      <c r="B704" s="4">
        <v>421.59</v>
      </c>
      <c r="C704" s="4">
        <v>28.42</v>
      </c>
      <c r="D704" s="3">
        <f t="shared" si="20"/>
        <v>-1.3476467356901502E-2</v>
      </c>
      <c r="E704" s="3">
        <f t="shared" si="21"/>
        <v>1.150149810479309E-2</v>
      </c>
    </row>
    <row r="705" spans="1:5" x14ac:dyDescent="0.25">
      <c r="A705" s="1">
        <v>45203</v>
      </c>
      <c r="B705" s="4">
        <v>424.66</v>
      </c>
      <c r="C705" s="4">
        <v>28.39</v>
      </c>
      <c r="D705" s="3">
        <f t="shared" si="20"/>
        <v>7.2555709728844226E-3</v>
      </c>
      <c r="E705" s="3">
        <f t="shared" si="21"/>
        <v>-1.0561521840748295E-3</v>
      </c>
    </row>
    <row r="706" spans="1:5" x14ac:dyDescent="0.25">
      <c r="A706" s="1">
        <v>45204</v>
      </c>
      <c r="B706" s="4">
        <v>424.5</v>
      </c>
      <c r="C706" s="4">
        <v>28.225000000000001</v>
      </c>
      <c r="D706" s="3">
        <f t="shared" si="20"/>
        <v>-3.7684300224580041E-4</v>
      </c>
      <c r="E706" s="3">
        <f t="shared" si="21"/>
        <v>-5.8288604491540759E-3</v>
      </c>
    </row>
    <row r="707" spans="1:5" x14ac:dyDescent="0.25">
      <c r="A707" s="1">
        <v>45205</v>
      </c>
      <c r="B707" s="4">
        <v>429.54</v>
      </c>
      <c r="C707" s="4">
        <v>28.625</v>
      </c>
      <c r="D707" s="3">
        <f t="shared" si="20"/>
        <v>1.1802862884746777E-2</v>
      </c>
      <c r="E707" s="3">
        <f t="shared" si="21"/>
        <v>1.4072351838678037E-2</v>
      </c>
    </row>
    <row r="708" spans="1:5" x14ac:dyDescent="0.25">
      <c r="A708" s="1">
        <v>45208</v>
      </c>
      <c r="B708" s="4">
        <v>432.29</v>
      </c>
      <c r="C708" s="4">
        <v>28.91</v>
      </c>
      <c r="D708" s="3">
        <f t="shared" ref="D708:D771" si="22">LN(B708/B707)</f>
        <v>6.3817906856858475E-3</v>
      </c>
      <c r="E708" s="3">
        <f t="shared" ref="E708:E771" si="23">LN(C708/C707)</f>
        <v>9.9070941538508678E-3</v>
      </c>
    </row>
    <row r="709" spans="1:5" x14ac:dyDescent="0.25">
      <c r="A709" s="1">
        <v>45209</v>
      </c>
      <c r="B709" s="4">
        <v>434.54</v>
      </c>
      <c r="C709" s="4">
        <v>29.305</v>
      </c>
      <c r="D709" s="3">
        <f t="shared" si="22"/>
        <v>5.1913409852606422E-3</v>
      </c>
      <c r="E709" s="3">
        <f t="shared" si="23"/>
        <v>1.3570593900137826E-2</v>
      </c>
    </row>
    <row r="710" spans="1:5" x14ac:dyDescent="0.25">
      <c r="A710" s="1">
        <v>45210</v>
      </c>
      <c r="B710" s="4">
        <v>436.32</v>
      </c>
      <c r="C710" s="4">
        <v>29.78</v>
      </c>
      <c r="D710" s="3">
        <f t="shared" si="22"/>
        <v>4.087918790183203E-3</v>
      </c>
      <c r="E710" s="3">
        <f t="shared" si="23"/>
        <v>1.6078877327470348E-2</v>
      </c>
    </row>
    <row r="711" spans="1:5" x14ac:dyDescent="0.25">
      <c r="A711" s="1">
        <v>45211</v>
      </c>
      <c r="B711" s="4">
        <v>433.66</v>
      </c>
      <c r="C711" s="4">
        <v>29.32</v>
      </c>
      <c r="D711" s="3">
        <f t="shared" si="22"/>
        <v>-6.1151021612066894E-3</v>
      </c>
      <c r="E711" s="3">
        <f t="shared" si="23"/>
        <v>-1.5567150237412258E-2</v>
      </c>
    </row>
    <row r="712" spans="1:5" x14ac:dyDescent="0.25">
      <c r="A712" s="1">
        <v>45212</v>
      </c>
      <c r="B712" s="4">
        <v>431.5</v>
      </c>
      <c r="C712" s="4">
        <v>29.65</v>
      </c>
      <c r="D712" s="3">
        <f t="shared" si="22"/>
        <v>-4.9933064125890509E-3</v>
      </c>
      <c r="E712" s="3">
        <f t="shared" si="23"/>
        <v>1.1192248425283741E-2</v>
      </c>
    </row>
    <row r="713" spans="1:5" x14ac:dyDescent="0.25">
      <c r="A713" s="1">
        <v>45215</v>
      </c>
      <c r="B713" s="4">
        <v>436.04</v>
      </c>
      <c r="C713" s="4">
        <v>29.954999999999998</v>
      </c>
      <c r="D713" s="3">
        <f t="shared" si="22"/>
        <v>1.0466471736675266E-2</v>
      </c>
      <c r="E713" s="3">
        <f t="shared" si="23"/>
        <v>1.0234130092153834E-2</v>
      </c>
    </row>
    <row r="714" spans="1:5" x14ac:dyDescent="0.25">
      <c r="A714" s="1">
        <v>45216</v>
      </c>
      <c r="B714" s="4">
        <v>436.02</v>
      </c>
      <c r="C714" s="4">
        <v>29.875</v>
      </c>
      <c r="D714" s="3">
        <f t="shared" si="22"/>
        <v>-4.5868403558294294E-5</v>
      </c>
      <c r="E714" s="3">
        <f t="shared" si="23"/>
        <v>-2.6742452842134119E-3</v>
      </c>
    </row>
    <row r="715" spans="1:5" x14ac:dyDescent="0.25">
      <c r="A715" s="1">
        <v>45217</v>
      </c>
      <c r="B715" s="4">
        <v>430.21</v>
      </c>
      <c r="C715" s="4">
        <v>29.614999999999998</v>
      </c>
      <c r="D715" s="3">
        <f t="shared" si="22"/>
        <v>-1.341465229080621E-2</v>
      </c>
      <c r="E715" s="3">
        <f t="shared" si="23"/>
        <v>-8.7410205227462529E-3</v>
      </c>
    </row>
    <row r="716" spans="1:5" x14ac:dyDescent="0.25">
      <c r="A716" s="1">
        <v>45218</v>
      </c>
      <c r="B716" s="4">
        <v>426.43</v>
      </c>
      <c r="C716" s="4">
        <v>29.32</v>
      </c>
      <c r="D716" s="3">
        <f t="shared" si="22"/>
        <v>-8.8252347162635081E-3</v>
      </c>
      <c r="E716" s="3">
        <f t="shared" si="23"/>
        <v>-1.0011112710477697E-2</v>
      </c>
    </row>
    <row r="717" spans="1:5" x14ac:dyDescent="0.25">
      <c r="A717" s="1">
        <v>45219</v>
      </c>
      <c r="B717" s="4">
        <v>421.19</v>
      </c>
      <c r="C717" s="4">
        <v>29.015000000000001</v>
      </c>
      <c r="D717" s="3">
        <f t="shared" si="22"/>
        <v>-1.2364188561956037E-2</v>
      </c>
      <c r="E717" s="3">
        <f t="shared" si="23"/>
        <v>-1.045693937587917E-2</v>
      </c>
    </row>
    <row r="718" spans="1:5" x14ac:dyDescent="0.25">
      <c r="A718" s="1">
        <v>45222</v>
      </c>
      <c r="B718" s="4">
        <v>420.46</v>
      </c>
      <c r="C718" s="4">
        <v>28.77</v>
      </c>
      <c r="D718" s="3">
        <f t="shared" si="22"/>
        <v>-1.7346882505940376E-3</v>
      </c>
      <c r="E718" s="3">
        <f t="shared" si="23"/>
        <v>-8.4797600791151218E-3</v>
      </c>
    </row>
    <row r="719" spans="1:5" x14ac:dyDescent="0.25">
      <c r="A719" s="1">
        <v>45223</v>
      </c>
      <c r="B719" s="4">
        <v>423.63</v>
      </c>
      <c r="C719" s="4">
        <v>29.51</v>
      </c>
      <c r="D719" s="3">
        <f t="shared" si="22"/>
        <v>7.5110827122905344E-3</v>
      </c>
      <c r="E719" s="3">
        <f t="shared" si="23"/>
        <v>2.5396011391391467E-2</v>
      </c>
    </row>
    <row r="720" spans="1:5" x14ac:dyDescent="0.25">
      <c r="A720" s="1">
        <v>45224</v>
      </c>
      <c r="B720" s="4">
        <v>417.55</v>
      </c>
      <c r="C720" s="4">
        <v>29.675000000000001</v>
      </c>
      <c r="D720" s="3">
        <f t="shared" si="22"/>
        <v>-1.4456135150031866E-2</v>
      </c>
      <c r="E720" s="3">
        <f t="shared" si="23"/>
        <v>5.5757515408837261E-3</v>
      </c>
    </row>
    <row r="721" spans="1:5" x14ac:dyDescent="0.25">
      <c r="A721" s="1">
        <v>45225</v>
      </c>
      <c r="B721" s="4">
        <v>412.55</v>
      </c>
      <c r="C721" s="4">
        <v>29.93</v>
      </c>
      <c r="D721" s="3">
        <f t="shared" si="22"/>
        <v>-1.2046887048886217E-2</v>
      </c>
      <c r="E721" s="3">
        <f t="shared" si="23"/>
        <v>8.5563813688757234E-3</v>
      </c>
    </row>
    <row r="722" spans="1:5" x14ac:dyDescent="0.25">
      <c r="A722" s="1">
        <v>45226</v>
      </c>
      <c r="B722" s="4">
        <v>410.68</v>
      </c>
      <c r="C722" s="4">
        <v>29.364999999999998</v>
      </c>
      <c r="D722" s="3">
        <f t="shared" si="22"/>
        <v>-4.5430881195882324E-3</v>
      </c>
      <c r="E722" s="3">
        <f t="shared" si="23"/>
        <v>-1.9057832890124807E-2</v>
      </c>
    </row>
    <row r="723" spans="1:5" x14ac:dyDescent="0.25">
      <c r="A723" s="1">
        <v>45229</v>
      </c>
      <c r="B723" s="4">
        <v>415.59</v>
      </c>
      <c r="C723" s="4">
        <v>29.59</v>
      </c>
      <c r="D723" s="3">
        <f t="shared" si="22"/>
        <v>1.1884874907133232E-2</v>
      </c>
      <c r="E723" s="3">
        <f t="shared" si="23"/>
        <v>7.6329774376355502E-3</v>
      </c>
    </row>
    <row r="724" spans="1:5" x14ac:dyDescent="0.25">
      <c r="A724" s="1">
        <v>45230</v>
      </c>
      <c r="B724" s="4">
        <v>418.2</v>
      </c>
      <c r="C724" s="4">
        <v>29.844999999999999</v>
      </c>
      <c r="D724" s="3">
        <f t="shared" si="22"/>
        <v>6.2605896566358043E-3</v>
      </c>
      <c r="E724" s="3">
        <f t="shared" si="23"/>
        <v>8.5808552084949332E-3</v>
      </c>
    </row>
    <row r="725" spans="1:5" x14ac:dyDescent="0.25">
      <c r="A725" s="1">
        <v>45231</v>
      </c>
      <c r="B725" s="4">
        <v>422.66</v>
      </c>
      <c r="C725" s="4">
        <v>30.184999999999999</v>
      </c>
      <c r="D725" s="3">
        <f t="shared" si="22"/>
        <v>1.0608286339472917E-2</v>
      </c>
      <c r="E725" s="3">
        <f t="shared" si="23"/>
        <v>1.1327790627776231E-2</v>
      </c>
    </row>
    <row r="726" spans="1:5" x14ac:dyDescent="0.25">
      <c r="A726" s="1">
        <v>45232</v>
      </c>
      <c r="B726" s="4">
        <v>430.76</v>
      </c>
      <c r="C726" s="4">
        <v>30.75</v>
      </c>
      <c r="D726" s="3">
        <f t="shared" si="22"/>
        <v>1.8983017126674089E-2</v>
      </c>
      <c r="E726" s="3">
        <f t="shared" si="23"/>
        <v>1.8544882004137529E-2</v>
      </c>
    </row>
    <row r="727" spans="1:5" x14ac:dyDescent="0.25">
      <c r="A727" s="1">
        <v>45233</v>
      </c>
      <c r="B727" s="4">
        <v>434.69</v>
      </c>
      <c r="C727" s="4">
        <v>30.93</v>
      </c>
      <c r="D727" s="3">
        <f t="shared" si="22"/>
        <v>9.0820428986312773E-3</v>
      </c>
      <c r="E727" s="3">
        <f t="shared" si="23"/>
        <v>5.8365924444513774E-3</v>
      </c>
    </row>
    <row r="728" spans="1:5" x14ac:dyDescent="0.25">
      <c r="A728" s="1">
        <v>45236</v>
      </c>
      <c r="B728" s="4">
        <v>435.69</v>
      </c>
      <c r="C728" s="4">
        <v>30.85</v>
      </c>
      <c r="D728" s="3">
        <f t="shared" si="22"/>
        <v>2.2978479285109352E-3</v>
      </c>
      <c r="E728" s="3">
        <f t="shared" si="23"/>
        <v>-2.589836345581365E-3</v>
      </c>
    </row>
    <row r="729" spans="1:5" x14ac:dyDescent="0.25">
      <c r="A729" s="1">
        <v>45237</v>
      </c>
      <c r="B729" s="4">
        <v>436.93</v>
      </c>
      <c r="C729" s="4">
        <v>30.625</v>
      </c>
      <c r="D729" s="3">
        <f t="shared" si="22"/>
        <v>2.8420179107287785E-3</v>
      </c>
      <c r="E729" s="3">
        <f t="shared" si="23"/>
        <v>-7.3200814865058469E-3</v>
      </c>
    </row>
    <row r="730" spans="1:5" x14ac:dyDescent="0.25">
      <c r="A730" s="1">
        <v>45238</v>
      </c>
      <c r="B730" s="4">
        <v>437.25</v>
      </c>
      <c r="C730" s="4">
        <v>30.4</v>
      </c>
      <c r="D730" s="3">
        <f t="shared" si="22"/>
        <v>7.321147001603099E-4</v>
      </c>
      <c r="E730" s="3">
        <f t="shared" si="23"/>
        <v>-7.3740604527151319E-3</v>
      </c>
    </row>
    <row r="731" spans="1:5" x14ac:dyDescent="0.25">
      <c r="A731" s="1">
        <v>45239</v>
      </c>
      <c r="B731" s="4">
        <v>433.84</v>
      </c>
      <c r="C731" s="4">
        <v>30</v>
      </c>
      <c r="D731" s="3">
        <f t="shared" si="22"/>
        <v>-7.8293113659063038E-3</v>
      </c>
      <c r="E731" s="3">
        <f t="shared" si="23"/>
        <v>-1.3245226750020567E-2</v>
      </c>
    </row>
    <row r="732" spans="1:5" x14ac:dyDescent="0.25">
      <c r="A732" s="1">
        <v>45240</v>
      </c>
      <c r="B732" s="4">
        <v>440.61</v>
      </c>
      <c r="C732" s="4">
        <v>30.16</v>
      </c>
      <c r="D732" s="3">
        <f t="shared" si="22"/>
        <v>1.5484327901075597E-2</v>
      </c>
      <c r="E732" s="3">
        <f t="shared" si="23"/>
        <v>5.3191614776000266E-3</v>
      </c>
    </row>
    <row r="733" spans="1:5" x14ac:dyDescent="0.25">
      <c r="A733" s="1">
        <v>45243</v>
      </c>
      <c r="B733" s="4">
        <v>440.19</v>
      </c>
      <c r="C733" s="4">
        <v>29.8</v>
      </c>
      <c r="D733" s="3">
        <f t="shared" si="22"/>
        <v>-9.536785463956244E-4</v>
      </c>
      <c r="E733" s="3">
        <f t="shared" si="23"/>
        <v>-1.2008149628396496E-2</v>
      </c>
    </row>
    <row r="734" spans="1:5" x14ac:dyDescent="0.25">
      <c r="A734" s="1">
        <v>45244</v>
      </c>
      <c r="B734" s="4">
        <v>448.73</v>
      </c>
      <c r="C734" s="4">
        <v>30.99</v>
      </c>
      <c r="D734" s="3">
        <f t="shared" si="22"/>
        <v>1.9214918676684432E-2</v>
      </c>
      <c r="E734" s="3">
        <f t="shared" si="23"/>
        <v>3.9156178288298003E-2</v>
      </c>
    </row>
    <row r="735" spans="1:5" x14ac:dyDescent="0.25">
      <c r="A735" s="1">
        <v>45245</v>
      </c>
      <c r="B735" s="4">
        <v>449.68</v>
      </c>
      <c r="C735" s="4">
        <v>30.895</v>
      </c>
      <c r="D735" s="3">
        <f t="shared" si="22"/>
        <v>2.1148481296500133E-3</v>
      </c>
      <c r="E735" s="3">
        <f t="shared" si="23"/>
        <v>-3.070213286713972E-3</v>
      </c>
    </row>
    <row r="736" spans="1:5" x14ac:dyDescent="0.25">
      <c r="A736" s="1">
        <v>45246</v>
      </c>
      <c r="B736" s="4">
        <v>450.23</v>
      </c>
      <c r="C736" s="4">
        <v>31.06</v>
      </c>
      <c r="D736" s="3">
        <f t="shared" si="22"/>
        <v>1.2223446088626049E-3</v>
      </c>
      <c r="E736" s="3">
        <f t="shared" si="23"/>
        <v>5.3264592075982055E-3</v>
      </c>
    </row>
    <row r="737" spans="1:5" x14ac:dyDescent="0.25">
      <c r="A737" s="1">
        <v>45247</v>
      </c>
      <c r="B737" s="4">
        <v>450.79</v>
      </c>
      <c r="C737" s="4">
        <v>31.145</v>
      </c>
      <c r="D737" s="3">
        <f t="shared" si="22"/>
        <v>1.2430358307394418E-3</v>
      </c>
      <c r="E737" s="3">
        <f t="shared" si="23"/>
        <v>2.7329009855677731E-3</v>
      </c>
    </row>
    <row r="738" spans="1:5" x14ac:dyDescent="0.25">
      <c r="A738" s="1">
        <v>45250</v>
      </c>
      <c r="B738" s="4">
        <v>454.26</v>
      </c>
      <c r="C738" s="4">
        <v>31.05</v>
      </c>
      <c r="D738" s="3">
        <f t="shared" si="22"/>
        <v>7.668122209848631E-3</v>
      </c>
      <c r="E738" s="3">
        <f t="shared" si="23"/>
        <v>-3.0549103266209912E-3</v>
      </c>
    </row>
    <row r="739" spans="1:5" x14ac:dyDescent="0.25">
      <c r="A739" s="1">
        <v>45251</v>
      </c>
      <c r="B739" s="4">
        <v>453.27</v>
      </c>
      <c r="C739" s="4">
        <v>31.114999999999998</v>
      </c>
      <c r="D739" s="3">
        <f t="shared" si="22"/>
        <v>-2.181746923410964E-3</v>
      </c>
      <c r="E739" s="3">
        <f t="shared" si="23"/>
        <v>2.0912096416932664E-3</v>
      </c>
    </row>
    <row r="740" spans="1:5" x14ac:dyDescent="0.25">
      <c r="A740" s="1">
        <v>45252</v>
      </c>
      <c r="B740" s="4">
        <v>455.02</v>
      </c>
      <c r="C740" s="4">
        <v>31.265000000000001</v>
      </c>
      <c r="D740" s="3">
        <f t="shared" si="22"/>
        <v>3.8533996090087063E-3</v>
      </c>
      <c r="E740" s="3">
        <f t="shared" si="23"/>
        <v>4.8092429980800475E-3</v>
      </c>
    </row>
    <row r="741" spans="1:5" x14ac:dyDescent="0.25">
      <c r="A741" s="1">
        <v>45254</v>
      </c>
      <c r="B741" s="4">
        <v>455.3</v>
      </c>
      <c r="C741" s="4">
        <v>31.344999999999999</v>
      </c>
      <c r="D741" s="3">
        <f t="shared" si="22"/>
        <v>6.1516831186867024E-4</v>
      </c>
      <c r="E741" s="3">
        <f t="shared" si="23"/>
        <v>2.555503706670586E-3</v>
      </c>
    </row>
    <row r="742" spans="1:5" x14ac:dyDescent="0.25">
      <c r="A742" s="1">
        <v>45257</v>
      </c>
      <c r="B742" s="4">
        <v>454.48</v>
      </c>
      <c r="C742" s="4">
        <v>31.395</v>
      </c>
      <c r="D742" s="3">
        <f t="shared" si="22"/>
        <v>-1.8026340918649685E-3</v>
      </c>
      <c r="E742" s="3">
        <f t="shared" si="23"/>
        <v>1.5938798401409083E-3</v>
      </c>
    </row>
    <row r="743" spans="1:5" x14ac:dyDescent="0.25">
      <c r="A743" s="1">
        <v>45258</v>
      </c>
      <c r="B743" s="4">
        <v>454.93</v>
      </c>
      <c r="C743" s="4">
        <v>31.495000000000001</v>
      </c>
      <c r="D743" s="3">
        <f t="shared" si="22"/>
        <v>9.8965271269942502E-4</v>
      </c>
      <c r="E743" s="3">
        <f t="shared" si="23"/>
        <v>3.180158507819701E-3</v>
      </c>
    </row>
    <row r="744" spans="1:5" x14ac:dyDescent="0.25">
      <c r="A744" s="1">
        <v>45259</v>
      </c>
      <c r="B744" s="4">
        <v>454.61</v>
      </c>
      <c r="C744" s="4">
        <v>31.245000000000001</v>
      </c>
      <c r="D744" s="3">
        <f t="shared" si="22"/>
        <v>-7.0365242474955305E-4</v>
      </c>
      <c r="E744" s="3">
        <f t="shared" si="23"/>
        <v>-7.9694396928473143E-3</v>
      </c>
    </row>
    <row r="745" spans="1:5" x14ac:dyDescent="0.25">
      <c r="A745" s="1">
        <v>45260</v>
      </c>
      <c r="B745" s="4">
        <v>456.4</v>
      </c>
      <c r="C745" s="4">
        <v>31.38</v>
      </c>
      <c r="D745" s="3">
        <f t="shared" si="22"/>
        <v>3.9297094510993445E-3</v>
      </c>
      <c r="E745" s="3">
        <f t="shared" si="23"/>
        <v>4.3113839238413543E-3</v>
      </c>
    </row>
    <row r="746" spans="1:5" x14ac:dyDescent="0.25">
      <c r="A746" s="1">
        <v>45261</v>
      </c>
      <c r="B746" s="4">
        <v>459.1</v>
      </c>
      <c r="C746" s="4">
        <v>31.765000000000001</v>
      </c>
      <c r="D746" s="3">
        <f t="shared" si="22"/>
        <v>5.8984332672559923E-3</v>
      </c>
      <c r="E746" s="3">
        <f t="shared" si="23"/>
        <v>1.2194307413610148E-2</v>
      </c>
    </row>
    <row r="747" spans="1:5" x14ac:dyDescent="0.25">
      <c r="A747" s="1">
        <v>45264</v>
      </c>
      <c r="B747" s="4">
        <v>456.69</v>
      </c>
      <c r="C747" s="4">
        <v>31.64</v>
      </c>
      <c r="D747" s="3">
        <f t="shared" si="22"/>
        <v>-5.2632275159039685E-3</v>
      </c>
      <c r="E747" s="3">
        <f t="shared" si="23"/>
        <v>-3.9429118190434107E-3</v>
      </c>
    </row>
    <row r="748" spans="1:5" x14ac:dyDescent="0.25">
      <c r="A748" s="1">
        <v>45265</v>
      </c>
      <c r="B748" s="4">
        <v>456.6</v>
      </c>
      <c r="C748" s="4">
        <v>31.414999999999999</v>
      </c>
      <c r="D748" s="3">
        <f t="shared" si="22"/>
        <v>-1.9708964357722928E-4</v>
      </c>
      <c r="E748" s="3">
        <f t="shared" si="23"/>
        <v>-7.1366570445427976E-3</v>
      </c>
    </row>
    <row r="749" spans="1:5" x14ac:dyDescent="0.25">
      <c r="A749" s="1">
        <v>45266</v>
      </c>
      <c r="B749" s="4">
        <v>454.76</v>
      </c>
      <c r="C749" s="4">
        <v>31.835000000000001</v>
      </c>
      <c r="D749" s="3">
        <f t="shared" si="22"/>
        <v>-4.0379268347894024E-3</v>
      </c>
      <c r="E749" s="3">
        <f t="shared" si="23"/>
        <v>1.3280827614078354E-2</v>
      </c>
    </row>
    <row r="750" spans="1:5" x14ac:dyDescent="0.25">
      <c r="A750" s="1">
        <v>45267</v>
      </c>
      <c r="B750" s="4">
        <v>458.23</v>
      </c>
      <c r="C750" s="4">
        <v>31.765000000000001</v>
      </c>
      <c r="D750" s="3">
        <f t="shared" si="22"/>
        <v>7.6014342075051101E-3</v>
      </c>
      <c r="E750" s="3">
        <f t="shared" si="23"/>
        <v>-2.2012587504921404E-3</v>
      </c>
    </row>
    <row r="751" spans="1:5" x14ac:dyDescent="0.25">
      <c r="A751" s="1">
        <v>45268</v>
      </c>
      <c r="B751" s="4">
        <v>460.2</v>
      </c>
      <c r="C751" s="4">
        <v>31.704999999999998</v>
      </c>
      <c r="D751" s="3">
        <f t="shared" si="22"/>
        <v>4.2899361328545904E-3</v>
      </c>
      <c r="E751" s="3">
        <f t="shared" si="23"/>
        <v>-1.8906575665017518E-3</v>
      </c>
    </row>
    <row r="752" spans="1:5" x14ac:dyDescent="0.25">
      <c r="A752" s="1">
        <v>45271</v>
      </c>
      <c r="B752" s="4">
        <v>461.99</v>
      </c>
      <c r="C752" s="4">
        <v>31.91</v>
      </c>
      <c r="D752" s="3">
        <f t="shared" si="22"/>
        <v>3.8820682245714012E-3</v>
      </c>
      <c r="E752" s="3">
        <f t="shared" si="23"/>
        <v>6.4450431381571621E-3</v>
      </c>
    </row>
    <row r="753" spans="1:5" x14ac:dyDescent="0.25">
      <c r="A753" s="1">
        <v>45272</v>
      </c>
      <c r="B753" s="4">
        <v>464.1</v>
      </c>
      <c r="C753" s="4">
        <v>31.78</v>
      </c>
      <c r="D753" s="3">
        <f t="shared" si="22"/>
        <v>4.5568004212932301E-3</v>
      </c>
      <c r="E753" s="3">
        <f t="shared" si="23"/>
        <v>-4.0822791815821914E-3</v>
      </c>
    </row>
    <row r="754" spans="1:5" x14ac:dyDescent="0.25">
      <c r="A754" s="1">
        <v>45273</v>
      </c>
      <c r="B754" s="4">
        <v>470.5</v>
      </c>
      <c r="C754" s="4">
        <v>32.979999999999997</v>
      </c>
      <c r="D754" s="3">
        <f t="shared" si="22"/>
        <v>1.3695912778304148E-2</v>
      </c>
      <c r="E754" s="3">
        <f t="shared" si="23"/>
        <v>3.7064156022882835E-2</v>
      </c>
    </row>
    <row r="755" spans="1:5" x14ac:dyDescent="0.25">
      <c r="A755" s="1">
        <v>45274</v>
      </c>
      <c r="B755" s="4">
        <v>472.01</v>
      </c>
      <c r="C755" s="4">
        <v>32.549999999999997</v>
      </c>
      <c r="D755" s="3">
        <f t="shared" si="22"/>
        <v>3.2042127763694979E-3</v>
      </c>
      <c r="E755" s="3">
        <f t="shared" si="23"/>
        <v>-1.3123948476874548E-2</v>
      </c>
    </row>
    <row r="756" spans="1:5" x14ac:dyDescent="0.25">
      <c r="A756" s="1">
        <v>45275</v>
      </c>
      <c r="B756" s="4">
        <v>469.33</v>
      </c>
      <c r="C756" s="4">
        <v>31.984999999999999</v>
      </c>
      <c r="D756" s="3">
        <f t="shared" si="22"/>
        <v>-5.6940260498743863E-3</v>
      </c>
      <c r="E756" s="3">
        <f t="shared" si="23"/>
        <v>-1.7510325752477199E-2</v>
      </c>
    </row>
    <row r="757" spans="1:5" x14ac:dyDescent="0.25">
      <c r="A757" s="1">
        <v>45278</v>
      </c>
      <c r="B757" s="4">
        <v>471.97</v>
      </c>
      <c r="C757" s="4">
        <v>31.614999999999998</v>
      </c>
      <c r="D757" s="3">
        <f t="shared" si="22"/>
        <v>5.6092784916128161E-3</v>
      </c>
      <c r="E757" s="3">
        <f t="shared" si="23"/>
        <v>-1.1635351391524483E-2</v>
      </c>
    </row>
    <row r="758" spans="1:5" x14ac:dyDescent="0.25">
      <c r="A758" s="1">
        <v>45279</v>
      </c>
      <c r="B758" s="4">
        <v>474.84</v>
      </c>
      <c r="C758" s="4">
        <v>31.795000000000002</v>
      </c>
      <c r="D758" s="3">
        <f t="shared" si="22"/>
        <v>6.0624809417910335E-3</v>
      </c>
      <c r="E758" s="3">
        <f t="shared" si="23"/>
        <v>5.6773532087946834E-3</v>
      </c>
    </row>
    <row r="759" spans="1:5" x14ac:dyDescent="0.25">
      <c r="A759" s="1">
        <v>45280</v>
      </c>
      <c r="B759" s="4">
        <v>468.26</v>
      </c>
      <c r="C759" s="4">
        <v>31.15</v>
      </c>
      <c r="D759" s="3">
        <f t="shared" si="22"/>
        <v>-1.3954207975986498E-2</v>
      </c>
      <c r="E759" s="3">
        <f t="shared" si="23"/>
        <v>-2.0494799485909064E-2</v>
      </c>
    </row>
    <row r="760" spans="1:5" x14ac:dyDescent="0.25">
      <c r="A760" s="1">
        <v>45281</v>
      </c>
      <c r="B760" s="4">
        <v>472.7</v>
      </c>
      <c r="C760" s="4">
        <v>31.204999999999998</v>
      </c>
      <c r="D760" s="3">
        <f t="shared" si="22"/>
        <v>9.4372405898439475E-3</v>
      </c>
      <c r="E760" s="3">
        <f t="shared" si="23"/>
        <v>1.7640931525440924E-3</v>
      </c>
    </row>
    <row r="761" spans="1:5" x14ac:dyDescent="0.25">
      <c r="A761" s="1">
        <v>45282</v>
      </c>
      <c r="B761" s="4">
        <v>473.65</v>
      </c>
      <c r="C761" s="4">
        <v>31.31</v>
      </c>
      <c r="D761" s="3">
        <f t="shared" si="22"/>
        <v>2.0077145223528553E-3</v>
      </c>
      <c r="E761" s="3">
        <f t="shared" si="23"/>
        <v>3.3591969523080272E-3</v>
      </c>
    </row>
    <row r="762" spans="1:5" x14ac:dyDescent="0.25">
      <c r="A762" s="1">
        <v>45286</v>
      </c>
      <c r="B762" s="4">
        <v>475.65</v>
      </c>
      <c r="C762" s="4">
        <v>31.5</v>
      </c>
      <c r="D762" s="3">
        <f t="shared" si="22"/>
        <v>4.2136373309225013E-3</v>
      </c>
      <c r="E762" s="3">
        <f t="shared" si="23"/>
        <v>6.0500104932731408E-3</v>
      </c>
    </row>
    <row r="763" spans="1:5" x14ac:dyDescent="0.25">
      <c r="A763" s="1">
        <v>45287</v>
      </c>
      <c r="B763" s="4">
        <v>476.51</v>
      </c>
      <c r="C763" s="4">
        <v>31.48</v>
      </c>
      <c r="D763" s="3">
        <f t="shared" si="22"/>
        <v>1.806419580446897E-3</v>
      </c>
      <c r="E763" s="3">
        <f t="shared" si="23"/>
        <v>-6.3512228238492047E-4</v>
      </c>
    </row>
    <row r="764" spans="1:5" x14ac:dyDescent="0.25">
      <c r="A764" s="1">
        <v>45288</v>
      </c>
      <c r="B764" s="4">
        <v>476.69</v>
      </c>
      <c r="C764" s="4">
        <v>31.704999999999998</v>
      </c>
      <c r="D764" s="3">
        <f t="shared" si="22"/>
        <v>3.7767520381774963E-4</v>
      </c>
      <c r="E764" s="3">
        <f t="shared" si="23"/>
        <v>7.1219736027924889E-3</v>
      </c>
    </row>
    <row r="765" spans="1:5" x14ac:dyDescent="0.25">
      <c r="A765" s="1">
        <v>45289</v>
      </c>
      <c r="B765" s="4">
        <v>475.31</v>
      </c>
      <c r="C765" s="4">
        <v>31.664999999999999</v>
      </c>
      <c r="D765" s="3">
        <f t="shared" si="22"/>
        <v>-2.8991616945184652E-3</v>
      </c>
      <c r="E765" s="3">
        <f t="shared" si="23"/>
        <v>-1.2624271836013082E-3</v>
      </c>
    </row>
    <row r="766" spans="1:5" x14ac:dyDescent="0.25">
      <c r="A766" s="1">
        <v>45293</v>
      </c>
      <c r="B766" s="4">
        <v>472.65</v>
      </c>
      <c r="C766" s="4">
        <v>32.125</v>
      </c>
      <c r="D766" s="3">
        <f t="shared" si="22"/>
        <v>-5.6120658708190586E-3</v>
      </c>
      <c r="E766" s="3">
        <f t="shared" si="23"/>
        <v>1.4422573246990212E-2</v>
      </c>
    </row>
    <row r="767" spans="1:5" x14ac:dyDescent="0.25">
      <c r="A767" s="1">
        <v>45294</v>
      </c>
      <c r="B767" s="4">
        <v>468.79</v>
      </c>
      <c r="C767" s="4">
        <v>32.244999999999997</v>
      </c>
      <c r="D767" s="3">
        <f t="shared" si="22"/>
        <v>-8.2002498941210911E-3</v>
      </c>
      <c r="E767" s="3">
        <f t="shared" si="23"/>
        <v>3.7284492469567311E-3</v>
      </c>
    </row>
    <row r="768" spans="1:5" x14ac:dyDescent="0.25">
      <c r="A768" s="1">
        <v>45295</v>
      </c>
      <c r="B768" s="4">
        <v>467.28</v>
      </c>
      <c r="C768" s="4">
        <v>32.145000000000003</v>
      </c>
      <c r="D768" s="3">
        <f t="shared" si="22"/>
        <v>-3.2262572452182881E-3</v>
      </c>
      <c r="E768" s="3">
        <f t="shared" si="23"/>
        <v>-3.1060748686905378E-3</v>
      </c>
    </row>
    <row r="769" spans="1:5" x14ac:dyDescent="0.25">
      <c r="A769" s="1">
        <v>45296</v>
      </c>
      <c r="B769" s="4">
        <v>467.92</v>
      </c>
      <c r="C769" s="4">
        <v>32.265000000000001</v>
      </c>
      <c r="D769" s="3">
        <f t="shared" si="22"/>
        <v>1.3686914027165624E-3</v>
      </c>
      <c r="E769" s="3">
        <f t="shared" si="23"/>
        <v>3.7261337941530302E-3</v>
      </c>
    </row>
    <row r="770" spans="1:5" x14ac:dyDescent="0.25">
      <c r="A770" s="1">
        <v>45299</v>
      </c>
      <c r="B770" s="4">
        <v>474.6</v>
      </c>
      <c r="C770" s="4">
        <v>32.5</v>
      </c>
      <c r="D770" s="3">
        <f t="shared" si="22"/>
        <v>1.4175002866892829E-2</v>
      </c>
      <c r="E770" s="3">
        <f t="shared" si="23"/>
        <v>7.2570379478887502E-3</v>
      </c>
    </row>
    <row r="771" spans="1:5" x14ac:dyDescent="0.25">
      <c r="A771" s="1">
        <v>45300</v>
      </c>
      <c r="B771" s="4">
        <v>473.88</v>
      </c>
      <c r="C771" s="4">
        <v>32.234999999999999</v>
      </c>
      <c r="D771" s="3">
        <f t="shared" si="22"/>
        <v>-1.5182189151048907E-3</v>
      </c>
      <c r="E771" s="3">
        <f t="shared" si="23"/>
        <v>-8.1872705731083524E-3</v>
      </c>
    </row>
    <row r="772" spans="1:5" x14ac:dyDescent="0.25">
      <c r="A772" s="1">
        <v>45301</v>
      </c>
      <c r="B772" s="4">
        <v>476.56</v>
      </c>
      <c r="C772" s="4">
        <v>32.229999999999997</v>
      </c>
      <c r="D772" s="3">
        <f t="shared" ref="D772:D835" si="24">LN(B772/B771)</f>
        <v>5.6395082338736701E-3</v>
      </c>
      <c r="E772" s="3">
        <f t="shared" ref="E772:E835" si="25">LN(C772/C771)</f>
        <v>-1.5512293523707008E-4</v>
      </c>
    </row>
    <row r="773" spans="1:5" x14ac:dyDescent="0.25">
      <c r="A773" s="1">
        <v>45302</v>
      </c>
      <c r="B773" s="4">
        <v>476.35</v>
      </c>
      <c r="C773" s="4">
        <v>31.48</v>
      </c>
      <c r="D773" s="3">
        <f t="shared" si="24"/>
        <v>-4.4075516764358595E-4</v>
      </c>
      <c r="E773" s="3">
        <f t="shared" si="25"/>
        <v>-2.3545272278143851E-2</v>
      </c>
    </row>
    <row r="774" spans="1:5" x14ac:dyDescent="0.25">
      <c r="A774" s="1">
        <v>45303</v>
      </c>
      <c r="B774" s="4">
        <v>476.68</v>
      </c>
      <c r="C774" s="4">
        <v>31.66</v>
      </c>
      <c r="D774" s="3">
        <f t="shared" si="24"/>
        <v>6.9252806981690972E-4</v>
      </c>
      <c r="E774" s="3">
        <f t="shared" si="25"/>
        <v>5.7016309036636743E-3</v>
      </c>
    </row>
    <row r="775" spans="1:5" x14ac:dyDescent="0.25">
      <c r="A775" s="1">
        <v>45307</v>
      </c>
      <c r="B775" s="4">
        <v>474.93</v>
      </c>
      <c r="C775" s="4">
        <v>31.315000000000001</v>
      </c>
      <c r="D775" s="3">
        <f t="shared" si="24"/>
        <v>-3.6779814688094967E-3</v>
      </c>
      <c r="E775" s="3">
        <f t="shared" si="25"/>
        <v>-1.0956838475489828E-2</v>
      </c>
    </row>
    <row r="776" spans="1:5" x14ac:dyDescent="0.25">
      <c r="A776" s="1">
        <v>45308</v>
      </c>
      <c r="B776" s="4">
        <v>472.29</v>
      </c>
      <c r="C776" s="4">
        <v>30.86</v>
      </c>
      <c r="D776" s="3">
        <f t="shared" si="24"/>
        <v>-5.5742210591485392E-3</v>
      </c>
      <c r="E776" s="3">
        <f t="shared" si="25"/>
        <v>-1.4636369042361506E-2</v>
      </c>
    </row>
    <row r="777" spans="1:5" x14ac:dyDescent="0.25">
      <c r="A777" s="1">
        <v>45309</v>
      </c>
      <c r="B777" s="4">
        <v>476.49</v>
      </c>
      <c r="C777" s="4">
        <v>30.53</v>
      </c>
      <c r="D777" s="3">
        <f t="shared" si="24"/>
        <v>8.8535328205259223E-3</v>
      </c>
      <c r="E777" s="3">
        <f t="shared" si="25"/>
        <v>-1.0751040188228249E-2</v>
      </c>
    </row>
    <row r="778" spans="1:5" x14ac:dyDescent="0.25">
      <c r="A778" s="1">
        <v>45310</v>
      </c>
      <c r="B778" s="4">
        <v>482.43</v>
      </c>
      <c r="C778" s="4">
        <v>30.49</v>
      </c>
      <c r="D778" s="3">
        <f t="shared" si="24"/>
        <v>1.2389096018869524E-2</v>
      </c>
      <c r="E778" s="3">
        <f t="shared" si="25"/>
        <v>-1.3110457466231832E-3</v>
      </c>
    </row>
    <row r="779" spans="1:5" x14ac:dyDescent="0.25">
      <c r="A779" s="1">
        <v>45313</v>
      </c>
      <c r="B779" s="4">
        <v>483.45</v>
      </c>
      <c r="C779" s="4">
        <v>30.335000000000001</v>
      </c>
      <c r="D779" s="3">
        <f t="shared" si="24"/>
        <v>2.1120643955134947E-3</v>
      </c>
      <c r="E779" s="3">
        <f t="shared" si="25"/>
        <v>-5.0965996059021213E-3</v>
      </c>
    </row>
    <row r="780" spans="1:5" x14ac:dyDescent="0.25">
      <c r="A780" s="1">
        <v>45314</v>
      </c>
      <c r="B780" s="4">
        <v>484.86</v>
      </c>
      <c r="C780" s="4">
        <v>30.39</v>
      </c>
      <c r="D780" s="3">
        <f t="shared" si="24"/>
        <v>2.9122925438548578E-3</v>
      </c>
      <c r="E780" s="3">
        <f t="shared" si="25"/>
        <v>1.8114455344404878E-3</v>
      </c>
    </row>
    <row r="781" spans="1:5" x14ac:dyDescent="0.25">
      <c r="A781" s="1">
        <v>45315</v>
      </c>
      <c r="B781" s="4">
        <v>485.39</v>
      </c>
      <c r="C781" s="4">
        <v>29.975000000000001</v>
      </c>
      <c r="D781" s="3">
        <f t="shared" si="24"/>
        <v>1.0925020411555063E-3</v>
      </c>
      <c r="E781" s="3">
        <f t="shared" si="25"/>
        <v>-1.3749906015123771E-2</v>
      </c>
    </row>
    <row r="782" spans="1:5" x14ac:dyDescent="0.25">
      <c r="A782" s="1">
        <v>45316</v>
      </c>
      <c r="B782" s="4">
        <v>488.03</v>
      </c>
      <c r="C782" s="4">
        <v>30.515000000000001</v>
      </c>
      <c r="D782" s="3">
        <f t="shared" si="24"/>
        <v>5.4241878588808141E-3</v>
      </c>
      <c r="E782" s="3">
        <f t="shared" si="25"/>
        <v>1.7854665082880236E-2</v>
      </c>
    </row>
    <row r="783" spans="1:5" x14ac:dyDescent="0.25">
      <c r="A783" s="1">
        <v>45317</v>
      </c>
      <c r="B783" s="4">
        <v>487.41</v>
      </c>
      <c r="C783" s="4">
        <v>30.605</v>
      </c>
      <c r="D783" s="3">
        <f t="shared" si="24"/>
        <v>-1.2712213636788723E-3</v>
      </c>
      <c r="E783" s="3">
        <f t="shared" si="25"/>
        <v>2.9450283065749596E-3</v>
      </c>
    </row>
    <row r="784" spans="1:5" x14ac:dyDescent="0.25">
      <c r="A784" s="1">
        <v>45320</v>
      </c>
      <c r="B784" s="4">
        <v>491.27</v>
      </c>
      <c r="C784" s="4">
        <v>30.8</v>
      </c>
      <c r="D784" s="3">
        <f t="shared" si="24"/>
        <v>7.8882168131655123E-3</v>
      </c>
      <c r="E784" s="3">
        <f t="shared" si="25"/>
        <v>6.3512956764957343E-3</v>
      </c>
    </row>
    <row r="785" spans="1:5" x14ac:dyDescent="0.25">
      <c r="A785" s="1">
        <v>45321</v>
      </c>
      <c r="B785" s="4">
        <v>490.89</v>
      </c>
      <c r="C785" s="4">
        <v>30.79</v>
      </c>
      <c r="D785" s="3">
        <f t="shared" si="24"/>
        <v>-7.7380471402049757E-4</v>
      </c>
      <c r="E785" s="3">
        <f t="shared" si="25"/>
        <v>-3.2472804311984823E-4</v>
      </c>
    </row>
    <row r="786" spans="1:5" x14ac:dyDescent="0.25">
      <c r="A786" s="1">
        <v>45322</v>
      </c>
      <c r="B786" s="4">
        <v>482.88</v>
      </c>
      <c r="C786" s="4">
        <v>30.725000000000001</v>
      </c>
      <c r="D786" s="3">
        <f t="shared" si="24"/>
        <v>-1.6451894529429734E-2</v>
      </c>
      <c r="E786" s="3">
        <f t="shared" si="25"/>
        <v>-2.1133064843104066E-3</v>
      </c>
    </row>
    <row r="787" spans="1:5" x14ac:dyDescent="0.25">
      <c r="A787" s="1">
        <v>45323</v>
      </c>
      <c r="B787" s="4">
        <v>489.2</v>
      </c>
      <c r="C787" s="4">
        <v>31.31</v>
      </c>
      <c r="D787" s="3">
        <f t="shared" si="24"/>
        <v>1.3003228233533132E-2</v>
      </c>
      <c r="E787" s="3">
        <f t="shared" si="25"/>
        <v>1.886087988621582E-2</v>
      </c>
    </row>
    <row r="788" spans="1:5" x14ac:dyDescent="0.25">
      <c r="A788" s="1">
        <v>45324</v>
      </c>
      <c r="B788" s="4">
        <v>494.35</v>
      </c>
      <c r="C788" s="4">
        <v>30.745000000000001</v>
      </c>
      <c r="D788" s="3">
        <f t="shared" si="24"/>
        <v>1.0472364530124796E-2</v>
      </c>
      <c r="E788" s="3">
        <f t="shared" si="25"/>
        <v>-1.8210155932881247E-2</v>
      </c>
    </row>
    <row r="789" spans="1:5" x14ac:dyDescent="0.25">
      <c r="A789" s="1">
        <v>45327</v>
      </c>
      <c r="B789" s="4">
        <v>492.55</v>
      </c>
      <c r="C789" s="4">
        <v>30.105</v>
      </c>
      <c r="D789" s="3">
        <f t="shared" si="24"/>
        <v>-3.647790041453811E-3</v>
      </c>
      <c r="E789" s="3">
        <f t="shared" si="25"/>
        <v>-2.1036108489021876E-2</v>
      </c>
    </row>
    <row r="790" spans="1:5" x14ac:dyDescent="0.25">
      <c r="A790" s="1">
        <v>45328</v>
      </c>
      <c r="B790" s="4">
        <v>493.98</v>
      </c>
      <c r="C790" s="4">
        <v>30.215</v>
      </c>
      <c r="D790" s="3">
        <f t="shared" si="24"/>
        <v>2.8990522367016284E-3</v>
      </c>
      <c r="E790" s="3">
        <f t="shared" si="25"/>
        <v>3.647218897110659E-3</v>
      </c>
    </row>
    <row r="791" spans="1:5" x14ac:dyDescent="0.25">
      <c r="A791" s="1">
        <v>45329</v>
      </c>
      <c r="B791" s="4">
        <v>498.1</v>
      </c>
      <c r="C791" s="4">
        <v>30.234999999999999</v>
      </c>
      <c r="D791" s="3">
        <f t="shared" si="24"/>
        <v>8.3058295408480389E-3</v>
      </c>
      <c r="E791" s="3">
        <f t="shared" si="25"/>
        <v>6.6170391165446939E-4</v>
      </c>
    </row>
    <row r="792" spans="1:5" x14ac:dyDescent="0.25">
      <c r="A792" s="1">
        <v>45330</v>
      </c>
      <c r="B792" s="4">
        <v>498.32</v>
      </c>
      <c r="C792" s="4">
        <v>30.02</v>
      </c>
      <c r="D792" s="3">
        <f t="shared" si="24"/>
        <v>4.4158086665242621E-4</v>
      </c>
      <c r="E792" s="3">
        <f t="shared" si="25"/>
        <v>-7.1363675198603139E-3</v>
      </c>
    </row>
    <row r="793" spans="1:5" x14ac:dyDescent="0.25">
      <c r="A793" s="1">
        <v>45331</v>
      </c>
      <c r="B793" s="4">
        <v>501.2</v>
      </c>
      <c r="C793" s="4">
        <v>30.135000000000002</v>
      </c>
      <c r="D793" s="3">
        <f t="shared" si="24"/>
        <v>5.7627820760231549E-3</v>
      </c>
      <c r="E793" s="3">
        <f t="shared" si="25"/>
        <v>3.8234607296915878E-3</v>
      </c>
    </row>
    <row r="794" spans="1:5" x14ac:dyDescent="0.25">
      <c r="A794" s="1">
        <v>45334</v>
      </c>
      <c r="B794" s="4">
        <v>500.98</v>
      </c>
      <c r="C794" s="4">
        <v>30.484999999999999</v>
      </c>
      <c r="D794" s="3">
        <f t="shared" si="24"/>
        <v>-4.3904289355983881E-4</v>
      </c>
      <c r="E794" s="3">
        <f t="shared" si="25"/>
        <v>1.1547472424771901E-2</v>
      </c>
    </row>
    <row r="795" spans="1:5" x14ac:dyDescent="0.25">
      <c r="A795" s="1">
        <v>45335</v>
      </c>
      <c r="B795" s="4">
        <v>494.08</v>
      </c>
      <c r="C795" s="4">
        <v>29.98</v>
      </c>
      <c r="D795" s="3">
        <f t="shared" si="24"/>
        <v>-1.3868732731996753E-2</v>
      </c>
      <c r="E795" s="3">
        <f t="shared" si="25"/>
        <v>-1.6704266685327724E-2</v>
      </c>
    </row>
    <row r="796" spans="1:5" x14ac:dyDescent="0.25">
      <c r="A796" s="1">
        <v>45336</v>
      </c>
      <c r="B796" s="4">
        <v>498.57</v>
      </c>
      <c r="C796" s="4">
        <v>30.145</v>
      </c>
      <c r="D796" s="3">
        <f t="shared" si="24"/>
        <v>9.0465534111849426E-3</v>
      </c>
      <c r="E796" s="3">
        <f t="shared" si="25"/>
        <v>5.4885792669171094E-3</v>
      </c>
    </row>
    <row r="797" spans="1:5" x14ac:dyDescent="0.25">
      <c r="A797" s="1">
        <v>45337</v>
      </c>
      <c r="B797" s="4">
        <v>502.01</v>
      </c>
      <c r="C797" s="4">
        <v>30.65</v>
      </c>
      <c r="D797" s="3">
        <f t="shared" si="24"/>
        <v>6.8760390045057599E-3</v>
      </c>
      <c r="E797" s="3">
        <f t="shared" si="25"/>
        <v>1.6613590440851565E-2</v>
      </c>
    </row>
    <row r="798" spans="1:5" x14ac:dyDescent="0.25">
      <c r="A798" s="1">
        <v>45338</v>
      </c>
      <c r="B798" s="4">
        <v>499.51</v>
      </c>
      <c r="C798" s="4">
        <v>30.614999999999998</v>
      </c>
      <c r="D798" s="3">
        <f t="shared" si="24"/>
        <v>-4.9924219038170294E-3</v>
      </c>
      <c r="E798" s="3">
        <f t="shared" si="25"/>
        <v>-1.1425774523025772E-3</v>
      </c>
    </row>
    <row r="799" spans="1:5" x14ac:dyDescent="0.25">
      <c r="A799" s="1">
        <v>45342</v>
      </c>
      <c r="B799" s="4">
        <v>496.76</v>
      </c>
      <c r="C799" s="4">
        <v>30.594999999999999</v>
      </c>
      <c r="D799" s="3">
        <f t="shared" si="24"/>
        <v>-5.5206058283984441E-3</v>
      </c>
      <c r="E799" s="3">
        <f t="shared" si="25"/>
        <v>-6.5348801541395324E-4</v>
      </c>
    </row>
    <row r="800" spans="1:5" x14ac:dyDescent="0.25">
      <c r="A800" s="1">
        <v>45343</v>
      </c>
      <c r="B800" s="4">
        <v>497.21</v>
      </c>
      <c r="C800" s="4">
        <v>31</v>
      </c>
      <c r="D800" s="3">
        <f t="shared" si="24"/>
        <v>9.0545998520011014E-4</v>
      </c>
      <c r="E800" s="3">
        <f t="shared" si="25"/>
        <v>1.3150607570642502E-2</v>
      </c>
    </row>
    <row r="801" spans="1:5" x14ac:dyDescent="0.25">
      <c r="A801" s="1">
        <v>45344</v>
      </c>
      <c r="B801" s="4">
        <v>507.5</v>
      </c>
      <c r="C801" s="4">
        <v>30.76</v>
      </c>
      <c r="D801" s="3">
        <f t="shared" si="24"/>
        <v>2.0484238850910597E-2</v>
      </c>
      <c r="E801" s="3">
        <f t="shared" si="25"/>
        <v>-7.7720598477029734E-3</v>
      </c>
    </row>
    <row r="802" spans="1:5" x14ac:dyDescent="0.25">
      <c r="A802" s="1">
        <v>45345</v>
      </c>
      <c r="B802" s="4">
        <v>507.85</v>
      </c>
      <c r="C802" s="4">
        <v>30.98</v>
      </c>
      <c r="D802" s="3">
        <f t="shared" si="24"/>
        <v>6.8941746956778429E-4</v>
      </c>
      <c r="E802" s="3">
        <f t="shared" si="25"/>
        <v>7.1266903512793916E-3</v>
      </c>
    </row>
    <row r="803" spans="1:5" x14ac:dyDescent="0.25">
      <c r="A803" s="1">
        <v>45348</v>
      </c>
      <c r="B803" s="4">
        <v>505.99</v>
      </c>
      <c r="C803" s="4">
        <v>30.37</v>
      </c>
      <c r="D803" s="3">
        <f t="shared" si="24"/>
        <v>-3.6692221391820532E-3</v>
      </c>
      <c r="E803" s="3">
        <f t="shared" si="25"/>
        <v>-1.9886555931065211E-2</v>
      </c>
    </row>
    <row r="804" spans="1:5" x14ac:dyDescent="0.25">
      <c r="A804" s="1">
        <v>45349</v>
      </c>
      <c r="B804" s="4">
        <v>506.93</v>
      </c>
      <c r="C804" s="4">
        <v>30.945</v>
      </c>
      <c r="D804" s="3">
        <f t="shared" si="24"/>
        <v>1.8560207515768623E-3</v>
      </c>
      <c r="E804" s="3">
        <f t="shared" si="25"/>
        <v>1.8756156133667368E-2</v>
      </c>
    </row>
    <row r="805" spans="1:5" x14ac:dyDescent="0.25">
      <c r="A805" s="1">
        <v>45350</v>
      </c>
      <c r="B805" s="4">
        <v>506.26</v>
      </c>
      <c r="C805" s="4">
        <v>31.04</v>
      </c>
      <c r="D805" s="3">
        <f t="shared" si="24"/>
        <v>-1.3225556858260906E-3</v>
      </c>
      <c r="E805" s="3">
        <f t="shared" si="25"/>
        <v>3.065260123693079E-3</v>
      </c>
    </row>
    <row r="806" spans="1:5" x14ac:dyDescent="0.25">
      <c r="A806" s="1">
        <v>45351</v>
      </c>
      <c r="B806" s="4">
        <v>508.08</v>
      </c>
      <c r="C806" s="4">
        <v>31.05</v>
      </c>
      <c r="D806" s="3">
        <f t="shared" si="24"/>
        <v>3.5885441826403403E-3</v>
      </c>
      <c r="E806" s="3">
        <f t="shared" si="25"/>
        <v>3.2211306446988024E-4</v>
      </c>
    </row>
    <row r="807" spans="1:5" x14ac:dyDescent="0.25">
      <c r="A807" s="1">
        <v>45352</v>
      </c>
      <c r="B807" s="4">
        <v>512.85</v>
      </c>
      <c r="C807" s="4">
        <v>30.86</v>
      </c>
      <c r="D807" s="3">
        <f t="shared" si="24"/>
        <v>9.3444892587007597E-3</v>
      </c>
      <c r="E807" s="3">
        <f t="shared" si="25"/>
        <v>-6.1379614444730625E-3</v>
      </c>
    </row>
    <row r="808" spans="1:5" x14ac:dyDescent="0.25">
      <c r="A808" s="1">
        <v>45355</v>
      </c>
      <c r="B808" s="4">
        <v>512.29999999999995</v>
      </c>
      <c r="C808" s="4">
        <v>31.38</v>
      </c>
      <c r="D808" s="3">
        <f t="shared" si="24"/>
        <v>-1.0730138082634994E-3</v>
      </c>
      <c r="E808" s="3">
        <f t="shared" si="25"/>
        <v>1.6709900369871657E-2</v>
      </c>
    </row>
    <row r="809" spans="1:5" x14ac:dyDescent="0.25">
      <c r="A809" s="1">
        <v>45356</v>
      </c>
      <c r="B809" s="4">
        <v>507.18</v>
      </c>
      <c r="C809" s="4">
        <v>31.29</v>
      </c>
      <c r="D809" s="3">
        <f t="shared" si="24"/>
        <v>-1.0044420776265255E-2</v>
      </c>
      <c r="E809" s="3">
        <f t="shared" si="25"/>
        <v>-2.8721896240957384E-3</v>
      </c>
    </row>
    <row r="810" spans="1:5" x14ac:dyDescent="0.25">
      <c r="A810" s="1">
        <v>45357</v>
      </c>
      <c r="B810" s="4">
        <v>509.75</v>
      </c>
      <c r="C810" s="4">
        <v>31.59</v>
      </c>
      <c r="D810" s="3">
        <f t="shared" si="24"/>
        <v>5.0544392856732229E-3</v>
      </c>
      <c r="E810" s="3">
        <f t="shared" si="25"/>
        <v>9.5420571332029795E-3</v>
      </c>
    </row>
    <row r="811" spans="1:5" x14ac:dyDescent="0.25">
      <c r="A811" s="1">
        <v>45358</v>
      </c>
      <c r="B811" s="4">
        <v>514.80999999999995</v>
      </c>
      <c r="C811" s="4">
        <v>31.795000000000002</v>
      </c>
      <c r="D811" s="3">
        <f t="shared" si="24"/>
        <v>9.8774910981687253E-3</v>
      </c>
      <c r="E811" s="3">
        <f t="shared" si="25"/>
        <v>6.468429905377316E-3</v>
      </c>
    </row>
    <row r="812" spans="1:5" x14ac:dyDescent="0.25">
      <c r="A812" s="1">
        <v>45359</v>
      </c>
      <c r="B812" s="4">
        <v>511.72</v>
      </c>
      <c r="C812" s="4">
        <v>31.875</v>
      </c>
      <c r="D812" s="3">
        <f t="shared" si="24"/>
        <v>-6.0203001038989859E-3</v>
      </c>
      <c r="E812" s="3">
        <f t="shared" si="25"/>
        <v>2.5129587592191208E-3</v>
      </c>
    </row>
    <row r="813" spans="1:5" x14ac:dyDescent="0.25">
      <c r="A813" s="1">
        <v>45362</v>
      </c>
      <c r="B813" s="4">
        <v>511.28</v>
      </c>
      <c r="C813" s="4">
        <v>32.034999999999997</v>
      </c>
      <c r="D813" s="3">
        <f t="shared" si="24"/>
        <v>-8.6021510680799214E-4</v>
      </c>
      <c r="E813" s="3">
        <f t="shared" si="25"/>
        <v>5.0070516123944565E-3</v>
      </c>
    </row>
    <row r="814" spans="1:5" x14ac:dyDescent="0.25">
      <c r="A814" s="1">
        <v>45363</v>
      </c>
      <c r="B814" s="4">
        <v>516.78</v>
      </c>
      <c r="C814" s="4">
        <v>31.725000000000001</v>
      </c>
      <c r="D814" s="3">
        <f t="shared" si="24"/>
        <v>1.0699866687110921E-2</v>
      </c>
      <c r="E814" s="3">
        <f t="shared" si="25"/>
        <v>-9.7240414905333788E-3</v>
      </c>
    </row>
    <row r="815" spans="1:5" x14ac:dyDescent="0.25">
      <c r="A815" s="1">
        <v>45364</v>
      </c>
      <c r="B815" s="4">
        <v>515.97</v>
      </c>
      <c r="C815" s="4">
        <v>31.94</v>
      </c>
      <c r="D815" s="3">
        <f t="shared" si="24"/>
        <v>-1.5686277726263758E-3</v>
      </c>
      <c r="E815" s="3">
        <f t="shared" si="25"/>
        <v>6.7541291864149167E-3</v>
      </c>
    </row>
    <row r="816" spans="1:5" x14ac:dyDescent="0.25">
      <c r="A816" s="1">
        <v>45365</v>
      </c>
      <c r="B816" s="4">
        <v>514.95000000000005</v>
      </c>
      <c r="C816" s="4">
        <v>31.684999999999999</v>
      </c>
      <c r="D816" s="3">
        <f t="shared" si="24"/>
        <v>-1.9788156846999622E-3</v>
      </c>
      <c r="E816" s="3">
        <f t="shared" si="25"/>
        <v>-8.0157600113861926E-3</v>
      </c>
    </row>
    <row r="817" spans="1:5" x14ac:dyDescent="0.25">
      <c r="A817" s="1">
        <v>45366</v>
      </c>
      <c r="B817" s="4">
        <v>509.83</v>
      </c>
      <c r="C817" s="4">
        <v>31.73</v>
      </c>
      <c r="D817" s="3">
        <f t="shared" si="24"/>
        <v>-9.9924717546771031E-3</v>
      </c>
      <c r="E817" s="3">
        <f t="shared" si="25"/>
        <v>1.4192228196239867E-3</v>
      </c>
    </row>
    <row r="818" spans="1:5" x14ac:dyDescent="0.25">
      <c r="A818" s="1">
        <v>45369</v>
      </c>
      <c r="B818" s="4">
        <v>512.86</v>
      </c>
      <c r="C818" s="4">
        <v>31.614999999999998</v>
      </c>
      <c r="D818" s="3">
        <f t="shared" si="24"/>
        <v>5.9255666249999842E-3</v>
      </c>
      <c r="E818" s="3">
        <f t="shared" si="25"/>
        <v>-3.630914084527715E-3</v>
      </c>
    </row>
    <row r="819" spans="1:5" x14ac:dyDescent="0.25">
      <c r="A819" s="1">
        <v>45370</v>
      </c>
      <c r="B819" s="4">
        <v>515.71</v>
      </c>
      <c r="C819" s="4">
        <v>31.895</v>
      </c>
      <c r="D819" s="3">
        <f t="shared" si="24"/>
        <v>5.5416885456417084E-3</v>
      </c>
      <c r="E819" s="3">
        <f t="shared" si="25"/>
        <v>8.817566183342191E-3</v>
      </c>
    </row>
    <row r="820" spans="1:5" x14ac:dyDescent="0.25">
      <c r="A820" s="1">
        <v>45371</v>
      </c>
      <c r="B820" s="4">
        <v>520.48</v>
      </c>
      <c r="C820" s="4">
        <v>31.934999999999999</v>
      </c>
      <c r="D820" s="3">
        <f t="shared" si="24"/>
        <v>9.2068707372656954E-3</v>
      </c>
      <c r="E820" s="3">
        <f t="shared" si="25"/>
        <v>1.2533293196337622E-3</v>
      </c>
    </row>
    <row r="821" spans="1:5" x14ac:dyDescent="0.25">
      <c r="A821" s="1">
        <v>45372</v>
      </c>
      <c r="B821" s="4">
        <v>522.20000000000005</v>
      </c>
      <c r="C821" s="4">
        <v>31.885000000000002</v>
      </c>
      <c r="D821" s="3">
        <f t="shared" si="24"/>
        <v>3.2991935399872981E-3</v>
      </c>
      <c r="E821" s="3">
        <f t="shared" si="25"/>
        <v>-1.5669072463174881E-3</v>
      </c>
    </row>
    <row r="822" spans="1:5" x14ac:dyDescent="0.25">
      <c r="A822" s="1">
        <v>45373</v>
      </c>
      <c r="B822" s="4">
        <v>521.21</v>
      </c>
      <c r="C822" s="4">
        <v>31.93</v>
      </c>
      <c r="D822" s="3">
        <f t="shared" si="24"/>
        <v>-1.8976247056877529E-3</v>
      </c>
      <c r="E822" s="3">
        <f t="shared" si="25"/>
        <v>1.4103269594557088E-3</v>
      </c>
    </row>
    <row r="823" spans="1:5" x14ac:dyDescent="0.25">
      <c r="A823" s="1">
        <v>45376</v>
      </c>
      <c r="B823" s="4">
        <v>519.77</v>
      </c>
      <c r="C823" s="4">
        <v>32.08</v>
      </c>
      <c r="D823" s="3">
        <f t="shared" si="24"/>
        <v>-2.7666255230762429E-3</v>
      </c>
      <c r="E823" s="3">
        <f t="shared" si="25"/>
        <v>4.686776271623074E-3</v>
      </c>
    </row>
    <row r="824" spans="1:5" x14ac:dyDescent="0.25">
      <c r="A824" s="1">
        <v>45377</v>
      </c>
      <c r="B824" s="4">
        <v>518.80999999999995</v>
      </c>
      <c r="C824" s="4">
        <v>31.715</v>
      </c>
      <c r="D824" s="3">
        <f t="shared" si="24"/>
        <v>-1.8486785291629195E-3</v>
      </c>
      <c r="E824" s="3">
        <f t="shared" si="25"/>
        <v>-1.1443027912453194E-2</v>
      </c>
    </row>
    <row r="825" spans="1:5" x14ac:dyDescent="0.25">
      <c r="A825" s="1">
        <v>45378</v>
      </c>
      <c r="B825" s="4">
        <v>523.16999999999996</v>
      </c>
      <c r="C825" s="4">
        <v>32.6</v>
      </c>
      <c r="D825" s="3">
        <f t="shared" si="24"/>
        <v>8.3687315423768768E-3</v>
      </c>
      <c r="E825" s="3">
        <f t="shared" si="25"/>
        <v>2.7522533286801459E-2</v>
      </c>
    </row>
    <row r="826" spans="1:5" x14ac:dyDescent="0.25">
      <c r="A826" s="1">
        <v>45379</v>
      </c>
      <c r="B826" s="4">
        <v>523.07000000000005</v>
      </c>
      <c r="C826" s="4">
        <v>32.825000000000003</v>
      </c>
      <c r="D826" s="3">
        <f t="shared" si="24"/>
        <v>-1.9116072852205465E-4</v>
      </c>
      <c r="E826" s="3">
        <f t="shared" si="25"/>
        <v>6.8781318161980501E-3</v>
      </c>
    </row>
    <row r="827" spans="1:5" x14ac:dyDescent="0.25">
      <c r="A827" s="1">
        <v>45383</v>
      </c>
      <c r="B827" s="4">
        <v>522.16</v>
      </c>
      <c r="C827" s="4">
        <v>32.625</v>
      </c>
      <c r="D827" s="3">
        <f t="shared" si="24"/>
        <v>-1.7412439939945611E-3</v>
      </c>
      <c r="E827" s="3">
        <f t="shared" si="25"/>
        <v>-6.111554546002468E-3</v>
      </c>
    </row>
    <row r="828" spans="1:5" x14ac:dyDescent="0.25">
      <c r="A828" s="1">
        <v>45384</v>
      </c>
      <c r="B828" s="4">
        <v>518.84</v>
      </c>
      <c r="C828" s="4">
        <v>32.68</v>
      </c>
      <c r="D828" s="3">
        <f t="shared" si="24"/>
        <v>-6.3785038544895336E-3</v>
      </c>
      <c r="E828" s="3">
        <f t="shared" si="25"/>
        <v>1.684404348944587E-3</v>
      </c>
    </row>
    <row r="829" spans="1:5" x14ac:dyDescent="0.25">
      <c r="A829" s="1">
        <v>45385</v>
      </c>
      <c r="B829" s="4">
        <v>519.41</v>
      </c>
      <c r="C829" s="4">
        <v>32.549999999999997</v>
      </c>
      <c r="D829" s="3">
        <f t="shared" si="24"/>
        <v>1.0980015550518345E-3</v>
      </c>
      <c r="E829" s="3">
        <f t="shared" si="25"/>
        <v>-3.9859013372239155E-3</v>
      </c>
    </row>
    <row r="830" spans="1:5" x14ac:dyDescent="0.25">
      <c r="A830" s="1">
        <v>45386</v>
      </c>
      <c r="B830" s="4">
        <v>513.07000000000005</v>
      </c>
      <c r="C830" s="4">
        <v>32.484999999999999</v>
      </c>
      <c r="D830" s="3">
        <f t="shared" si="24"/>
        <v>-1.2281263923799508E-2</v>
      </c>
      <c r="E830" s="3">
        <f t="shared" si="25"/>
        <v>-1.9989243220838874E-3</v>
      </c>
    </row>
    <row r="831" spans="1:5" x14ac:dyDescent="0.25">
      <c r="A831" s="1">
        <v>45387</v>
      </c>
      <c r="B831" s="4">
        <v>518.42999999999995</v>
      </c>
      <c r="C831" s="4">
        <v>32.58</v>
      </c>
      <c r="D831" s="3">
        <f t="shared" si="24"/>
        <v>1.0392725630285291E-2</v>
      </c>
      <c r="E831" s="3">
        <f t="shared" si="25"/>
        <v>2.920158841404855E-3</v>
      </c>
    </row>
    <row r="832" spans="1:5" x14ac:dyDescent="0.25">
      <c r="A832" s="1">
        <v>45390</v>
      </c>
      <c r="B832" s="4">
        <v>518.72</v>
      </c>
      <c r="C832" s="4">
        <v>32.795000000000002</v>
      </c>
      <c r="D832" s="3">
        <f t="shared" si="24"/>
        <v>5.5922481330135626E-4</v>
      </c>
      <c r="E832" s="3">
        <f t="shared" si="25"/>
        <v>6.5774615717997548E-3</v>
      </c>
    </row>
    <row r="833" spans="1:5" x14ac:dyDescent="0.25">
      <c r="A833" s="1">
        <v>45391</v>
      </c>
      <c r="B833" s="4">
        <v>519.32000000000005</v>
      </c>
      <c r="C833" s="4">
        <v>32.975000000000001</v>
      </c>
      <c r="D833" s="3">
        <f t="shared" si="24"/>
        <v>1.1560249447415537E-3</v>
      </c>
      <c r="E833" s="3">
        <f t="shared" si="25"/>
        <v>5.4736338576795275E-3</v>
      </c>
    </row>
    <row r="834" spans="1:5" x14ac:dyDescent="0.25">
      <c r="A834" s="1">
        <v>45392</v>
      </c>
      <c r="B834" s="4">
        <v>514.12</v>
      </c>
      <c r="C834" s="4">
        <v>32.409999999999997</v>
      </c>
      <c r="D834" s="3">
        <f t="shared" si="24"/>
        <v>-1.006356225012168E-2</v>
      </c>
      <c r="E834" s="3">
        <f t="shared" si="25"/>
        <v>-1.7282681449922451E-2</v>
      </c>
    </row>
    <row r="835" spans="1:5" x14ac:dyDescent="0.25">
      <c r="A835" s="1">
        <v>45393</v>
      </c>
      <c r="B835" s="4">
        <v>518</v>
      </c>
      <c r="C835" s="4">
        <v>32.344999999999999</v>
      </c>
      <c r="D835" s="3">
        <f t="shared" si="24"/>
        <v>7.5185410175518793E-3</v>
      </c>
      <c r="E835" s="3">
        <f t="shared" si="25"/>
        <v>-2.007567657507169E-3</v>
      </c>
    </row>
    <row r="836" spans="1:5" x14ac:dyDescent="0.25">
      <c r="A836" s="1">
        <v>45394</v>
      </c>
      <c r="B836" s="4">
        <v>510.85</v>
      </c>
      <c r="C836" s="4">
        <v>32.1</v>
      </c>
      <c r="D836" s="3">
        <f t="shared" ref="D836:D899" si="26">LN(B836/B835)</f>
        <v>-1.3899237222050371E-2</v>
      </c>
      <c r="E836" s="3">
        <f t="shared" ref="E836:E899" si="27">LN(C836/C835)</f>
        <v>-7.6034193599785384E-3</v>
      </c>
    </row>
    <row r="837" spans="1:5" x14ac:dyDescent="0.25">
      <c r="A837" s="1">
        <v>45397</v>
      </c>
      <c r="B837" s="4">
        <v>504.45</v>
      </c>
      <c r="C837" s="4">
        <v>31.805</v>
      </c>
      <c r="D837" s="3">
        <f t="shared" si="26"/>
        <v>-1.2607278183044454E-2</v>
      </c>
      <c r="E837" s="3">
        <f t="shared" si="27"/>
        <v>-9.2325200052026987E-3</v>
      </c>
    </row>
    <row r="838" spans="1:5" x14ac:dyDescent="0.25">
      <c r="A838" s="1">
        <v>45398</v>
      </c>
      <c r="B838" s="4">
        <v>503.53</v>
      </c>
      <c r="C838" s="4">
        <v>31.385000000000002</v>
      </c>
      <c r="D838" s="3">
        <f t="shared" si="26"/>
        <v>-1.8254335511998902E-3</v>
      </c>
      <c r="E838" s="3">
        <f t="shared" si="27"/>
        <v>-1.3293438361272392E-2</v>
      </c>
    </row>
    <row r="839" spans="1:5" x14ac:dyDescent="0.25">
      <c r="A839" s="1">
        <v>45399</v>
      </c>
      <c r="B839" s="4">
        <v>500.55</v>
      </c>
      <c r="C839" s="4">
        <v>32.04</v>
      </c>
      <c r="D839" s="3">
        <f t="shared" si="26"/>
        <v>-5.9357994376956205E-3</v>
      </c>
      <c r="E839" s="3">
        <f t="shared" si="27"/>
        <v>2.0655050430663308E-2</v>
      </c>
    </row>
    <row r="840" spans="1:5" x14ac:dyDescent="0.25">
      <c r="A840" s="1">
        <v>45400</v>
      </c>
      <c r="B840" s="4">
        <v>499.52</v>
      </c>
      <c r="C840" s="4">
        <v>32.22</v>
      </c>
      <c r="D840" s="3">
        <f t="shared" si="26"/>
        <v>-2.0598565384254944E-3</v>
      </c>
      <c r="E840" s="3">
        <f t="shared" si="27"/>
        <v>5.6022555486697516E-3</v>
      </c>
    </row>
    <row r="841" spans="1:5" x14ac:dyDescent="0.25">
      <c r="A841" s="1">
        <v>45401</v>
      </c>
      <c r="B841" s="4">
        <v>495.16</v>
      </c>
      <c r="C841" s="4">
        <v>32.715000000000003</v>
      </c>
      <c r="D841" s="3">
        <f t="shared" si="26"/>
        <v>-8.7666946634576276E-3</v>
      </c>
      <c r="E841" s="3">
        <f t="shared" si="27"/>
        <v>1.5246310572873885E-2</v>
      </c>
    </row>
    <row r="842" spans="1:5" x14ac:dyDescent="0.25">
      <c r="A842" s="1">
        <v>45404</v>
      </c>
      <c r="B842" s="4">
        <v>499.72</v>
      </c>
      <c r="C842" s="4">
        <v>33.015000000000001</v>
      </c>
      <c r="D842" s="3">
        <f t="shared" si="26"/>
        <v>9.166998900018871E-3</v>
      </c>
      <c r="E842" s="3">
        <f t="shared" si="27"/>
        <v>9.1283153248324176E-3</v>
      </c>
    </row>
    <row r="843" spans="1:5" x14ac:dyDescent="0.25">
      <c r="A843" s="1">
        <v>45405</v>
      </c>
      <c r="B843" s="4">
        <v>505.65</v>
      </c>
      <c r="C843" s="4">
        <v>33.17</v>
      </c>
      <c r="D843" s="3">
        <f t="shared" si="26"/>
        <v>1.1796788784550795E-2</v>
      </c>
      <c r="E843" s="3">
        <f t="shared" si="27"/>
        <v>4.6838493124264375E-3</v>
      </c>
    </row>
    <row r="844" spans="1:5" x14ac:dyDescent="0.25">
      <c r="A844" s="1">
        <v>45406</v>
      </c>
      <c r="B844" s="4">
        <v>505.41</v>
      </c>
      <c r="C844" s="4">
        <v>33.369999999999997</v>
      </c>
      <c r="D844" s="3">
        <f t="shared" si="26"/>
        <v>-4.7474928195693242E-4</v>
      </c>
      <c r="E844" s="3">
        <f t="shared" si="27"/>
        <v>6.0114398043213547E-3</v>
      </c>
    </row>
    <row r="845" spans="1:5" x14ac:dyDescent="0.25">
      <c r="A845" s="1">
        <v>45407</v>
      </c>
      <c r="B845" s="4">
        <v>503.49</v>
      </c>
      <c r="C845" s="4">
        <v>33.46</v>
      </c>
      <c r="D845" s="3">
        <f t="shared" si="26"/>
        <v>-3.8061300780249008E-3</v>
      </c>
      <c r="E845" s="3">
        <f t="shared" si="27"/>
        <v>2.6934027953954441E-3</v>
      </c>
    </row>
    <row r="846" spans="1:5" x14ac:dyDescent="0.25">
      <c r="A846" s="1">
        <v>45408</v>
      </c>
      <c r="B846" s="4">
        <v>508.26</v>
      </c>
      <c r="C846" s="4">
        <v>33.094999999999999</v>
      </c>
      <c r="D846" s="3">
        <f t="shared" si="26"/>
        <v>9.4292766833169468E-3</v>
      </c>
      <c r="E846" s="3">
        <f t="shared" si="27"/>
        <v>-1.0968481987791887E-2</v>
      </c>
    </row>
    <row r="847" spans="1:5" x14ac:dyDescent="0.25">
      <c r="A847" s="1">
        <v>45411</v>
      </c>
      <c r="B847" s="4">
        <v>510.06</v>
      </c>
      <c r="C847" s="4">
        <v>33.545000000000002</v>
      </c>
      <c r="D847" s="3">
        <f t="shared" si="26"/>
        <v>3.5352381858079476E-3</v>
      </c>
      <c r="E847" s="3">
        <f t="shared" si="27"/>
        <v>1.3505607443965338E-2</v>
      </c>
    </row>
    <row r="848" spans="1:5" x14ac:dyDescent="0.25">
      <c r="A848" s="1">
        <v>45412</v>
      </c>
      <c r="B848" s="4">
        <v>501.98</v>
      </c>
      <c r="C848" s="4">
        <v>33.369999999999997</v>
      </c>
      <c r="D848" s="3">
        <f t="shared" si="26"/>
        <v>-1.5968087596702794E-2</v>
      </c>
      <c r="E848" s="3">
        <f t="shared" si="27"/>
        <v>-5.2305282515688898E-3</v>
      </c>
    </row>
    <row r="849" spans="1:5" x14ac:dyDescent="0.25">
      <c r="A849" s="1">
        <v>45413</v>
      </c>
      <c r="B849" s="4">
        <v>500.35</v>
      </c>
      <c r="C849" s="4">
        <v>33.755000000000003</v>
      </c>
      <c r="D849" s="3">
        <f t="shared" si="26"/>
        <v>-3.2524247241545999E-3</v>
      </c>
      <c r="E849" s="3">
        <f t="shared" si="27"/>
        <v>1.1471261730551362E-2</v>
      </c>
    </row>
    <row r="850" spans="1:5" x14ac:dyDescent="0.25">
      <c r="A850" s="1">
        <v>45414</v>
      </c>
      <c r="B850" s="4">
        <v>505.03</v>
      </c>
      <c r="C850" s="4">
        <v>33.935000000000002</v>
      </c>
      <c r="D850" s="3">
        <f t="shared" si="26"/>
        <v>9.3099799150257821E-3</v>
      </c>
      <c r="E850" s="3">
        <f t="shared" si="27"/>
        <v>5.3183756618878095E-3</v>
      </c>
    </row>
    <row r="851" spans="1:5" x14ac:dyDescent="0.25">
      <c r="A851" s="1">
        <v>45415</v>
      </c>
      <c r="B851" s="4">
        <v>511.29</v>
      </c>
      <c r="C851" s="4">
        <v>34.204999999999998</v>
      </c>
      <c r="D851" s="3">
        <f t="shared" si="26"/>
        <v>1.2319110453764142E-2</v>
      </c>
      <c r="E851" s="3">
        <f t="shared" si="27"/>
        <v>7.9249020572395162E-3</v>
      </c>
    </row>
    <row r="852" spans="1:5" x14ac:dyDescent="0.25">
      <c r="A852" s="1">
        <v>45418</v>
      </c>
      <c r="B852" s="4">
        <v>516.57000000000005</v>
      </c>
      <c r="C852" s="4">
        <v>34.380000000000003</v>
      </c>
      <c r="D852" s="3">
        <f t="shared" si="26"/>
        <v>1.0273863060949281E-2</v>
      </c>
      <c r="E852" s="3">
        <f t="shared" si="27"/>
        <v>5.1031677417420641E-3</v>
      </c>
    </row>
    <row r="853" spans="1:5" x14ac:dyDescent="0.25">
      <c r="A853" s="1">
        <v>45419</v>
      </c>
      <c r="B853" s="4">
        <v>517.14</v>
      </c>
      <c r="C853" s="4">
        <v>34.770000000000003</v>
      </c>
      <c r="D853" s="3">
        <f t="shared" si="26"/>
        <v>1.1028239211585457E-3</v>
      </c>
      <c r="E853" s="3">
        <f t="shared" si="27"/>
        <v>1.1279946065066838E-2</v>
      </c>
    </row>
    <row r="854" spans="1:5" x14ac:dyDescent="0.25">
      <c r="A854" s="1">
        <v>45420</v>
      </c>
      <c r="B854" s="4">
        <v>517.19000000000005</v>
      </c>
      <c r="C854" s="4">
        <v>35.134999999999998</v>
      </c>
      <c r="D854" s="3">
        <f t="shared" si="26"/>
        <v>9.6680943294658072E-5</v>
      </c>
      <c r="E854" s="3">
        <f t="shared" si="27"/>
        <v>1.0442838624390756E-2</v>
      </c>
    </row>
    <row r="855" spans="1:5" x14ac:dyDescent="0.25">
      <c r="A855" s="1">
        <v>45421</v>
      </c>
      <c r="B855" s="4">
        <v>520.16999999999996</v>
      </c>
      <c r="C855" s="4">
        <v>35.67</v>
      </c>
      <c r="D855" s="3">
        <f t="shared" si="26"/>
        <v>5.7453693940335976E-3</v>
      </c>
      <c r="E855" s="3">
        <f t="shared" si="27"/>
        <v>1.5112214726639265E-2</v>
      </c>
    </row>
    <row r="856" spans="1:5" x14ac:dyDescent="0.25">
      <c r="A856" s="1">
        <v>45422</v>
      </c>
      <c r="B856" s="4">
        <v>520.84</v>
      </c>
      <c r="C856" s="4">
        <v>35.634999999999998</v>
      </c>
      <c r="D856" s="3">
        <f t="shared" si="26"/>
        <v>1.2872116358365086E-3</v>
      </c>
      <c r="E856" s="3">
        <f t="shared" si="27"/>
        <v>-9.8169841696616931E-4</v>
      </c>
    </row>
    <row r="857" spans="1:5" x14ac:dyDescent="0.25">
      <c r="A857" s="1">
        <v>45425</v>
      </c>
      <c r="B857" s="4">
        <v>520.91</v>
      </c>
      <c r="C857" s="4">
        <v>35.634999999999998</v>
      </c>
      <c r="D857" s="3">
        <f t="shared" si="26"/>
        <v>1.3438924906229629E-4</v>
      </c>
      <c r="E857" s="3">
        <f t="shared" si="27"/>
        <v>0</v>
      </c>
    </row>
    <row r="858" spans="1:5" x14ac:dyDescent="0.25">
      <c r="A858" s="1">
        <v>45426</v>
      </c>
      <c r="B858" s="4">
        <v>523.29999999999995</v>
      </c>
      <c r="C858" s="4">
        <v>35.729999999999997</v>
      </c>
      <c r="D858" s="3">
        <f t="shared" si="26"/>
        <v>4.5776312685722577E-3</v>
      </c>
      <c r="E858" s="3">
        <f t="shared" si="27"/>
        <v>2.6623710814843264E-3</v>
      </c>
    </row>
    <row r="859" spans="1:5" x14ac:dyDescent="0.25">
      <c r="A859" s="1">
        <v>45427</v>
      </c>
      <c r="B859" s="4">
        <v>529.78</v>
      </c>
      <c r="C859" s="4">
        <v>36.265000000000001</v>
      </c>
      <c r="D859" s="3">
        <f t="shared" si="26"/>
        <v>1.2306912652879219E-2</v>
      </c>
      <c r="E859" s="3">
        <f t="shared" si="27"/>
        <v>1.4862416780057459E-2</v>
      </c>
    </row>
    <row r="860" spans="1:5" x14ac:dyDescent="0.25">
      <c r="A860" s="1">
        <v>45428</v>
      </c>
      <c r="B860" s="4">
        <v>528.69000000000005</v>
      </c>
      <c r="C860" s="4">
        <v>36.14</v>
      </c>
      <c r="D860" s="3">
        <f t="shared" si="26"/>
        <v>-2.0595772866535151E-3</v>
      </c>
      <c r="E860" s="3">
        <f t="shared" si="27"/>
        <v>-3.4528036512932988E-3</v>
      </c>
    </row>
    <row r="861" spans="1:5" x14ac:dyDescent="0.25">
      <c r="A861" s="1">
        <v>45429</v>
      </c>
      <c r="B861" s="4">
        <v>529.45000000000005</v>
      </c>
      <c r="C861" s="4">
        <v>36.17</v>
      </c>
      <c r="D861" s="3">
        <f t="shared" si="26"/>
        <v>1.4364831320756027E-3</v>
      </c>
      <c r="E861" s="3">
        <f t="shared" si="27"/>
        <v>8.2976079992417347E-4</v>
      </c>
    </row>
    <row r="862" spans="1:5" x14ac:dyDescent="0.25">
      <c r="A862" s="1">
        <v>45432</v>
      </c>
      <c r="B862" s="4">
        <v>530.05999999999995</v>
      </c>
      <c r="C862" s="4">
        <v>36.11</v>
      </c>
      <c r="D862" s="3">
        <f t="shared" si="26"/>
        <v>1.1514758093828892E-3</v>
      </c>
      <c r="E862" s="3">
        <f t="shared" si="27"/>
        <v>-1.6602106746402589E-3</v>
      </c>
    </row>
    <row r="863" spans="1:5" x14ac:dyDescent="0.25">
      <c r="A863" s="1">
        <v>45433</v>
      </c>
      <c r="B863" s="4">
        <v>531.36</v>
      </c>
      <c r="C863" s="4">
        <v>36.435000000000002</v>
      </c>
      <c r="D863" s="3">
        <f t="shared" si="26"/>
        <v>2.4495499425899359E-3</v>
      </c>
      <c r="E863" s="3">
        <f t="shared" si="27"/>
        <v>8.9600158328792291E-3</v>
      </c>
    </row>
    <row r="864" spans="1:5" x14ac:dyDescent="0.25">
      <c r="A864" s="1">
        <v>45434</v>
      </c>
      <c r="B864" s="4">
        <v>529.83000000000004</v>
      </c>
      <c r="C864" s="4">
        <v>36.005000000000003</v>
      </c>
      <c r="D864" s="3">
        <f t="shared" si="26"/>
        <v>-2.8835572520469624E-3</v>
      </c>
      <c r="E864" s="3">
        <f t="shared" si="27"/>
        <v>-1.1872033421415344E-2</v>
      </c>
    </row>
    <row r="865" spans="1:5" x14ac:dyDescent="0.25">
      <c r="A865" s="1">
        <v>45435</v>
      </c>
      <c r="B865" s="4">
        <v>525.96</v>
      </c>
      <c r="C865" s="4">
        <v>35.395000000000003</v>
      </c>
      <c r="D865" s="3">
        <f t="shared" si="26"/>
        <v>-7.3310361576712224E-3</v>
      </c>
      <c r="E865" s="3">
        <f t="shared" si="27"/>
        <v>-1.7087250474677542E-2</v>
      </c>
    </row>
    <row r="866" spans="1:5" x14ac:dyDescent="0.25">
      <c r="A866" s="1">
        <v>45436</v>
      </c>
      <c r="B866" s="4">
        <v>529.44000000000005</v>
      </c>
      <c r="C866" s="4">
        <v>35.75</v>
      </c>
      <c r="D866" s="3">
        <f t="shared" si="26"/>
        <v>6.594679954583983E-3</v>
      </c>
      <c r="E866" s="3">
        <f t="shared" si="27"/>
        <v>9.9797019138639937E-3</v>
      </c>
    </row>
    <row r="867" spans="1:5" x14ac:dyDescent="0.25">
      <c r="A867" s="1">
        <v>45440</v>
      </c>
      <c r="B867" s="4">
        <v>529.80999999999995</v>
      </c>
      <c r="C867" s="4">
        <v>35.715000000000003</v>
      </c>
      <c r="D867" s="3">
        <f t="shared" si="26"/>
        <v>6.9860753372329404E-4</v>
      </c>
      <c r="E867" s="3">
        <f t="shared" si="27"/>
        <v>-9.7950053308080444E-4</v>
      </c>
    </row>
    <row r="868" spans="1:5" x14ac:dyDescent="0.25">
      <c r="A868" s="1">
        <v>45441</v>
      </c>
      <c r="B868" s="4">
        <v>526.1</v>
      </c>
      <c r="C868" s="4">
        <v>35.255000000000003</v>
      </c>
      <c r="D868" s="3">
        <f t="shared" si="26"/>
        <v>-7.0271429702637575E-3</v>
      </c>
      <c r="E868" s="3">
        <f t="shared" si="27"/>
        <v>-1.2963405435931875E-2</v>
      </c>
    </row>
    <row r="869" spans="1:5" x14ac:dyDescent="0.25">
      <c r="A869" s="1">
        <v>45442</v>
      </c>
      <c r="B869" s="4">
        <v>522.61</v>
      </c>
      <c r="C869" s="4">
        <v>35.729999999999997</v>
      </c>
      <c r="D869" s="3">
        <f t="shared" si="26"/>
        <v>-6.6558207395610207E-3</v>
      </c>
      <c r="E869" s="3">
        <f t="shared" si="27"/>
        <v>1.3383308864314306E-2</v>
      </c>
    </row>
    <row r="870" spans="1:5" x14ac:dyDescent="0.25">
      <c r="A870" s="1">
        <v>45443</v>
      </c>
      <c r="B870" s="4">
        <v>527.37</v>
      </c>
      <c r="C870" s="4">
        <v>36.36</v>
      </c>
      <c r="D870" s="3">
        <f t="shared" si="26"/>
        <v>9.0669014827088265E-3</v>
      </c>
      <c r="E870" s="3">
        <f t="shared" si="27"/>
        <v>1.7478597273959763E-2</v>
      </c>
    </row>
    <row r="871" spans="1:5" x14ac:dyDescent="0.25">
      <c r="A871" s="1">
        <v>45446</v>
      </c>
      <c r="B871" s="4">
        <v>527.79999999999995</v>
      </c>
      <c r="C871" s="4">
        <v>35.945</v>
      </c>
      <c r="D871" s="3">
        <f t="shared" si="26"/>
        <v>8.1503458931418249E-4</v>
      </c>
      <c r="E871" s="3">
        <f t="shared" si="27"/>
        <v>-1.1479276873443174E-2</v>
      </c>
    </row>
    <row r="872" spans="1:5" x14ac:dyDescent="0.25">
      <c r="A872" s="1">
        <v>45447</v>
      </c>
      <c r="B872" s="4">
        <v>528.39</v>
      </c>
      <c r="C872" s="4">
        <v>35.93</v>
      </c>
      <c r="D872" s="3">
        <f t="shared" si="26"/>
        <v>1.1172233430903386E-3</v>
      </c>
      <c r="E872" s="3">
        <f t="shared" si="27"/>
        <v>-4.1739131040752247E-4</v>
      </c>
    </row>
    <row r="873" spans="1:5" x14ac:dyDescent="0.25">
      <c r="A873" s="1">
        <v>45448</v>
      </c>
      <c r="B873" s="4">
        <v>534.66999999999996</v>
      </c>
      <c r="C873" s="4">
        <v>35.725000000000001</v>
      </c>
      <c r="D873" s="3">
        <f t="shared" si="26"/>
        <v>1.1815086740567349E-2</v>
      </c>
      <c r="E873" s="3">
        <f t="shared" si="27"/>
        <v>-5.7218773094962335E-3</v>
      </c>
    </row>
    <row r="874" spans="1:5" x14ac:dyDescent="0.25">
      <c r="A874" s="1">
        <v>45449</v>
      </c>
      <c r="B874" s="4">
        <v>534.66</v>
      </c>
      <c r="C874" s="4">
        <v>35.354999999999997</v>
      </c>
      <c r="D874" s="3">
        <f t="shared" si="26"/>
        <v>-1.8703300197803031E-5</v>
      </c>
      <c r="E874" s="3">
        <f t="shared" si="27"/>
        <v>-1.0410898759727111E-2</v>
      </c>
    </row>
    <row r="875" spans="1:5" x14ac:dyDescent="0.25">
      <c r="A875" s="1">
        <v>45450</v>
      </c>
      <c r="B875" s="4">
        <v>534.01</v>
      </c>
      <c r="C875" s="4">
        <v>34.97</v>
      </c>
      <c r="D875" s="3">
        <f t="shared" si="26"/>
        <v>-1.2164654760686989E-3</v>
      </c>
      <c r="E875" s="3">
        <f t="shared" si="27"/>
        <v>-1.0949273980919627E-2</v>
      </c>
    </row>
    <row r="876" spans="1:5" x14ac:dyDescent="0.25">
      <c r="A876" s="1">
        <v>45453</v>
      </c>
      <c r="B876" s="4">
        <v>535.66</v>
      </c>
      <c r="C876" s="4">
        <v>35.42</v>
      </c>
      <c r="D876" s="3">
        <f t="shared" si="26"/>
        <v>3.0850660646259912E-3</v>
      </c>
      <c r="E876" s="3">
        <f t="shared" si="27"/>
        <v>1.2786081279403108E-2</v>
      </c>
    </row>
    <row r="877" spans="1:5" x14ac:dyDescent="0.25">
      <c r="A877" s="1">
        <v>45454</v>
      </c>
      <c r="B877" s="4">
        <v>536.95000000000005</v>
      </c>
      <c r="C877" s="4">
        <v>35.204999999999998</v>
      </c>
      <c r="D877" s="3">
        <f t="shared" si="26"/>
        <v>2.4053488629847842E-3</v>
      </c>
      <c r="E877" s="3">
        <f t="shared" si="27"/>
        <v>-6.0885143835909981E-3</v>
      </c>
    </row>
    <row r="878" spans="1:5" x14ac:dyDescent="0.25">
      <c r="A878" s="1">
        <v>45455</v>
      </c>
      <c r="B878" s="4">
        <v>541.36</v>
      </c>
      <c r="C878" s="4">
        <v>34.975000000000001</v>
      </c>
      <c r="D878" s="3">
        <f t="shared" si="26"/>
        <v>8.1795116197444593E-3</v>
      </c>
      <c r="E878" s="3">
        <f t="shared" si="27"/>
        <v>-6.5545974195515798E-3</v>
      </c>
    </row>
    <row r="879" spans="1:5" x14ac:dyDescent="0.25">
      <c r="A879" s="1">
        <v>45456</v>
      </c>
      <c r="B879" s="4">
        <v>542.45000000000005</v>
      </c>
      <c r="C879" s="4">
        <v>35.055</v>
      </c>
      <c r="D879" s="3">
        <f t="shared" si="26"/>
        <v>2.0114233444897055E-3</v>
      </c>
      <c r="E879" s="3">
        <f t="shared" si="27"/>
        <v>2.2847361073861459E-3</v>
      </c>
    </row>
    <row r="880" spans="1:5" x14ac:dyDescent="0.25">
      <c r="A880" s="1">
        <v>45457</v>
      </c>
      <c r="B880" s="4">
        <v>542.78</v>
      </c>
      <c r="C880" s="4">
        <v>34.97</v>
      </c>
      <c r="D880" s="3">
        <f t="shared" si="26"/>
        <v>6.081660296365605E-4</v>
      </c>
      <c r="E880" s="3">
        <f t="shared" si="27"/>
        <v>-2.4277055836465669E-3</v>
      </c>
    </row>
    <row r="881" spans="1:5" x14ac:dyDescent="0.25">
      <c r="A881" s="1">
        <v>45460</v>
      </c>
      <c r="B881" s="4">
        <v>547.1</v>
      </c>
      <c r="C881" s="4">
        <v>34.585000000000001</v>
      </c>
      <c r="D881" s="3">
        <f t="shared" si="26"/>
        <v>7.9275197716839954E-3</v>
      </c>
      <c r="E881" s="3">
        <f t="shared" si="27"/>
        <v>-1.1070489022736361E-2</v>
      </c>
    </row>
    <row r="882" spans="1:5" x14ac:dyDescent="0.25">
      <c r="A882" s="1">
        <v>45461</v>
      </c>
      <c r="B882" s="4">
        <v>548.49</v>
      </c>
      <c r="C882" s="4">
        <v>34.6</v>
      </c>
      <c r="D882" s="3">
        <f t="shared" si="26"/>
        <v>2.537446938742902E-3</v>
      </c>
      <c r="E882" s="3">
        <f t="shared" si="27"/>
        <v>4.3362001113045773E-4</v>
      </c>
    </row>
    <row r="883" spans="1:5" x14ac:dyDescent="0.25">
      <c r="A883" s="1">
        <v>45463</v>
      </c>
      <c r="B883" s="4">
        <v>547</v>
      </c>
      <c r="C883" s="4">
        <v>34.9</v>
      </c>
      <c r="D883" s="3">
        <f t="shared" si="26"/>
        <v>-2.720245586542019E-3</v>
      </c>
      <c r="E883" s="3">
        <f t="shared" si="27"/>
        <v>8.6331471447028754E-3</v>
      </c>
    </row>
    <row r="884" spans="1:5" x14ac:dyDescent="0.25">
      <c r="A884" s="1">
        <v>45464</v>
      </c>
      <c r="B884" s="4">
        <v>544.51</v>
      </c>
      <c r="C884" s="4">
        <v>34.695</v>
      </c>
      <c r="D884" s="3">
        <f t="shared" si="26"/>
        <v>-4.5624947446983579E-3</v>
      </c>
      <c r="E884" s="3">
        <f t="shared" si="27"/>
        <v>-5.8912448568692391E-3</v>
      </c>
    </row>
    <row r="885" spans="1:5" x14ac:dyDescent="0.25">
      <c r="A885" s="1">
        <v>45467</v>
      </c>
      <c r="B885" s="4">
        <v>542.74</v>
      </c>
      <c r="C885" s="4">
        <v>34.869999999999997</v>
      </c>
      <c r="D885" s="3">
        <f t="shared" si="26"/>
        <v>-3.2559237777015858E-3</v>
      </c>
      <c r="E885" s="3">
        <f t="shared" si="27"/>
        <v>5.0312763360474298E-3</v>
      </c>
    </row>
    <row r="886" spans="1:5" x14ac:dyDescent="0.25">
      <c r="A886" s="1">
        <v>45468</v>
      </c>
      <c r="B886" s="4">
        <v>544.83000000000004</v>
      </c>
      <c r="C886" s="4">
        <v>34.54</v>
      </c>
      <c r="D886" s="3">
        <f t="shared" si="26"/>
        <v>3.8434354989358229E-3</v>
      </c>
      <c r="E886" s="3">
        <f t="shared" si="27"/>
        <v>-9.5087879690271878E-3</v>
      </c>
    </row>
    <row r="887" spans="1:5" x14ac:dyDescent="0.25">
      <c r="A887" s="1">
        <v>45469</v>
      </c>
      <c r="B887" s="4">
        <v>545.51</v>
      </c>
      <c r="C887" s="4">
        <v>34.395000000000003</v>
      </c>
      <c r="D887" s="3">
        <f t="shared" si="26"/>
        <v>1.247317512265877E-3</v>
      </c>
      <c r="E887" s="3">
        <f t="shared" si="27"/>
        <v>-4.2068677405549407E-3</v>
      </c>
    </row>
    <row r="888" spans="1:5" x14ac:dyDescent="0.25">
      <c r="A888" s="1">
        <v>45470</v>
      </c>
      <c r="B888" s="4">
        <v>546.37</v>
      </c>
      <c r="C888" s="4">
        <v>34.454999999999998</v>
      </c>
      <c r="D888" s="3">
        <f t="shared" si="26"/>
        <v>1.5752650068467839E-3</v>
      </c>
      <c r="E888" s="3">
        <f t="shared" si="27"/>
        <v>1.7429198311935982E-3</v>
      </c>
    </row>
    <row r="889" spans="1:5" x14ac:dyDescent="0.25">
      <c r="A889" s="1">
        <v>45471</v>
      </c>
      <c r="B889" s="4">
        <v>544.22</v>
      </c>
      <c r="C889" s="4">
        <v>34.07</v>
      </c>
      <c r="D889" s="3">
        <f t="shared" si="26"/>
        <v>-3.9428250493784836E-3</v>
      </c>
      <c r="E889" s="3">
        <f t="shared" si="27"/>
        <v>-1.1236893136296035E-2</v>
      </c>
    </row>
    <row r="890" spans="1:5" x14ac:dyDescent="0.25">
      <c r="A890" s="1">
        <v>45474</v>
      </c>
      <c r="B890" s="4">
        <v>545.34</v>
      </c>
      <c r="C890" s="4">
        <v>33.835000000000001</v>
      </c>
      <c r="D890" s="3">
        <f t="shared" si="26"/>
        <v>2.0558764904829397E-3</v>
      </c>
      <c r="E890" s="3">
        <f t="shared" si="27"/>
        <v>-6.9214619886863128E-3</v>
      </c>
    </row>
    <row r="891" spans="1:5" x14ac:dyDescent="0.25">
      <c r="A891" s="1">
        <v>45475</v>
      </c>
      <c r="B891" s="4">
        <v>549.01</v>
      </c>
      <c r="C891" s="4">
        <v>34.01</v>
      </c>
      <c r="D891" s="3">
        <f t="shared" si="26"/>
        <v>6.7072029211542863E-3</v>
      </c>
      <c r="E891" s="3">
        <f t="shared" si="27"/>
        <v>5.1588293349151279E-3</v>
      </c>
    </row>
    <row r="892" spans="1:5" x14ac:dyDescent="0.25">
      <c r="A892" s="1">
        <v>45476</v>
      </c>
      <c r="B892" s="4">
        <v>551.46</v>
      </c>
      <c r="C892" s="4">
        <v>34.215000000000003</v>
      </c>
      <c r="D892" s="3">
        <f t="shared" si="26"/>
        <v>4.4526503181848949E-3</v>
      </c>
      <c r="E892" s="3">
        <f t="shared" si="27"/>
        <v>6.0095453853570915E-3</v>
      </c>
    </row>
    <row r="893" spans="1:5" x14ac:dyDescent="0.25">
      <c r="A893" s="1">
        <v>45478</v>
      </c>
      <c r="B893" s="4">
        <v>554.64</v>
      </c>
      <c r="C893" s="4">
        <v>34.274999999999999</v>
      </c>
      <c r="D893" s="3">
        <f t="shared" si="26"/>
        <v>5.7499480361618222E-3</v>
      </c>
      <c r="E893" s="3">
        <f t="shared" si="27"/>
        <v>1.7520810439168465E-3</v>
      </c>
    </row>
    <row r="894" spans="1:5" x14ac:dyDescent="0.25">
      <c r="A894" s="1">
        <v>45481</v>
      </c>
      <c r="B894" s="4">
        <v>555.28</v>
      </c>
      <c r="C894" s="4">
        <v>34.31</v>
      </c>
      <c r="D894" s="3">
        <f t="shared" si="26"/>
        <v>1.153236397093276E-3</v>
      </c>
      <c r="E894" s="3">
        <f t="shared" si="27"/>
        <v>1.0206314219803482E-3</v>
      </c>
    </row>
    <row r="895" spans="1:5" x14ac:dyDescent="0.25">
      <c r="A895" s="1">
        <v>45482</v>
      </c>
      <c r="B895" s="4">
        <v>555.82000000000005</v>
      </c>
      <c r="C895" s="4">
        <v>34.409999999999997</v>
      </c>
      <c r="D895" s="3">
        <f t="shared" si="26"/>
        <v>9.7200979662704463E-4</v>
      </c>
      <c r="E895" s="3">
        <f t="shared" si="27"/>
        <v>2.9103629390304607E-3</v>
      </c>
    </row>
    <row r="896" spans="1:5" x14ac:dyDescent="0.25">
      <c r="A896" s="1">
        <v>45483</v>
      </c>
      <c r="B896" s="4">
        <v>561.32000000000005</v>
      </c>
      <c r="C896" s="4">
        <v>34.734999999999999</v>
      </c>
      <c r="D896" s="3">
        <f t="shared" si="26"/>
        <v>9.8466520549797508E-3</v>
      </c>
      <c r="E896" s="3">
        <f t="shared" si="27"/>
        <v>9.400604335455259E-3</v>
      </c>
    </row>
    <row r="897" spans="1:5" x14ac:dyDescent="0.25">
      <c r="A897" s="1">
        <v>45484</v>
      </c>
      <c r="B897" s="4">
        <v>556.48</v>
      </c>
      <c r="C897" s="4">
        <v>35.369999999999997</v>
      </c>
      <c r="D897" s="3">
        <f t="shared" si="26"/>
        <v>-8.6599217170167699E-3</v>
      </c>
      <c r="E897" s="3">
        <f t="shared" si="27"/>
        <v>1.8116179072544928E-2</v>
      </c>
    </row>
    <row r="898" spans="1:5" x14ac:dyDescent="0.25">
      <c r="A898" s="1">
        <v>45485</v>
      </c>
      <c r="B898" s="4">
        <v>559.99</v>
      </c>
      <c r="C898" s="4">
        <v>35.630000000000003</v>
      </c>
      <c r="D898" s="3">
        <f t="shared" si="26"/>
        <v>6.2876952609787718E-3</v>
      </c>
      <c r="E898" s="3">
        <f t="shared" si="27"/>
        <v>7.3239764003556048E-3</v>
      </c>
    </row>
    <row r="899" spans="1:5" x14ac:dyDescent="0.25">
      <c r="A899" s="1">
        <v>45488</v>
      </c>
      <c r="B899" s="4">
        <v>561.53</v>
      </c>
      <c r="C899" s="4">
        <v>34.765000000000001</v>
      </c>
      <c r="D899" s="3">
        <f t="shared" si="26"/>
        <v>2.7462746413669868E-3</v>
      </c>
      <c r="E899" s="3">
        <f t="shared" si="27"/>
        <v>-2.4576846066763632E-2</v>
      </c>
    </row>
    <row r="900" spans="1:5" x14ac:dyDescent="0.25">
      <c r="A900" s="1">
        <v>45489</v>
      </c>
      <c r="B900" s="4">
        <v>564.86</v>
      </c>
      <c r="C900" s="4">
        <v>35.034999999999997</v>
      </c>
      <c r="D900" s="3">
        <f t="shared" ref="D900:D963" si="28">LN(B900/B899)</f>
        <v>5.9127117631351039E-3</v>
      </c>
      <c r="E900" s="3">
        <f t="shared" ref="E900:E963" si="29">LN(C900/C899)</f>
        <v>7.7364282715159383E-3</v>
      </c>
    </row>
    <row r="901" spans="1:5" x14ac:dyDescent="0.25">
      <c r="A901" s="1">
        <v>45490</v>
      </c>
      <c r="B901" s="4">
        <v>556.94000000000005</v>
      </c>
      <c r="C901" s="4">
        <v>35.055</v>
      </c>
      <c r="D901" s="3">
        <f t="shared" si="28"/>
        <v>-1.4120398634509987E-2</v>
      </c>
      <c r="E901" s="3">
        <f t="shared" si="29"/>
        <v>5.7069483643380043E-4</v>
      </c>
    </row>
    <row r="902" spans="1:5" x14ac:dyDescent="0.25">
      <c r="A902" s="1">
        <v>45491</v>
      </c>
      <c r="B902" s="4">
        <v>552.66</v>
      </c>
      <c r="C902" s="4">
        <v>35.024999999999999</v>
      </c>
      <c r="D902" s="3">
        <f t="shared" si="28"/>
        <v>-7.7145299686901024E-3</v>
      </c>
      <c r="E902" s="3">
        <f t="shared" si="29"/>
        <v>-8.5616443586032057E-4</v>
      </c>
    </row>
    <row r="903" spans="1:5" x14ac:dyDescent="0.25">
      <c r="A903" s="1">
        <v>45492</v>
      </c>
      <c r="B903" s="4">
        <v>548.99</v>
      </c>
      <c r="C903" s="4">
        <v>35.064999999999998</v>
      </c>
      <c r="D903" s="3">
        <f t="shared" si="28"/>
        <v>-6.6627578208101976E-3</v>
      </c>
      <c r="E903" s="3">
        <f t="shared" si="29"/>
        <v>1.1413897658030039E-3</v>
      </c>
    </row>
    <row r="904" spans="1:5" x14ac:dyDescent="0.25">
      <c r="A904" s="1">
        <v>45495</v>
      </c>
      <c r="B904" s="4">
        <v>554.65</v>
      </c>
      <c r="C904" s="4">
        <v>35.36</v>
      </c>
      <c r="D904" s="3">
        <f t="shared" si="28"/>
        <v>1.0257057777279522E-2</v>
      </c>
      <c r="E904" s="3">
        <f t="shared" si="29"/>
        <v>8.3777557805690458E-3</v>
      </c>
    </row>
    <row r="905" spans="1:5" x14ac:dyDescent="0.25">
      <c r="A905" s="1">
        <v>45496</v>
      </c>
      <c r="B905" s="4">
        <v>553.78</v>
      </c>
      <c r="C905" s="4">
        <v>35.14</v>
      </c>
      <c r="D905" s="3">
        <f t="shared" si="28"/>
        <v>-1.5697882205588987E-3</v>
      </c>
      <c r="E905" s="3">
        <f t="shared" si="29"/>
        <v>-6.2411550104915312E-3</v>
      </c>
    </row>
    <row r="906" spans="1:5" x14ac:dyDescent="0.25">
      <c r="A906" s="1">
        <v>45497</v>
      </c>
      <c r="B906" s="4">
        <v>541.23</v>
      </c>
      <c r="C906" s="4">
        <v>35.534999999999997</v>
      </c>
      <c r="D906" s="3">
        <f t="shared" si="28"/>
        <v>-2.2923168831288386E-2</v>
      </c>
      <c r="E906" s="3">
        <f t="shared" si="29"/>
        <v>1.1178043519907302E-2</v>
      </c>
    </row>
    <row r="907" spans="1:5" x14ac:dyDescent="0.25">
      <c r="A907" s="1">
        <v>45498</v>
      </c>
      <c r="B907" s="4">
        <v>538.41</v>
      </c>
      <c r="C907" s="4">
        <v>35.24</v>
      </c>
      <c r="D907" s="3">
        <f t="shared" si="28"/>
        <v>-5.2239754235266942E-3</v>
      </c>
      <c r="E907" s="3">
        <f t="shared" si="29"/>
        <v>-8.3363252108795728E-3</v>
      </c>
    </row>
    <row r="908" spans="1:5" x14ac:dyDescent="0.25">
      <c r="A908" s="1">
        <v>45499</v>
      </c>
      <c r="B908" s="4">
        <v>544.44000000000005</v>
      </c>
      <c r="C908" s="4">
        <v>35.585000000000001</v>
      </c>
      <c r="D908" s="3">
        <f t="shared" si="28"/>
        <v>1.1137391754578117E-2</v>
      </c>
      <c r="E908" s="3">
        <f t="shared" si="29"/>
        <v>9.7423996832557442E-3</v>
      </c>
    </row>
    <row r="909" spans="1:5" x14ac:dyDescent="0.25">
      <c r="A909" s="1">
        <v>45502</v>
      </c>
      <c r="B909" s="4">
        <v>544.76</v>
      </c>
      <c r="C909" s="4">
        <v>35.744999999999997</v>
      </c>
      <c r="D909" s="3">
        <f t="shared" si="28"/>
        <v>5.8758723688370458E-4</v>
      </c>
      <c r="E909" s="3">
        <f t="shared" si="29"/>
        <v>4.4861984675805908E-3</v>
      </c>
    </row>
    <row r="910" spans="1:5" x14ac:dyDescent="0.25">
      <c r="A910" s="1">
        <v>45503</v>
      </c>
      <c r="B910" s="4">
        <v>542</v>
      </c>
      <c r="C910" s="4">
        <v>35.93</v>
      </c>
      <c r="D910" s="3">
        <f t="shared" si="28"/>
        <v>-5.079329261110337E-3</v>
      </c>
      <c r="E910" s="3">
        <f t="shared" si="29"/>
        <v>5.1622019066123979E-3</v>
      </c>
    </row>
    <row r="911" spans="1:5" x14ac:dyDescent="0.25">
      <c r="A911" s="1">
        <v>45504</v>
      </c>
      <c r="B911" s="4">
        <v>550.80999999999995</v>
      </c>
      <c r="C911" s="4">
        <v>36.395000000000003</v>
      </c>
      <c r="D911" s="3">
        <f t="shared" si="28"/>
        <v>1.6123920660358285E-2</v>
      </c>
      <c r="E911" s="3">
        <f t="shared" si="29"/>
        <v>1.2858801444793891E-2</v>
      </c>
    </row>
    <row r="912" spans="1:5" x14ac:dyDescent="0.25">
      <c r="A912" s="1">
        <v>45505</v>
      </c>
      <c r="B912" s="4">
        <v>543.01</v>
      </c>
      <c r="C912" s="4">
        <v>37.049999999999997</v>
      </c>
      <c r="D912" s="3">
        <f t="shared" si="28"/>
        <v>-1.4262186129383783E-2</v>
      </c>
      <c r="E912" s="3">
        <f t="shared" si="29"/>
        <v>1.7836949171874387E-2</v>
      </c>
    </row>
    <row r="913" spans="1:5" x14ac:dyDescent="0.25">
      <c r="A913" s="1">
        <v>45506</v>
      </c>
      <c r="B913" s="4">
        <v>532.9</v>
      </c>
      <c r="C913" s="4">
        <v>37.11</v>
      </c>
      <c r="D913" s="3">
        <f t="shared" si="28"/>
        <v>-1.8793946667884209E-2</v>
      </c>
      <c r="E913" s="3">
        <f t="shared" si="29"/>
        <v>1.6181233304102998E-3</v>
      </c>
    </row>
    <row r="914" spans="1:5" x14ac:dyDescent="0.25">
      <c r="A914" s="1">
        <v>45509</v>
      </c>
      <c r="B914" s="4">
        <v>517.38</v>
      </c>
      <c r="C914" s="4">
        <v>36.130000000000003</v>
      </c>
      <c r="D914" s="3">
        <f t="shared" si="28"/>
        <v>-2.9556175110448443E-2</v>
      </c>
      <c r="E914" s="3">
        <f t="shared" si="29"/>
        <v>-2.6762929912957291E-2</v>
      </c>
    </row>
    <row r="915" spans="1:5" x14ac:dyDescent="0.25">
      <c r="A915" s="1">
        <v>45510</v>
      </c>
      <c r="B915" s="4">
        <v>522.15</v>
      </c>
      <c r="C915" s="4">
        <v>36.435000000000002</v>
      </c>
      <c r="D915" s="3">
        <f t="shared" si="28"/>
        <v>9.177288733269463E-3</v>
      </c>
      <c r="E915" s="3">
        <f t="shared" si="29"/>
        <v>8.4063059626967567E-3</v>
      </c>
    </row>
    <row r="916" spans="1:5" x14ac:dyDescent="0.25">
      <c r="A916" s="1">
        <v>45511</v>
      </c>
      <c r="B916" s="4">
        <v>518.66</v>
      </c>
      <c r="C916" s="4">
        <v>36.64</v>
      </c>
      <c r="D916" s="3">
        <f t="shared" si="28"/>
        <v>-6.7063404083739587E-3</v>
      </c>
      <c r="E916" s="3">
        <f t="shared" si="29"/>
        <v>5.6106886836838942E-3</v>
      </c>
    </row>
    <row r="917" spans="1:5" x14ac:dyDescent="0.25">
      <c r="A917" s="1">
        <v>45512</v>
      </c>
      <c r="B917" s="4">
        <v>530.65</v>
      </c>
      <c r="C917" s="4">
        <v>36.68</v>
      </c>
      <c r="D917" s="3">
        <f t="shared" si="28"/>
        <v>2.2854107690647777E-2</v>
      </c>
      <c r="E917" s="3">
        <f t="shared" si="29"/>
        <v>1.0911075823345569E-3</v>
      </c>
    </row>
    <row r="918" spans="1:5" x14ac:dyDescent="0.25">
      <c r="A918" s="1">
        <v>45513</v>
      </c>
      <c r="B918" s="4">
        <v>532.99</v>
      </c>
      <c r="C918" s="4">
        <v>36.805</v>
      </c>
      <c r="D918" s="3">
        <f t="shared" si="28"/>
        <v>4.3999920559310152E-3</v>
      </c>
      <c r="E918" s="3">
        <f t="shared" si="29"/>
        <v>3.402058122405161E-3</v>
      </c>
    </row>
    <row r="919" spans="1:5" x14ac:dyDescent="0.25">
      <c r="A919" s="1">
        <v>45516</v>
      </c>
      <c r="B919" s="4">
        <v>533.27</v>
      </c>
      <c r="C919" s="4">
        <v>36.869999999999997</v>
      </c>
      <c r="D919" s="3">
        <f t="shared" si="28"/>
        <v>5.2520024466093059E-4</v>
      </c>
      <c r="E919" s="3">
        <f t="shared" si="29"/>
        <v>1.7645067353838375E-3</v>
      </c>
    </row>
    <row r="920" spans="1:5" x14ac:dyDescent="0.25">
      <c r="A920" s="1">
        <v>45517</v>
      </c>
      <c r="B920" s="4">
        <v>542.04</v>
      </c>
      <c r="C920" s="4">
        <v>37.085000000000001</v>
      </c>
      <c r="D920" s="3">
        <f t="shared" si="28"/>
        <v>1.6311936946089543E-2</v>
      </c>
      <c r="E920" s="3">
        <f t="shared" si="29"/>
        <v>5.814362942468434E-3</v>
      </c>
    </row>
    <row r="921" spans="1:5" x14ac:dyDescent="0.25">
      <c r="A921" s="1">
        <v>45518</v>
      </c>
      <c r="B921" s="4">
        <v>543.75</v>
      </c>
      <c r="C921" s="4">
        <v>37.06</v>
      </c>
      <c r="D921" s="3">
        <f t="shared" si="28"/>
        <v>3.1497829483808941E-3</v>
      </c>
      <c r="E921" s="3">
        <f t="shared" si="29"/>
        <v>-6.743543313076553E-4</v>
      </c>
    </row>
    <row r="922" spans="1:5" x14ac:dyDescent="0.25">
      <c r="A922" s="1">
        <v>45519</v>
      </c>
      <c r="B922" s="4">
        <v>553.07000000000005</v>
      </c>
      <c r="C922" s="4">
        <v>37.055</v>
      </c>
      <c r="D922" s="3">
        <f t="shared" si="28"/>
        <v>1.699499338706148E-2</v>
      </c>
      <c r="E922" s="3">
        <f t="shared" si="29"/>
        <v>-1.3492545389159758E-4</v>
      </c>
    </row>
    <row r="923" spans="1:5" x14ac:dyDescent="0.25">
      <c r="A923" s="1">
        <v>45520</v>
      </c>
      <c r="B923" s="4">
        <v>554.30999999999995</v>
      </c>
      <c r="C923" s="4">
        <v>37.22</v>
      </c>
      <c r="D923" s="3">
        <f t="shared" si="28"/>
        <v>2.239521245215976E-3</v>
      </c>
      <c r="E923" s="3">
        <f t="shared" si="29"/>
        <v>4.4429558107824613E-3</v>
      </c>
    </row>
    <row r="924" spans="1:5" x14ac:dyDescent="0.25">
      <c r="A924" s="1">
        <v>45523</v>
      </c>
      <c r="B924" s="4">
        <v>559.61</v>
      </c>
      <c r="C924" s="4">
        <v>37.465000000000003</v>
      </c>
      <c r="D924" s="3">
        <f t="shared" si="28"/>
        <v>9.5160155035665401E-3</v>
      </c>
      <c r="E924" s="3">
        <f t="shared" si="29"/>
        <v>6.5609126021695524E-3</v>
      </c>
    </row>
    <row r="925" spans="1:5" x14ac:dyDescent="0.25">
      <c r="A925" s="1">
        <v>45524</v>
      </c>
      <c r="B925" s="4">
        <v>558.70000000000005</v>
      </c>
      <c r="C925" s="4">
        <v>37.384999999999998</v>
      </c>
      <c r="D925" s="3">
        <f t="shared" si="28"/>
        <v>-1.6274560736346034E-3</v>
      </c>
      <c r="E925" s="3">
        <f t="shared" si="29"/>
        <v>-2.1376093643953112E-3</v>
      </c>
    </row>
    <row r="926" spans="1:5" x14ac:dyDescent="0.25">
      <c r="A926" s="1">
        <v>45525</v>
      </c>
      <c r="B926" s="4">
        <v>560.62</v>
      </c>
      <c r="C926" s="4">
        <v>37.65</v>
      </c>
      <c r="D926" s="3">
        <f t="shared" si="28"/>
        <v>3.4306576905719982E-3</v>
      </c>
      <c r="E926" s="3">
        <f t="shared" si="29"/>
        <v>7.0633997940236521E-3</v>
      </c>
    </row>
    <row r="927" spans="1:5" x14ac:dyDescent="0.25">
      <c r="A927" s="1">
        <v>45526</v>
      </c>
      <c r="B927" s="4">
        <v>556.22</v>
      </c>
      <c r="C927" s="4">
        <v>37.604999999999997</v>
      </c>
      <c r="D927" s="3">
        <f t="shared" si="28"/>
        <v>-7.8794147139089402E-3</v>
      </c>
      <c r="E927" s="3">
        <f t="shared" si="29"/>
        <v>-1.195933967536267E-3</v>
      </c>
    </row>
    <row r="928" spans="1:5" x14ac:dyDescent="0.25">
      <c r="A928" s="1">
        <v>45527</v>
      </c>
      <c r="B928" s="4">
        <v>562.13</v>
      </c>
      <c r="C928" s="4">
        <v>37.71</v>
      </c>
      <c r="D928" s="3">
        <f t="shared" si="28"/>
        <v>1.0569240428314612E-2</v>
      </c>
      <c r="E928" s="3">
        <f t="shared" si="29"/>
        <v>2.7882909918994971E-3</v>
      </c>
    </row>
    <row r="929" spans="1:5" x14ac:dyDescent="0.25">
      <c r="A929" s="1">
        <v>45530</v>
      </c>
      <c r="B929" s="4">
        <v>560.79</v>
      </c>
      <c r="C929" s="4">
        <v>37.954999999999998</v>
      </c>
      <c r="D929" s="3">
        <f t="shared" si="28"/>
        <v>-2.3866359777309667E-3</v>
      </c>
      <c r="E929" s="3">
        <f t="shared" si="29"/>
        <v>6.4759361984657168E-3</v>
      </c>
    </row>
    <row r="930" spans="1:5" x14ac:dyDescent="0.25">
      <c r="A930" s="1">
        <v>45531</v>
      </c>
      <c r="B930" s="4">
        <v>561.55999999999995</v>
      </c>
      <c r="C930" s="4">
        <v>37.655000000000001</v>
      </c>
      <c r="D930" s="3">
        <f t="shared" si="28"/>
        <v>1.3721212114003801E-3</v>
      </c>
      <c r="E930" s="3">
        <f t="shared" si="29"/>
        <v>-7.9354999154164427E-3</v>
      </c>
    </row>
    <row r="931" spans="1:5" x14ac:dyDescent="0.25">
      <c r="A931" s="1">
        <v>45532</v>
      </c>
      <c r="B931" s="4">
        <v>558.29999999999995</v>
      </c>
      <c r="C931" s="4">
        <v>37.655000000000001</v>
      </c>
      <c r="D931" s="3">
        <f t="shared" si="28"/>
        <v>-5.8221727874356744E-3</v>
      </c>
      <c r="E931" s="3">
        <f t="shared" si="29"/>
        <v>0</v>
      </c>
    </row>
    <row r="932" spans="1:5" x14ac:dyDescent="0.25">
      <c r="A932" s="1">
        <v>45533</v>
      </c>
      <c r="B932" s="4">
        <v>558.35</v>
      </c>
      <c r="C932" s="4">
        <v>37.86</v>
      </c>
      <c r="D932" s="3">
        <f t="shared" si="28"/>
        <v>8.9553575486388417E-5</v>
      </c>
      <c r="E932" s="3">
        <f t="shared" si="29"/>
        <v>5.429398227861669E-3</v>
      </c>
    </row>
    <row r="933" spans="1:5" x14ac:dyDescent="0.25">
      <c r="A933" s="1">
        <v>45534</v>
      </c>
      <c r="B933" s="4">
        <v>563.67999999999995</v>
      </c>
      <c r="C933" s="4">
        <v>38.145000000000003</v>
      </c>
      <c r="D933" s="3">
        <f t="shared" si="28"/>
        <v>9.5007087011262474E-3</v>
      </c>
      <c r="E933" s="3">
        <f t="shared" si="29"/>
        <v>7.4995417610158677E-3</v>
      </c>
    </row>
    <row r="934" spans="1:5" x14ac:dyDescent="0.25">
      <c r="A934" s="1">
        <v>45538</v>
      </c>
      <c r="B934" s="4">
        <v>552.08000000000004</v>
      </c>
      <c r="C934" s="4">
        <v>38.090000000000003</v>
      </c>
      <c r="D934" s="3">
        <f t="shared" si="28"/>
        <v>-2.0793751280581006E-2</v>
      </c>
      <c r="E934" s="3">
        <f t="shared" si="29"/>
        <v>-1.4429070516800051E-3</v>
      </c>
    </row>
    <row r="935" spans="1:5" x14ac:dyDescent="0.25">
      <c r="A935" s="1">
        <v>45539</v>
      </c>
      <c r="B935" s="4">
        <v>550.95000000000005</v>
      </c>
      <c r="C935" s="4">
        <v>38.414999999999999</v>
      </c>
      <c r="D935" s="3">
        <f t="shared" si="28"/>
        <v>-2.0489023785603289E-3</v>
      </c>
      <c r="E935" s="3">
        <f t="shared" si="29"/>
        <v>8.4962278290853788E-3</v>
      </c>
    </row>
    <row r="936" spans="1:5" x14ac:dyDescent="0.25">
      <c r="A936" s="1">
        <v>45540</v>
      </c>
      <c r="B936" s="4">
        <v>549.61</v>
      </c>
      <c r="C936" s="4">
        <v>38.32</v>
      </c>
      <c r="D936" s="3">
        <f t="shared" si="28"/>
        <v>-2.4351251402282216E-3</v>
      </c>
      <c r="E936" s="3">
        <f t="shared" si="29"/>
        <v>-2.4760552169384832E-3</v>
      </c>
    </row>
    <row r="937" spans="1:5" x14ac:dyDescent="0.25">
      <c r="A937" s="1">
        <v>45541</v>
      </c>
      <c r="B937" s="4">
        <v>540.36</v>
      </c>
      <c r="C937" s="4">
        <v>37.954999999999998</v>
      </c>
      <c r="D937" s="3">
        <f t="shared" si="28"/>
        <v>-1.6973351692077254E-2</v>
      </c>
      <c r="E937" s="3">
        <f t="shared" si="29"/>
        <v>-9.5707056339283565E-3</v>
      </c>
    </row>
    <row r="938" spans="1:5" x14ac:dyDescent="0.25">
      <c r="A938" s="1">
        <v>45544</v>
      </c>
      <c r="B938" s="4">
        <v>546.41</v>
      </c>
      <c r="C938" s="4">
        <v>38.340000000000003</v>
      </c>
      <c r="D938" s="3">
        <f t="shared" si="28"/>
        <v>1.1134025598169043E-2</v>
      </c>
      <c r="E938" s="3">
        <f t="shared" si="29"/>
        <v>1.0092490148767105E-2</v>
      </c>
    </row>
    <row r="939" spans="1:5" x14ac:dyDescent="0.25">
      <c r="A939" s="1">
        <v>45545</v>
      </c>
      <c r="B939" s="4">
        <v>548.79</v>
      </c>
      <c r="C939" s="4">
        <v>38.520000000000003</v>
      </c>
      <c r="D939" s="3">
        <f t="shared" si="28"/>
        <v>4.346244971666878E-3</v>
      </c>
      <c r="E939" s="3">
        <f t="shared" si="29"/>
        <v>4.6838493124264375E-3</v>
      </c>
    </row>
    <row r="940" spans="1:5" x14ac:dyDescent="0.25">
      <c r="A940" s="1">
        <v>45546</v>
      </c>
      <c r="B940" s="4">
        <v>554.41999999999996</v>
      </c>
      <c r="C940" s="4">
        <v>38.64</v>
      </c>
      <c r="D940" s="3">
        <f t="shared" si="28"/>
        <v>1.0206667589763558E-2</v>
      </c>
      <c r="E940" s="3">
        <f t="shared" si="29"/>
        <v>3.1104224143923302E-3</v>
      </c>
    </row>
    <row r="941" spans="1:5" x14ac:dyDescent="0.25">
      <c r="A941" s="1">
        <v>45547</v>
      </c>
      <c r="B941" s="4">
        <v>559.09</v>
      </c>
      <c r="C941" s="4">
        <v>38.725000000000001</v>
      </c>
      <c r="D941" s="3">
        <f t="shared" si="28"/>
        <v>8.3879397235310169E-3</v>
      </c>
      <c r="E941" s="3">
        <f t="shared" si="29"/>
        <v>2.1973769586150827E-3</v>
      </c>
    </row>
    <row r="942" spans="1:5" x14ac:dyDescent="0.25">
      <c r="A942" s="1">
        <v>45548</v>
      </c>
      <c r="B942" s="4">
        <v>562.01</v>
      </c>
      <c r="C942" s="4">
        <v>39.270000000000003</v>
      </c>
      <c r="D942" s="3">
        <f t="shared" si="28"/>
        <v>5.2091813450821168E-3</v>
      </c>
      <c r="E942" s="3">
        <f t="shared" si="29"/>
        <v>1.397548228698605E-2</v>
      </c>
    </row>
    <row r="943" spans="1:5" x14ac:dyDescent="0.25">
      <c r="A943" s="1">
        <v>45551</v>
      </c>
      <c r="B943" s="4">
        <v>562.84</v>
      </c>
      <c r="C943" s="4">
        <v>39.57</v>
      </c>
      <c r="D943" s="3">
        <f t="shared" si="28"/>
        <v>1.4757525903619296E-3</v>
      </c>
      <c r="E943" s="3">
        <f t="shared" si="29"/>
        <v>7.6103868074145417E-3</v>
      </c>
    </row>
    <row r="944" spans="1:5" x14ac:dyDescent="0.25">
      <c r="A944" s="1">
        <v>45552</v>
      </c>
      <c r="B944" s="4">
        <v>563.07000000000005</v>
      </c>
      <c r="C944" s="4">
        <v>39.54</v>
      </c>
      <c r="D944" s="3">
        <f t="shared" si="28"/>
        <v>4.0855841621318729E-4</v>
      </c>
      <c r="E944" s="3">
        <f t="shared" si="29"/>
        <v>-7.5843765486215283E-4</v>
      </c>
    </row>
    <row r="945" spans="1:5" x14ac:dyDescent="0.25">
      <c r="A945" s="1">
        <v>45553</v>
      </c>
      <c r="B945" s="4">
        <v>561.4</v>
      </c>
      <c r="C945" s="4">
        <v>39.24</v>
      </c>
      <c r="D945" s="3">
        <f t="shared" si="28"/>
        <v>-2.9702904084861681E-3</v>
      </c>
      <c r="E945" s="3">
        <f t="shared" si="29"/>
        <v>-7.616183045308398E-3</v>
      </c>
    </row>
    <row r="946" spans="1:5" x14ac:dyDescent="0.25">
      <c r="A946" s="1">
        <v>45554</v>
      </c>
      <c r="B946" s="4">
        <v>570.98</v>
      </c>
      <c r="C946" s="4">
        <v>39.01</v>
      </c>
      <c r="D946" s="3">
        <f t="shared" si="28"/>
        <v>1.6920518845091718E-2</v>
      </c>
      <c r="E946" s="3">
        <f t="shared" si="29"/>
        <v>-5.8786111785972739E-3</v>
      </c>
    </row>
    <row r="947" spans="1:5" x14ac:dyDescent="0.25">
      <c r="A947" s="1">
        <v>45555</v>
      </c>
      <c r="B947" s="4">
        <v>568.25</v>
      </c>
      <c r="C947" s="4">
        <v>40.04</v>
      </c>
      <c r="D947" s="3">
        <f t="shared" si="28"/>
        <v>-4.7927200402212754E-3</v>
      </c>
      <c r="E947" s="3">
        <f t="shared" si="29"/>
        <v>2.606093092845466E-2</v>
      </c>
    </row>
    <row r="948" spans="1:5" x14ac:dyDescent="0.25">
      <c r="A948" s="1">
        <v>45558</v>
      </c>
      <c r="B948" s="4">
        <v>569.66999999999996</v>
      </c>
      <c r="C948" s="4">
        <v>40.164999999999999</v>
      </c>
      <c r="D948" s="3">
        <f t="shared" si="28"/>
        <v>2.4957830727825358E-3</v>
      </c>
      <c r="E948" s="3">
        <f t="shared" si="29"/>
        <v>3.1170151787559218E-3</v>
      </c>
    </row>
    <row r="949" spans="1:5" x14ac:dyDescent="0.25">
      <c r="A949" s="1">
        <v>45559</v>
      </c>
      <c r="B949" s="4">
        <v>571.29999999999995</v>
      </c>
      <c r="C949" s="4">
        <v>39.880000000000003</v>
      </c>
      <c r="D949" s="3">
        <f t="shared" si="28"/>
        <v>2.8572199249817408E-3</v>
      </c>
      <c r="E949" s="3">
        <f t="shared" si="29"/>
        <v>-7.1210245321381314E-3</v>
      </c>
    </row>
    <row r="950" spans="1:5" x14ac:dyDescent="0.25">
      <c r="A950" s="1">
        <v>45560</v>
      </c>
      <c r="B950" s="4">
        <v>570.04</v>
      </c>
      <c r="C950" s="4">
        <v>40.090000000000003</v>
      </c>
      <c r="D950" s="3">
        <f t="shared" si="28"/>
        <v>-2.2079319254054044E-3</v>
      </c>
      <c r="E950" s="3">
        <f t="shared" si="29"/>
        <v>5.2519815607780622E-3</v>
      </c>
    </row>
    <row r="951" spans="1:5" x14ac:dyDescent="0.25">
      <c r="A951" s="1">
        <v>45561</v>
      </c>
      <c r="B951" s="4">
        <v>572.29999999999995</v>
      </c>
      <c r="C951" s="4">
        <v>39.814999999999998</v>
      </c>
      <c r="D951" s="3">
        <f t="shared" si="28"/>
        <v>3.9567956100452452E-3</v>
      </c>
      <c r="E951" s="3">
        <f t="shared" si="29"/>
        <v>-6.883200945007566E-3</v>
      </c>
    </row>
    <row r="952" spans="1:5" x14ac:dyDescent="0.25">
      <c r="A952" s="1">
        <v>45562</v>
      </c>
      <c r="B952" s="4">
        <v>571.47</v>
      </c>
      <c r="C952" s="4">
        <v>40.21</v>
      </c>
      <c r="D952" s="3">
        <f t="shared" si="28"/>
        <v>-1.4513409963401271E-3</v>
      </c>
      <c r="E952" s="3">
        <f t="shared" si="29"/>
        <v>9.8719951997746063E-3</v>
      </c>
    </row>
    <row r="953" spans="1:5" x14ac:dyDescent="0.25">
      <c r="A953" s="1">
        <v>45565</v>
      </c>
      <c r="B953" s="4">
        <v>573.76</v>
      </c>
      <c r="C953" s="4">
        <v>40.39</v>
      </c>
      <c r="D953" s="3">
        <f t="shared" si="28"/>
        <v>3.9992019980517003E-3</v>
      </c>
      <c r="E953" s="3">
        <f t="shared" si="29"/>
        <v>4.4665086661387779E-3</v>
      </c>
    </row>
    <row r="954" spans="1:5" x14ac:dyDescent="0.25">
      <c r="A954" s="1">
        <v>45566</v>
      </c>
      <c r="B954" s="4">
        <v>568.62</v>
      </c>
      <c r="C954" s="4">
        <v>40.715000000000003</v>
      </c>
      <c r="D954" s="3">
        <f t="shared" si="28"/>
        <v>-8.9988177066095167E-3</v>
      </c>
      <c r="E954" s="3">
        <f t="shared" si="29"/>
        <v>8.0143453437732295E-3</v>
      </c>
    </row>
    <row r="955" spans="1:5" x14ac:dyDescent="0.25">
      <c r="A955" s="1">
        <v>45567</v>
      </c>
      <c r="B955" s="4">
        <v>568.86</v>
      </c>
      <c r="C955" s="4">
        <v>40.734999999999999</v>
      </c>
      <c r="D955" s="3">
        <f t="shared" si="28"/>
        <v>4.2198544776417637E-4</v>
      </c>
      <c r="E955" s="3">
        <f t="shared" si="29"/>
        <v>4.9109884351028563E-4</v>
      </c>
    </row>
    <row r="956" spans="1:5" x14ac:dyDescent="0.25">
      <c r="A956" s="1">
        <v>45568</v>
      </c>
      <c r="B956" s="4">
        <v>567.82000000000005</v>
      </c>
      <c r="C956" s="4">
        <v>40.72</v>
      </c>
      <c r="D956" s="3">
        <f t="shared" si="28"/>
        <v>-1.8298910690843348E-3</v>
      </c>
      <c r="E956" s="3">
        <f t="shared" si="29"/>
        <v>-3.6830152033779674E-4</v>
      </c>
    </row>
    <row r="957" spans="1:5" x14ac:dyDescent="0.25">
      <c r="A957" s="1">
        <v>45569</v>
      </c>
      <c r="B957" s="4">
        <v>572.98</v>
      </c>
      <c r="C957" s="4">
        <v>40.655000000000001</v>
      </c>
      <c r="D957" s="3">
        <f t="shared" si="28"/>
        <v>9.0463450027802022E-3</v>
      </c>
      <c r="E957" s="3">
        <f t="shared" si="29"/>
        <v>-1.5975425824664134E-3</v>
      </c>
    </row>
    <row r="958" spans="1:5" x14ac:dyDescent="0.25">
      <c r="A958" s="1">
        <v>45572</v>
      </c>
      <c r="B958" s="4">
        <v>567.79999999999995</v>
      </c>
      <c r="C958" s="4">
        <v>39.72</v>
      </c>
      <c r="D958" s="3">
        <f t="shared" si="28"/>
        <v>-9.0815680527480038E-3</v>
      </c>
      <c r="E958" s="3">
        <f t="shared" si="29"/>
        <v>-2.326699048282908E-2</v>
      </c>
    </row>
    <row r="959" spans="1:5" x14ac:dyDescent="0.25">
      <c r="A959" s="1">
        <v>45573</v>
      </c>
      <c r="B959" s="4">
        <v>573.16999999999996</v>
      </c>
      <c r="C959" s="4">
        <v>39.74</v>
      </c>
      <c r="D959" s="3">
        <f t="shared" si="28"/>
        <v>9.4131127925121162E-3</v>
      </c>
      <c r="E959" s="3">
        <f t="shared" si="29"/>
        <v>5.0339794669896102E-4</v>
      </c>
    </row>
    <row r="960" spans="1:5" x14ac:dyDescent="0.25">
      <c r="A960" s="1">
        <v>45574</v>
      </c>
      <c r="B960" s="4">
        <v>577.14</v>
      </c>
      <c r="C960" s="4">
        <v>39.4</v>
      </c>
      <c r="D960" s="3">
        <f t="shared" si="28"/>
        <v>6.9025145611961705E-3</v>
      </c>
      <c r="E960" s="3">
        <f t="shared" si="29"/>
        <v>-8.5924208197826913E-3</v>
      </c>
    </row>
    <row r="961" spans="1:5" x14ac:dyDescent="0.25">
      <c r="A961" s="1">
        <v>45575</v>
      </c>
      <c r="B961" s="4">
        <v>576.13</v>
      </c>
      <c r="C961" s="4">
        <v>39.28</v>
      </c>
      <c r="D961" s="3">
        <f t="shared" si="28"/>
        <v>-1.7515417174031708E-3</v>
      </c>
      <c r="E961" s="3">
        <f t="shared" si="29"/>
        <v>-3.05033281762298E-3</v>
      </c>
    </row>
    <row r="962" spans="1:5" x14ac:dyDescent="0.25">
      <c r="A962" s="1">
        <v>45576</v>
      </c>
      <c r="B962" s="4">
        <v>579.58000000000004</v>
      </c>
      <c r="C962" s="4">
        <v>39.625</v>
      </c>
      <c r="D962" s="3">
        <f t="shared" si="28"/>
        <v>5.9703736197406964E-3</v>
      </c>
      <c r="E962" s="3">
        <f t="shared" si="29"/>
        <v>8.7447487111794574E-3</v>
      </c>
    </row>
    <row r="963" spans="1:5" x14ac:dyDescent="0.25">
      <c r="A963" s="1">
        <v>45579</v>
      </c>
      <c r="B963" s="4">
        <v>584.32000000000005</v>
      </c>
      <c r="C963" s="4">
        <v>40.125</v>
      </c>
      <c r="D963" s="3">
        <f t="shared" si="28"/>
        <v>8.145074671632304E-3</v>
      </c>
      <c r="E963" s="3">
        <f t="shared" si="29"/>
        <v>1.2539349252735173E-2</v>
      </c>
    </row>
    <row r="964" spans="1:5" x14ac:dyDescent="0.25">
      <c r="A964" s="1">
        <v>45580</v>
      </c>
      <c r="B964" s="4">
        <v>579.78</v>
      </c>
      <c r="C964" s="4">
        <v>40.305</v>
      </c>
      <c r="D964" s="3">
        <f t="shared" ref="D964:D1027" si="30">LN(B964/B963)</f>
        <v>-7.8000567272769284E-3</v>
      </c>
      <c r="E964" s="3">
        <f t="shared" ref="E964:E1027" si="31">LN(C964/C963)</f>
        <v>4.4759492853843567E-3</v>
      </c>
    </row>
    <row r="965" spans="1:5" x14ac:dyDescent="0.25">
      <c r="A965" s="1">
        <v>45581</v>
      </c>
      <c r="B965" s="4">
        <v>582.29999999999995</v>
      </c>
      <c r="C965" s="4">
        <v>41.104999999999997</v>
      </c>
      <c r="D965" s="3">
        <f t="shared" si="30"/>
        <v>4.3370576038021221E-3</v>
      </c>
      <c r="E965" s="3">
        <f t="shared" si="31"/>
        <v>1.9654237868532487E-2</v>
      </c>
    </row>
    <row r="966" spans="1:5" x14ac:dyDescent="0.25">
      <c r="A966" s="1">
        <v>45582</v>
      </c>
      <c r="B966" s="4">
        <v>582.35</v>
      </c>
      <c r="C966" s="4">
        <v>40.74</v>
      </c>
      <c r="D966" s="3">
        <f t="shared" si="30"/>
        <v>8.5862705586730277E-5</v>
      </c>
      <c r="E966" s="3">
        <f t="shared" si="31"/>
        <v>-8.9193578054368762E-3</v>
      </c>
    </row>
    <row r="967" spans="1:5" x14ac:dyDescent="0.25">
      <c r="A967" s="1">
        <v>45583</v>
      </c>
      <c r="B967" s="4">
        <v>584.59</v>
      </c>
      <c r="C967" s="4">
        <v>40.975000000000001</v>
      </c>
      <c r="D967" s="3">
        <f t="shared" si="30"/>
        <v>3.8391052688719878E-3</v>
      </c>
      <c r="E967" s="3">
        <f t="shared" si="31"/>
        <v>5.7517138312336022E-3</v>
      </c>
    </row>
    <row r="968" spans="1:5" x14ac:dyDescent="0.25">
      <c r="A968" s="1">
        <v>45586</v>
      </c>
      <c r="B968" s="4">
        <v>583.63</v>
      </c>
      <c r="C968" s="4">
        <v>40.814999999999998</v>
      </c>
      <c r="D968" s="3">
        <f t="shared" si="30"/>
        <v>-1.6435264181308073E-3</v>
      </c>
      <c r="E968" s="3">
        <f t="shared" si="31"/>
        <v>-3.9124637265741148E-3</v>
      </c>
    </row>
    <row r="969" spans="1:5" x14ac:dyDescent="0.25">
      <c r="A969" s="1">
        <v>45587</v>
      </c>
      <c r="B969" s="4">
        <v>583.32000000000005</v>
      </c>
      <c r="C969" s="4">
        <v>40.67</v>
      </c>
      <c r="D969" s="3">
        <f t="shared" si="30"/>
        <v>-5.3129955403777339E-4</v>
      </c>
      <c r="E969" s="3">
        <f t="shared" si="31"/>
        <v>-3.5589409841860985E-3</v>
      </c>
    </row>
    <row r="970" spans="1:5" x14ac:dyDescent="0.25">
      <c r="A970" s="1">
        <v>45588</v>
      </c>
      <c r="B970" s="4">
        <v>577.99</v>
      </c>
      <c r="C970" s="4">
        <v>41.06</v>
      </c>
      <c r="D970" s="3">
        <f t="shared" si="30"/>
        <v>-9.1793533607140414E-3</v>
      </c>
      <c r="E970" s="3">
        <f t="shared" si="31"/>
        <v>9.543691671654312E-3</v>
      </c>
    </row>
    <row r="971" spans="1:5" x14ac:dyDescent="0.25">
      <c r="A971" s="1">
        <v>45589</v>
      </c>
      <c r="B971" s="4">
        <v>579.24</v>
      </c>
      <c r="C971" s="4">
        <v>40.795000000000002</v>
      </c>
      <c r="D971" s="3">
        <f t="shared" si="30"/>
        <v>2.1603319757513505E-3</v>
      </c>
      <c r="E971" s="3">
        <f t="shared" si="31"/>
        <v>-6.4748867100239606E-3</v>
      </c>
    </row>
    <row r="972" spans="1:5" x14ac:dyDescent="0.25">
      <c r="A972" s="1">
        <v>45590</v>
      </c>
      <c r="B972" s="4">
        <v>579.04</v>
      </c>
      <c r="C972" s="4">
        <v>40.19</v>
      </c>
      <c r="D972" s="3">
        <f t="shared" si="30"/>
        <v>-3.4533964496960936E-4</v>
      </c>
      <c r="E972" s="3">
        <f t="shared" si="31"/>
        <v>-1.4941316419653893E-2</v>
      </c>
    </row>
    <row r="973" spans="1:5" x14ac:dyDescent="0.25">
      <c r="A973" s="1">
        <v>45593</v>
      </c>
      <c r="B973" s="4">
        <v>580.83000000000004</v>
      </c>
      <c r="C973" s="4">
        <v>40.505000000000003</v>
      </c>
      <c r="D973" s="3">
        <f t="shared" si="30"/>
        <v>3.0865552537514716E-3</v>
      </c>
      <c r="E973" s="3">
        <f t="shared" si="31"/>
        <v>7.8072148213449277E-3</v>
      </c>
    </row>
    <row r="974" spans="1:5" x14ac:dyDescent="0.25">
      <c r="A974" s="1">
        <v>45594</v>
      </c>
      <c r="B974" s="4">
        <v>581.77</v>
      </c>
      <c r="C974" s="4">
        <v>39.64</v>
      </c>
      <c r="D974" s="3">
        <f t="shared" si="30"/>
        <v>1.6170655510646321E-3</v>
      </c>
      <c r="E974" s="3">
        <f t="shared" si="31"/>
        <v>-2.1586713820667347E-2</v>
      </c>
    </row>
    <row r="975" spans="1:5" x14ac:dyDescent="0.25">
      <c r="A975" s="1">
        <v>45595</v>
      </c>
      <c r="B975" s="4">
        <v>580.01</v>
      </c>
      <c r="C975" s="4">
        <v>39.545000000000002</v>
      </c>
      <c r="D975" s="3">
        <f t="shared" si="30"/>
        <v>-3.0298358491037914E-3</v>
      </c>
      <c r="E975" s="3">
        <f t="shared" si="31"/>
        <v>-2.3994454904066416E-3</v>
      </c>
    </row>
    <row r="976" spans="1:5" x14ac:dyDescent="0.25">
      <c r="A976" s="1">
        <v>45596</v>
      </c>
      <c r="B976" s="4">
        <v>568.64</v>
      </c>
      <c r="C976" s="4">
        <v>39.954999999999998</v>
      </c>
      <c r="D976" s="3">
        <f t="shared" si="30"/>
        <v>-1.979779980485798E-2</v>
      </c>
      <c r="E976" s="3">
        <f t="shared" si="31"/>
        <v>1.0314556855045514E-2</v>
      </c>
    </row>
    <row r="977" spans="1:5" x14ac:dyDescent="0.25">
      <c r="A977" s="1">
        <v>45597</v>
      </c>
      <c r="B977" s="4">
        <v>571.04</v>
      </c>
      <c r="C977" s="4">
        <v>39.064999999999998</v>
      </c>
      <c r="D977" s="3">
        <f t="shared" si="30"/>
        <v>4.2117147755637704E-3</v>
      </c>
      <c r="E977" s="3">
        <f t="shared" si="31"/>
        <v>-2.2526895377718507E-2</v>
      </c>
    </row>
    <row r="978" spans="1:5" x14ac:dyDescent="0.25">
      <c r="A978" s="1">
        <v>45600</v>
      </c>
      <c r="B978" s="4">
        <v>569.80999999999995</v>
      </c>
      <c r="C978" s="4">
        <v>38.6</v>
      </c>
      <c r="D978" s="3">
        <f t="shared" si="30"/>
        <v>-2.1562878144920322E-3</v>
      </c>
      <c r="E978" s="3">
        <f t="shared" si="31"/>
        <v>-1.1974648977922312E-2</v>
      </c>
    </row>
    <row r="979" spans="1:5" x14ac:dyDescent="0.25">
      <c r="A979" s="1">
        <v>45601</v>
      </c>
      <c r="B979" s="4">
        <v>576.70000000000005</v>
      </c>
      <c r="C979" s="4">
        <v>39.18</v>
      </c>
      <c r="D979" s="3">
        <f t="shared" si="30"/>
        <v>1.2019228694008901E-2</v>
      </c>
      <c r="E979" s="3">
        <f t="shared" si="31"/>
        <v>1.4914136045609438E-2</v>
      </c>
    </row>
    <row r="980" spans="1:5" x14ac:dyDescent="0.25">
      <c r="A980" s="1">
        <v>45602</v>
      </c>
      <c r="B980" s="4">
        <v>591.04</v>
      </c>
      <c r="C980" s="4">
        <v>38.774999999999999</v>
      </c>
      <c r="D980" s="3">
        <f t="shared" si="30"/>
        <v>2.4561496389508077E-2</v>
      </c>
      <c r="E980" s="3">
        <f t="shared" si="31"/>
        <v>-1.0390703453792255E-2</v>
      </c>
    </row>
    <row r="981" spans="1:5" x14ac:dyDescent="0.25">
      <c r="A981" s="1">
        <v>45603</v>
      </c>
      <c r="B981" s="4">
        <v>595.61</v>
      </c>
      <c r="C981" s="4">
        <v>38.844999999999999</v>
      </c>
      <c r="D981" s="3">
        <f t="shared" si="30"/>
        <v>7.7023934498383698E-3</v>
      </c>
      <c r="E981" s="3">
        <f t="shared" si="31"/>
        <v>1.8036593397815046E-3</v>
      </c>
    </row>
    <row r="982" spans="1:5" x14ac:dyDescent="0.25">
      <c r="A982" s="1">
        <v>45604</v>
      </c>
      <c r="B982" s="4">
        <v>598.19000000000005</v>
      </c>
      <c r="C982" s="4">
        <v>39.590000000000003</v>
      </c>
      <c r="D982" s="3">
        <f t="shared" si="30"/>
        <v>4.322338778288734E-3</v>
      </c>
      <c r="E982" s="3">
        <f t="shared" si="31"/>
        <v>1.8997192715655326E-2</v>
      </c>
    </row>
    <row r="983" spans="1:5" x14ac:dyDescent="0.25">
      <c r="A983" s="1">
        <v>45607</v>
      </c>
      <c r="B983" s="4">
        <v>598.76</v>
      </c>
      <c r="C983" s="4">
        <v>39.700000000000003</v>
      </c>
      <c r="D983" s="3">
        <f t="shared" si="30"/>
        <v>9.524208080329197E-4</v>
      </c>
      <c r="E983" s="3">
        <f t="shared" si="31"/>
        <v>2.774626575105387E-3</v>
      </c>
    </row>
    <row r="984" spans="1:5" x14ac:dyDescent="0.25">
      <c r="A984" s="1">
        <v>45608</v>
      </c>
      <c r="B984" s="4">
        <v>596.9</v>
      </c>
      <c r="C984" s="4">
        <v>39.244999999999997</v>
      </c>
      <c r="D984" s="3">
        <f t="shared" si="30"/>
        <v>-3.1112548724308913E-3</v>
      </c>
      <c r="E984" s="3">
        <f t="shared" si="31"/>
        <v>-1.152714011436784E-2</v>
      </c>
    </row>
    <row r="985" spans="1:5" x14ac:dyDescent="0.25">
      <c r="A985" s="1">
        <v>45609</v>
      </c>
      <c r="B985" s="4">
        <v>597.19000000000005</v>
      </c>
      <c r="C985" s="4">
        <v>39.174999999999997</v>
      </c>
      <c r="D985" s="3">
        <f t="shared" si="30"/>
        <v>4.8572554112622993E-4</v>
      </c>
      <c r="E985" s="3">
        <f t="shared" si="31"/>
        <v>-1.7852593366924489E-3</v>
      </c>
    </row>
    <row r="986" spans="1:5" x14ac:dyDescent="0.25">
      <c r="A986" s="1">
        <v>45610</v>
      </c>
      <c r="B986" s="4">
        <v>593.35</v>
      </c>
      <c r="C986" s="4">
        <v>39.04</v>
      </c>
      <c r="D986" s="3">
        <f t="shared" si="30"/>
        <v>-6.4508766045822258E-3</v>
      </c>
      <c r="E986" s="3">
        <f t="shared" si="31"/>
        <v>-3.4520266971926985E-3</v>
      </c>
    </row>
    <row r="987" spans="1:5" x14ac:dyDescent="0.25">
      <c r="A987" s="1">
        <v>45611</v>
      </c>
      <c r="B987" s="4">
        <v>585.75</v>
      </c>
      <c r="C987" s="4">
        <v>39.625</v>
      </c>
      <c r="D987" s="3">
        <f t="shared" si="30"/>
        <v>-1.2891366723243088E-2</v>
      </c>
      <c r="E987" s="3">
        <f t="shared" si="31"/>
        <v>1.487347065255297E-2</v>
      </c>
    </row>
    <row r="988" spans="1:5" x14ac:dyDescent="0.25">
      <c r="A988" s="1">
        <v>45614</v>
      </c>
      <c r="B988" s="4">
        <v>588.15</v>
      </c>
      <c r="C988" s="4">
        <v>39.97</v>
      </c>
      <c r="D988" s="3">
        <f t="shared" si="30"/>
        <v>4.0889400185452132E-3</v>
      </c>
      <c r="E988" s="3">
        <f t="shared" si="31"/>
        <v>8.6689405257874049E-3</v>
      </c>
    </row>
    <row r="989" spans="1:5" x14ac:dyDescent="0.25">
      <c r="A989" s="1">
        <v>45615</v>
      </c>
      <c r="B989" s="4">
        <v>590.29999999999995</v>
      </c>
      <c r="C989" s="4">
        <v>40.225000000000001</v>
      </c>
      <c r="D989" s="3">
        <f t="shared" si="30"/>
        <v>3.6488648401933068E-3</v>
      </c>
      <c r="E989" s="3">
        <f t="shared" si="31"/>
        <v>6.35952015521489E-3</v>
      </c>
    </row>
    <row r="990" spans="1:5" x14ac:dyDescent="0.25">
      <c r="A990" s="1">
        <v>45616</v>
      </c>
      <c r="B990" s="4">
        <v>590.5</v>
      </c>
      <c r="C990" s="4">
        <v>40.244999999999997</v>
      </c>
      <c r="D990" s="3">
        <f t="shared" si="30"/>
        <v>3.3875339077332414E-4</v>
      </c>
      <c r="E990" s="3">
        <f t="shared" si="31"/>
        <v>4.9707966725013686E-4</v>
      </c>
    </row>
    <row r="991" spans="1:5" x14ac:dyDescent="0.25">
      <c r="A991" s="1">
        <v>45617</v>
      </c>
      <c r="B991" s="4">
        <v>593.66999999999996</v>
      </c>
      <c r="C991" s="4">
        <v>40.945</v>
      </c>
      <c r="D991" s="3">
        <f t="shared" si="30"/>
        <v>5.3539737915049056E-3</v>
      </c>
      <c r="E991" s="3">
        <f t="shared" si="31"/>
        <v>1.7243930176454595E-2</v>
      </c>
    </row>
    <row r="992" spans="1:5" x14ac:dyDescent="0.25">
      <c r="A992" s="1">
        <v>45618</v>
      </c>
      <c r="B992" s="4">
        <v>595.51</v>
      </c>
      <c r="C992" s="4">
        <v>40.725000000000001</v>
      </c>
      <c r="D992" s="3">
        <f t="shared" si="30"/>
        <v>3.0945718366895045E-3</v>
      </c>
      <c r="E992" s="3">
        <f t="shared" si="31"/>
        <v>-5.3875482340427581E-3</v>
      </c>
    </row>
    <row r="993" spans="1:5" x14ac:dyDescent="0.25">
      <c r="A993" s="1">
        <v>45621</v>
      </c>
      <c r="B993" s="4">
        <v>597.53</v>
      </c>
      <c r="C993" s="4">
        <v>40.799999999999997</v>
      </c>
      <c r="D993" s="3">
        <f t="shared" si="30"/>
        <v>3.3863104846350504E-3</v>
      </c>
      <c r="E993" s="3">
        <f t="shared" si="31"/>
        <v>1.8399269220070735E-3</v>
      </c>
    </row>
    <row r="994" spans="1:5" x14ac:dyDescent="0.25">
      <c r="A994" s="1">
        <v>45622</v>
      </c>
      <c r="B994" s="4">
        <v>600.65</v>
      </c>
      <c r="C994" s="4">
        <v>41.45</v>
      </c>
      <c r="D994" s="3">
        <f t="shared" si="30"/>
        <v>5.2079104171373104E-3</v>
      </c>
      <c r="E994" s="3">
        <f t="shared" si="31"/>
        <v>1.5805800171188128E-2</v>
      </c>
    </row>
    <row r="995" spans="1:5" x14ac:dyDescent="0.25">
      <c r="A995" s="1">
        <v>45623</v>
      </c>
      <c r="B995" s="4">
        <v>598.83000000000004</v>
      </c>
      <c r="C995" s="4">
        <v>41.45</v>
      </c>
      <c r="D995" s="3">
        <f t="shared" si="30"/>
        <v>-3.0346506764830764E-3</v>
      </c>
      <c r="E995" s="3">
        <f t="shared" si="31"/>
        <v>0</v>
      </c>
    </row>
    <row r="996" spans="1:5" x14ac:dyDescent="0.25">
      <c r="A996" s="1">
        <v>45625</v>
      </c>
      <c r="B996" s="4">
        <v>602.54999999999995</v>
      </c>
      <c r="C996" s="4">
        <v>41.465000000000003</v>
      </c>
      <c r="D996" s="3">
        <f t="shared" si="30"/>
        <v>6.1928979824997033E-3</v>
      </c>
      <c r="E996" s="3">
        <f t="shared" si="31"/>
        <v>3.6181632186312333E-4</v>
      </c>
    </row>
    <row r="997" spans="1:5" x14ac:dyDescent="0.25">
      <c r="A997" s="1">
        <v>45628</v>
      </c>
      <c r="B997" s="4">
        <v>603.63</v>
      </c>
      <c r="C997" s="4">
        <v>40.575000000000003</v>
      </c>
      <c r="D997" s="3">
        <f t="shared" si="30"/>
        <v>1.7907779744643418E-3</v>
      </c>
      <c r="E997" s="3">
        <f t="shared" si="31"/>
        <v>-2.1697584502512156E-2</v>
      </c>
    </row>
    <row r="998" spans="1:5" x14ac:dyDescent="0.25">
      <c r="A998" s="1">
        <v>45629</v>
      </c>
      <c r="B998" s="4">
        <v>603.91</v>
      </c>
      <c r="C998" s="4">
        <v>40.225000000000001</v>
      </c>
      <c r="D998" s="3">
        <f t="shared" si="30"/>
        <v>4.6375276184341897E-4</v>
      </c>
      <c r="E998" s="3">
        <f t="shared" si="31"/>
        <v>-8.6634205222080769E-3</v>
      </c>
    </row>
    <row r="999" spans="1:5" x14ac:dyDescent="0.25">
      <c r="A999" s="1">
        <v>45630</v>
      </c>
      <c r="B999" s="4">
        <v>607.66</v>
      </c>
      <c r="C999" s="4">
        <v>40.22</v>
      </c>
      <c r="D999" s="3">
        <f t="shared" si="30"/>
        <v>6.190334813620189E-3</v>
      </c>
      <c r="E999" s="3">
        <f t="shared" si="31"/>
        <v>-1.2430853394100204E-4</v>
      </c>
    </row>
    <row r="1000" spans="1:5" x14ac:dyDescent="0.25">
      <c r="A1000" s="1">
        <v>45631</v>
      </c>
      <c r="B1000" s="4">
        <v>606.66</v>
      </c>
      <c r="C1000" s="4">
        <v>40.344999999999999</v>
      </c>
      <c r="D1000" s="3">
        <f t="shared" si="30"/>
        <v>-1.647012691966246E-3</v>
      </c>
      <c r="E1000" s="3">
        <f t="shared" si="31"/>
        <v>3.1030869559639873E-3</v>
      </c>
    </row>
    <row r="1001" spans="1:5" x14ac:dyDescent="0.25">
      <c r="A1001" s="1">
        <v>45632</v>
      </c>
      <c r="B1001" s="4">
        <v>607.80999999999995</v>
      </c>
      <c r="C1001" s="4">
        <v>39.844999999999999</v>
      </c>
      <c r="D1001" s="3">
        <f t="shared" si="30"/>
        <v>1.8938307965044219E-3</v>
      </c>
      <c r="E1001" s="3">
        <f t="shared" si="31"/>
        <v>-1.2470544450758386E-2</v>
      </c>
    </row>
    <row r="1002" spans="1:5" x14ac:dyDescent="0.25">
      <c r="A1002" s="1">
        <v>45635</v>
      </c>
      <c r="B1002" s="4">
        <v>604.67999999999995</v>
      </c>
      <c r="C1002" s="4">
        <v>39.344999999999999</v>
      </c>
      <c r="D1002" s="3">
        <f t="shared" si="30"/>
        <v>-5.1629406473600913E-3</v>
      </c>
      <c r="E1002" s="3">
        <f t="shared" si="31"/>
        <v>-1.2628024862764741E-2</v>
      </c>
    </row>
    <row r="1003" spans="1:5" x14ac:dyDescent="0.25">
      <c r="A1003" s="1">
        <v>45636</v>
      </c>
      <c r="B1003" s="4">
        <v>602.79999999999995</v>
      </c>
      <c r="C1003" s="4">
        <v>39.06</v>
      </c>
      <c r="D1003" s="3">
        <f t="shared" si="30"/>
        <v>-3.1139257281666607E-3</v>
      </c>
      <c r="E1003" s="3">
        <f t="shared" si="31"/>
        <v>-7.2699765384136861E-3</v>
      </c>
    </row>
    <row r="1004" spans="1:5" x14ac:dyDescent="0.25">
      <c r="A1004" s="1">
        <v>45637</v>
      </c>
      <c r="B1004" s="4">
        <v>607.46</v>
      </c>
      <c r="C1004" s="4">
        <v>38.814999999999998</v>
      </c>
      <c r="D1004" s="3">
        <f t="shared" si="30"/>
        <v>7.700862673177611E-3</v>
      </c>
      <c r="E1004" s="3">
        <f t="shared" si="31"/>
        <v>-6.2921555908893563E-3</v>
      </c>
    </row>
    <row r="1005" spans="1:5" x14ac:dyDescent="0.25">
      <c r="A1005" s="1">
        <v>45638</v>
      </c>
      <c r="B1005" s="4">
        <v>604.33000000000004</v>
      </c>
      <c r="C1005" s="4">
        <v>38.795000000000002</v>
      </c>
      <c r="D1005" s="3">
        <f t="shared" si="30"/>
        <v>-5.1659230737896812E-3</v>
      </c>
      <c r="E1005" s="3">
        <f t="shared" si="31"/>
        <v>-5.1539751173097456E-4</v>
      </c>
    </row>
    <row r="1006" spans="1:5" x14ac:dyDescent="0.25">
      <c r="A1006" s="1">
        <v>45639</v>
      </c>
      <c r="B1006" s="4">
        <v>604.21</v>
      </c>
      <c r="C1006" s="4">
        <v>38.82</v>
      </c>
      <c r="D1006" s="3">
        <f t="shared" si="30"/>
        <v>-1.9858672513011795E-4</v>
      </c>
      <c r="E1006" s="3">
        <f t="shared" si="31"/>
        <v>6.4420539495154447E-4</v>
      </c>
    </row>
    <row r="1007" spans="1:5" x14ac:dyDescent="0.25">
      <c r="A1007" s="1">
        <v>45642</v>
      </c>
      <c r="B1007" s="4">
        <v>606.79</v>
      </c>
      <c r="C1007" s="4">
        <v>38.51</v>
      </c>
      <c r="D1007" s="3">
        <f t="shared" si="30"/>
        <v>4.2609478174552157E-3</v>
      </c>
      <c r="E1007" s="3">
        <f t="shared" si="31"/>
        <v>-8.0176299140467845E-3</v>
      </c>
    </row>
    <row r="1008" spans="1:5" x14ac:dyDescent="0.25">
      <c r="A1008" s="1">
        <v>45643</v>
      </c>
      <c r="B1008" s="4">
        <v>604.29</v>
      </c>
      <c r="C1008" s="4">
        <v>38.35</v>
      </c>
      <c r="D1008" s="3">
        <f t="shared" si="30"/>
        <v>-4.1285522856112037E-3</v>
      </c>
      <c r="E1008" s="3">
        <f t="shared" si="31"/>
        <v>-4.1634200135522081E-3</v>
      </c>
    </row>
    <row r="1009" spans="1:5" x14ac:dyDescent="0.25">
      <c r="A1009" s="1">
        <v>45644</v>
      </c>
      <c r="B1009" s="4">
        <v>586.28</v>
      </c>
      <c r="C1009" s="4">
        <v>37.445</v>
      </c>
      <c r="D1009" s="3">
        <f t="shared" si="30"/>
        <v>-3.0256723999342438E-2</v>
      </c>
      <c r="E1009" s="3">
        <f t="shared" si="31"/>
        <v>-2.3881338111934779E-2</v>
      </c>
    </row>
    <row r="1010" spans="1:5" x14ac:dyDescent="0.25">
      <c r="A1010" s="1">
        <v>45645</v>
      </c>
      <c r="B1010" s="4">
        <v>586.1</v>
      </c>
      <c r="C1010" s="4">
        <v>37.615000000000002</v>
      </c>
      <c r="D1010" s="3">
        <f t="shared" si="30"/>
        <v>-3.0706767671622983E-4</v>
      </c>
      <c r="E1010" s="3">
        <f t="shared" si="31"/>
        <v>4.5297173108544385E-3</v>
      </c>
    </row>
    <row r="1011" spans="1:5" x14ac:dyDescent="0.25">
      <c r="A1011" s="1">
        <v>45646</v>
      </c>
      <c r="B1011" s="4">
        <v>591.15</v>
      </c>
      <c r="C1011" s="4">
        <v>38.215000000000003</v>
      </c>
      <c r="D1011" s="3">
        <f t="shared" si="30"/>
        <v>8.5793688267386658E-3</v>
      </c>
      <c r="E1011" s="3">
        <f t="shared" si="31"/>
        <v>1.582520168266258E-2</v>
      </c>
    </row>
    <row r="1012" spans="1:5" x14ac:dyDescent="0.25">
      <c r="A1012" s="1">
        <v>45649</v>
      </c>
      <c r="B1012" s="4">
        <v>594.69000000000005</v>
      </c>
      <c r="C1012" s="4">
        <v>38.03</v>
      </c>
      <c r="D1012" s="3">
        <f t="shared" si="30"/>
        <v>5.9704690611069441E-3</v>
      </c>
      <c r="E1012" s="3">
        <f t="shared" si="31"/>
        <v>-4.8527867546791364E-3</v>
      </c>
    </row>
    <row r="1013" spans="1:5" x14ac:dyDescent="0.25">
      <c r="A1013" s="1">
        <v>45650</v>
      </c>
      <c r="B1013" s="4">
        <v>601.29999999999995</v>
      </c>
      <c r="C1013" s="4">
        <v>38.24</v>
      </c>
      <c r="D1013" s="3">
        <f t="shared" si="30"/>
        <v>1.1053716675293576E-2</v>
      </c>
      <c r="E1013" s="3">
        <f t="shared" si="31"/>
        <v>5.506766243032213E-3</v>
      </c>
    </row>
    <row r="1014" spans="1:5" x14ac:dyDescent="0.25">
      <c r="A1014" s="1">
        <v>45652</v>
      </c>
      <c r="B1014" s="4">
        <v>601.34</v>
      </c>
      <c r="C1014" s="4">
        <v>38.15</v>
      </c>
      <c r="D1014" s="3">
        <f t="shared" si="30"/>
        <v>6.6520321982995449E-5</v>
      </c>
      <c r="E1014" s="3">
        <f t="shared" si="31"/>
        <v>-2.3563304527346109E-3</v>
      </c>
    </row>
    <row r="1015" spans="1:5" x14ac:dyDescent="0.25">
      <c r="A1015" s="1">
        <v>45653</v>
      </c>
      <c r="B1015" s="4">
        <v>595.01</v>
      </c>
      <c r="C1015" s="4">
        <v>38.04</v>
      </c>
      <c r="D1015" s="3">
        <f t="shared" si="30"/>
        <v>-1.0582286240418549E-2</v>
      </c>
      <c r="E1015" s="3">
        <f t="shared" si="31"/>
        <v>-2.8875200532764637E-3</v>
      </c>
    </row>
    <row r="1016" spans="1:5" x14ac:dyDescent="0.25">
      <c r="A1016" s="1">
        <v>45656</v>
      </c>
      <c r="B1016" s="4">
        <v>588.22</v>
      </c>
      <c r="C1016" s="4">
        <v>37.880000000000003</v>
      </c>
      <c r="D1016" s="3">
        <f t="shared" si="30"/>
        <v>-1.1477184545126546E-2</v>
      </c>
      <c r="E1016" s="3">
        <f t="shared" si="31"/>
        <v>-4.2149693593119238E-3</v>
      </c>
    </row>
    <row r="1017" spans="1:5" x14ac:dyDescent="0.25">
      <c r="A1017" s="1">
        <v>45657</v>
      </c>
      <c r="B1017" s="4">
        <v>586.08000000000004</v>
      </c>
      <c r="C1017" s="4">
        <v>37.844999999999999</v>
      </c>
      <c r="D1017" s="3">
        <f t="shared" si="30"/>
        <v>-3.6447285514564771E-3</v>
      </c>
      <c r="E1017" s="3">
        <f t="shared" si="31"/>
        <v>-9.2439755674682007E-4</v>
      </c>
    </row>
    <row r="1018" spans="1:5" x14ac:dyDescent="0.25">
      <c r="A1018" s="1">
        <v>45659</v>
      </c>
      <c r="B1018" s="4">
        <v>584.64</v>
      </c>
      <c r="C1018" s="4">
        <v>38.134999999999998</v>
      </c>
      <c r="D1018" s="3">
        <f t="shared" si="30"/>
        <v>-2.4600258408624229E-3</v>
      </c>
      <c r="E1018" s="3">
        <f t="shared" si="31"/>
        <v>7.6336248550712051E-3</v>
      </c>
    </row>
    <row r="1019" spans="1:5" x14ac:dyDescent="0.25">
      <c r="A1019" s="1">
        <v>45660</v>
      </c>
      <c r="B1019" s="4">
        <v>591.95000000000005</v>
      </c>
      <c r="C1019" s="4">
        <v>38.54</v>
      </c>
      <c r="D1019" s="3">
        <f t="shared" si="30"/>
        <v>1.2425898668003484E-2</v>
      </c>
      <c r="E1019" s="3">
        <f t="shared" si="31"/>
        <v>1.0564167370018532E-2</v>
      </c>
    </row>
    <row r="1020" spans="1:5" x14ac:dyDescent="0.25">
      <c r="A1020" s="1">
        <v>45663</v>
      </c>
      <c r="B1020" s="4">
        <v>595.36</v>
      </c>
      <c r="C1020" s="4">
        <v>38.11</v>
      </c>
      <c r="D1020" s="3">
        <f t="shared" si="30"/>
        <v>5.7440927406669689E-3</v>
      </c>
      <c r="E1020" s="3">
        <f t="shared" si="31"/>
        <v>-1.1219948100451462E-2</v>
      </c>
    </row>
    <row r="1021" spans="1:5" x14ac:dyDescent="0.25">
      <c r="A1021" s="1">
        <v>45664</v>
      </c>
      <c r="B1021" s="4">
        <v>588.63</v>
      </c>
      <c r="C1021" s="4">
        <v>38.015000000000001</v>
      </c>
      <c r="D1021" s="3">
        <f t="shared" si="30"/>
        <v>-1.1368461698192505E-2</v>
      </c>
      <c r="E1021" s="3">
        <f t="shared" si="31"/>
        <v>-2.495896205368804E-3</v>
      </c>
    </row>
    <row r="1022" spans="1:5" x14ac:dyDescent="0.25">
      <c r="A1022" s="1">
        <v>45665</v>
      </c>
      <c r="B1022" s="4">
        <v>589.49</v>
      </c>
      <c r="C1022" s="4">
        <v>38.005000000000003</v>
      </c>
      <c r="D1022" s="3">
        <f t="shared" si="30"/>
        <v>1.4599534050094873E-3</v>
      </c>
      <c r="E1022" s="3">
        <f t="shared" si="31"/>
        <v>-2.63088662396101E-4</v>
      </c>
    </row>
    <row r="1023" spans="1:5" x14ac:dyDescent="0.25">
      <c r="A1023" s="1">
        <v>45667</v>
      </c>
      <c r="B1023" s="4">
        <v>580.49</v>
      </c>
      <c r="C1023" s="4">
        <v>37.79</v>
      </c>
      <c r="D1023" s="3">
        <f t="shared" si="30"/>
        <v>-1.5385181844416077E-2</v>
      </c>
      <c r="E1023" s="3">
        <f t="shared" si="31"/>
        <v>-5.6732126566062368E-3</v>
      </c>
    </row>
    <row r="1024" spans="1:5" x14ac:dyDescent="0.25">
      <c r="A1024" s="1">
        <v>45670</v>
      </c>
      <c r="B1024" s="4">
        <v>581.39</v>
      </c>
      <c r="C1024" s="4">
        <v>37.35</v>
      </c>
      <c r="D1024" s="3">
        <f t="shared" si="30"/>
        <v>1.5492136537416299E-3</v>
      </c>
      <c r="E1024" s="3">
        <f t="shared" si="31"/>
        <v>-1.1711605782571218E-2</v>
      </c>
    </row>
    <row r="1025" spans="1:5" x14ac:dyDescent="0.25">
      <c r="A1025" s="1">
        <v>45671</v>
      </c>
      <c r="B1025" s="4">
        <v>582.19000000000005</v>
      </c>
      <c r="C1025" s="4">
        <v>37.840000000000003</v>
      </c>
      <c r="D1025" s="3">
        <f t="shared" si="30"/>
        <v>1.3750668214543903E-3</v>
      </c>
      <c r="E1025" s="3">
        <f t="shared" si="31"/>
        <v>1.3033832604851201E-2</v>
      </c>
    </row>
    <row r="1026" spans="1:5" x14ac:dyDescent="0.25">
      <c r="A1026" s="1">
        <v>45672</v>
      </c>
      <c r="B1026" s="4">
        <v>592.78</v>
      </c>
      <c r="C1026" s="4">
        <v>38.395000000000003</v>
      </c>
      <c r="D1026" s="3">
        <f t="shared" si="30"/>
        <v>1.8026480285188926E-2</v>
      </c>
      <c r="E1026" s="3">
        <f t="shared" si="31"/>
        <v>1.4560498598829441E-2</v>
      </c>
    </row>
    <row r="1027" spans="1:5" x14ac:dyDescent="0.25">
      <c r="A1027" s="1">
        <v>45673</v>
      </c>
      <c r="B1027" s="4">
        <v>591.64</v>
      </c>
      <c r="C1027" s="4">
        <v>39.365000000000002</v>
      </c>
      <c r="D1027" s="3">
        <f t="shared" si="30"/>
        <v>-1.9249934179293732E-3</v>
      </c>
      <c r="E1027" s="3">
        <f t="shared" si="31"/>
        <v>2.4949853853923558E-2</v>
      </c>
    </row>
    <row r="1028" spans="1:5" x14ac:dyDescent="0.25">
      <c r="A1028" s="1">
        <v>45674</v>
      </c>
      <c r="B1028" s="4">
        <v>597.58000000000004</v>
      </c>
      <c r="C1028" s="4">
        <v>39.42</v>
      </c>
      <c r="D1028" s="3">
        <f t="shared" ref="D1028:D1091" si="32">LN(B1028/B1027)</f>
        <v>9.9898242532570902E-3</v>
      </c>
      <c r="E1028" s="3">
        <f t="shared" ref="E1028:E1091" si="33">LN(C1028/C1027)</f>
        <v>1.3962050881436085E-3</v>
      </c>
    </row>
    <row r="1029" spans="1:5" x14ac:dyDescent="0.25">
      <c r="A1029" s="1">
        <v>45678</v>
      </c>
      <c r="B1029" s="4">
        <v>603.04999999999995</v>
      </c>
      <c r="C1029" s="4">
        <v>40.024999999999999</v>
      </c>
      <c r="D1029" s="3">
        <f t="shared" si="32"/>
        <v>9.1119459728253565E-3</v>
      </c>
      <c r="E1029" s="3">
        <f t="shared" si="33"/>
        <v>1.5230957158204061E-2</v>
      </c>
    </row>
    <row r="1030" spans="1:5" x14ac:dyDescent="0.25">
      <c r="A1030" s="1">
        <v>45679</v>
      </c>
      <c r="B1030" s="4">
        <v>606.44000000000005</v>
      </c>
      <c r="C1030" s="4">
        <v>39.159999999999997</v>
      </c>
      <c r="D1030" s="3">
        <f t="shared" si="32"/>
        <v>5.6056831841290889E-3</v>
      </c>
      <c r="E1030" s="3">
        <f t="shared" si="33"/>
        <v>-2.1848441220468858E-2</v>
      </c>
    </row>
    <row r="1031" spans="1:5" x14ac:dyDescent="0.25">
      <c r="A1031" s="1">
        <v>45680</v>
      </c>
      <c r="B1031" s="4">
        <v>609.75</v>
      </c>
      <c r="C1031" s="4">
        <v>39.344999999999999</v>
      </c>
      <c r="D1031" s="3">
        <f t="shared" si="32"/>
        <v>5.4432418826487715E-3</v>
      </c>
      <c r="E1031" s="3">
        <f t="shared" si="33"/>
        <v>4.7130843246371073E-3</v>
      </c>
    </row>
    <row r="1032" spans="1:5" x14ac:dyDescent="0.25">
      <c r="A1032" s="1">
        <v>45681</v>
      </c>
      <c r="B1032" s="4">
        <v>607.97</v>
      </c>
      <c r="C1032" s="4">
        <v>39.744999999999997</v>
      </c>
      <c r="D1032" s="3">
        <f t="shared" si="32"/>
        <v>-2.9234984524875406E-3</v>
      </c>
      <c r="E1032" s="3">
        <f t="shared" si="33"/>
        <v>1.0115145038129139E-2</v>
      </c>
    </row>
    <row r="1033" spans="1:5" x14ac:dyDescent="0.25">
      <c r="A1033" s="1">
        <v>45684</v>
      </c>
      <c r="B1033" s="4">
        <v>599.37</v>
      </c>
      <c r="C1033" s="4">
        <v>38.825000000000003</v>
      </c>
      <c r="D1033" s="3">
        <f t="shared" si="32"/>
        <v>-1.424643506357488E-2</v>
      </c>
      <c r="E1033" s="3">
        <f t="shared" si="33"/>
        <v>-2.3419677990325054E-2</v>
      </c>
    </row>
    <row r="1034" spans="1:5" x14ac:dyDescent="0.25">
      <c r="A1034" s="1">
        <v>45685</v>
      </c>
      <c r="B1034" s="4">
        <v>604.52</v>
      </c>
      <c r="C1034" s="4">
        <v>38.29</v>
      </c>
      <c r="D1034" s="3">
        <f t="shared" si="32"/>
        <v>8.5556511219527336E-3</v>
      </c>
      <c r="E1034" s="3">
        <f t="shared" si="33"/>
        <v>-1.3875603545547708E-2</v>
      </c>
    </row>
    <row r="1035" spans="1:5" x14ac:dyDescent="0.25">
      <c r="A1035" s="1">
        <v>45686</v>
      </c>
      <c r="B1035" s="4">
        <v>601.80999999999995</v>
      </c>
      <c r="C1035" s="4">
        <v>38.369999999999997</v>
      </c>
      <c r="D1035" s="3">
        <f t="shared" si="32"/>
        <v>-4.4929738278148426E-3</v>
      </c>
      <c r="E1035" s="3">
        <f t="shared" si="33"/>
        <v>2.0871387696579113E-3</v>
      </c>
    </row>
    <row r="1036" spans="1:5" x14ac:dyDescent="0.25">
      <c r="A1036" s="1">
        <v>45687</v>
      </c>
      <c r="B1036" s="4">
        <v>605.04</v>
      </c>
      <c r="C1036" s="4">
        <v>39.17</v>
      </c>
      <c r="D1036" s="3">
        <f t="shared" si="32"/>
        <v>5.3527906736690377E-3</v>
      </c>
      <c r="E1036" s="3">
        <f t="shared" si="33"/>
        <v>2.0635243418879089E-2</v>
      </c>
    </row>
    <row r="1037" spans="1:5" x14ac:dyDescent="0.25">
      <c r="A1037" s="1">
        <v>45688</v>
      </c>
      <c r="B1037" s="4">
        <v>601.82000000000005</v>
      </c>
      <c r="C1037" s="4">
        <v>38.94</v>
      </c>
      <c r="D1037" s="3">
        <f t="shared" si="32"/>
        <v>-5.3361742716179789E-3</v>
      </c>
      <c r="E1037" s="3">
        <f t="shared" si="33"/>
        <v>-5.8891477336863703E-3</v>
      </c>
    </row>
    <row r="1038" spans="1:5" x14ac:dyDescent="0.25">
      <c r="A1038" s="1">
        <v>45691</v>
      </c>
      <c r="B1038" s="4">
        <v>597.77</v>
      </c>
      <c r="C1038" s="4">
        <v>39.15</v>
      </c>
      <c r="D1038" s="3">
        <f t="shared" si="32"/>
        <v>-6.7523326936074508E-3</v>
      </c>
      <c r="E1038" s="3">
        <f t="shared" si="33"/>
        <v>5.3784224927586064E-3</v>
      </c>
    </row>
    <row r="1039" spans="1:5" x14ac:dyDescent="0.25">
      <c r="A1039" s="1">
        <v>45692</v>
      </c>
      <c r="B1039" s="4">
        <v>601.78</v>
      </c>
      <c r="C1039" s="4">
        <v>38.805</v>
      </c>
      <c r="D1039" s="3">
        <f t="shared" si="32"/>
        <v>6.6858654287108065E-3</v>
      </c>
      <c r="E1039" s="3">
        <f t="shared" si="33"/>
        <v>-8.8513181307098808E-3</v>
      </c>
    </row>
    <row r="1040" spans="1:5" x14ac:dyDescent="0.25">
      <c r="A1040" s="1">
        <v>45693</v>
      </c>
      <c r="B1040" s="4">
        <v>604.22</v>
      </c>
      <c r="C1040" s="4">
        <v>39.195</v>
      </c>
      <c r="D1040" s="3">
        <f t="shared" si="32"/>
        <v>4.0464400154451166E-3</v>
      </c>
      <c r="E1040" s="3">
        <f t="shared" si="33"/>
        <v>1.0000083334583399E-2</v>
      </c>
    </row>
    <row r="1041" spans="1:5" x14ac:dyDescent="0.25">
      <c r="A1041" s="1">
        <v>45694</v>
      </c>
      <c r="B1041" s="4">
        <v>606.32000000000005</v>
      </c>
      <c r="C1041" s="4">
        <v>39.15</v>
      </c>
      <c r="D1041" s="3">
        <f t="shared" si="32"/>
        <v>3.4695294770691197E-3</v>
      </c>
      <c r="E1041" s="3">
        <f t="shared" si="33"/>
        <v>-1.1487652038734818E-3</v>
      </c>
    </row>
    <row r="1042" spans="1:5" x14ac:dyDescent="0.25">
      <c r="A1042" s="1">
        <v>45695</v>
      </c>
      <c r="B1042" s="4">
        <v>600.77</v>
      </c>
      <c r="C1042" s="4">
        <v>39.07</v>
      </c>
      <c r="D1042" s="3">
        <f t="shared" si="32"/>
        <v>-9.1957337226675311E-3</v>
      </c>
      <c r="E1042" s="3">
        <f t="shared" si="33"/>
        <v>-2.0455133698328784E-3</v>
      </c>
    </row>
    <row r="1043" spans="1:5" x14ac:dyDescent="0.25">
      <c r="A1043" s="1">
        <v>45698</v>
      </c>
      <c r="B1043" s="4">
        <v>604.85</v>
      </c>
      <c r="C1043" s="4">
        <v>39.494999999999997</v>
      </c>
      <c r="D1043" s="3">
        <f t="shared" si="32"/>
        <v>6.7683276247509526E-3</v>
      </c>
      <c r="E1043" s="3">
        <f t="shared" si="33"/>
        <v>1.0819172549403235E-2</v>
      </c>
    </row>
    <row r="1044" spans="1:5" x14ac:dyDescent="0.25">
      <c r="A1044" s="1">
        <v>45699</v>
      </c>
      <c r="B1044" s="4">
        <v>605.30999999999995</v>
      </c>
      <c r="C1044" s="4">
        <v>39.695</v>
      </c>
      <c r="D1044" s="3">
        <f t="shared" si="32"/>
        <v>7.6023008883890138E-4</v>
      </c>
      <c r="E1044" s="3">
        <f t="shared" si="33"/>
        <v>5.0511535606942654E-3</v>
      </c>
    </row>
    <row r="1045" spans="1:5" x14ac:dyDescent="0.25">
      <c r="A1045" s="1">
        <v>45700</v>
      </c>
      <c r="B1045" s="4">
        <v>603.36</v>
      </c>
      <c r="C1045" s="4">
        <v>39.625</v>
      </c>
      <c r="D1045" s="3">
        <f t="shared" si="32"/>
        <v>-3.2266899846492007E-3</v>
      </c>
      <c r="E1045" s="3">
        <f t="shared" si="33"/>
        <v>-1.7650029796320091E-3</v>
      </c>
    </row>
    <row r="1046" spans="1:5" x14ac:dyDescent="0.25">
      <c r="A1046" s="1">
        <v>45701</v>
      </c>
      <c r="B1046" s="4">
        <v>609.73</v>
      </c>
      <c r="C1046" s="4">
        <v>39.715000000000003</v>
      </c>
      <c r="D1046" s="3">
        <f t="shared" si="32"/>
        <v>1.0502202720036824E-2</v>
      </c>
      <c r="E1046" s="3">
        <f t="shared" si="33"/>
        <v>2.2687178876507081E-3</v>
      </c>
    </row>
    <row r="1047" spans="1:5" x14ac:dyDescent="0.25">
      <c r="A1047" s="1">
        <v>45702</v>
      </c>
      <c r="B1047" s="4">
        <v>609.70000000000005</v>
      </c>
      <c r="C1047" s="4">
        <v>39.549999999999997</v>
      </c>
      <c r="D1047" s="3">
        <f t="shared" si="32"/>
        <v>-4.9203316313447511E-5</v>
      </c>
      <c r="E1047" s="3">
        <f t="shared" si="33"/>
        <v>-4.1632558714326173E-3</v>
      </c>
    </row>
    <row r="1048" spans="1:5" x14ac:dyDescent="0.25">
      <c r="A1048" s="1">
        <v>45706</v>
      </c>
      <c r="B1048" s="4">
        <v>611.49</v>
      </c>
      <c r="C1048" s="4">
        <v>39.92</v>
      </c>
      <c r="D1048" s="3">
        <f t="shared" si="32"/>
        <v>2.9315688499782803E-3</v>
      </c>
      <c r="E1048" s="3">
        <f t="shared" si="33"/>
        <v>9.311757229600379E-3</v>
      </c>
    </row>
    <row r="1049" spans="1:5" x14ac:dyDescent="0.25">
      <c r="A1049" s="1">
        <v>45707</v>
      </c>
      <c r="B1049" s="4">
        <v>612.92999999999995</v>
      </c>
      <c r="C1049" s="4">
        <v>40.130000000000003</v>
      </c>
      <c r="D1049" s="3">
        <f t="shared" si="32"/>
        <v>2.3521351560814468E-3</v>
      </c>
      <c r="E1049" s="3">
        <f t="shared" si="33"/>
        <v>5.2467328355621503E-3</v>
      </c>
    </row>
    <row r="1050" spans="1:5" x14ac:dyDescent="0.25">
      <c r="A1050" s="1">
        <v>45708</v>
      </c>
      <c r="B1050" s="4">
        <v>610.38</v>
      </c>
      <c r="C1050" s="4">
        <v>40.125</v>
      </c>
      <c r="D1050" s="3">
        <f t="shared" si="32"/>
        <v>-4.1690228861182435E-3</v>
      </c>
      <c r="E1050" s="3">
        <f t="shared" si="33"/>
        <v>-1.2460282864549548E-4</v>
      </c>
    </row>
    <row r="1051" spans="1:5" x14ac:dyDescent="0.25">
      <c r="A1051" s="1">
        <v>45709</v>
      </c>
      <c r="B1051" s="4">
        <v>599.94000000000005</v>
      </c>
      <c r="C1051" s="4">
        <v>40.134999999999998</v>
      </c>
      <c r="D1051" s="3">
        <f t="shared" si="32"/>
        <v>-1.7252063817898872E-2</v>
      </c>
      <c r="E1051" s="3">
        <f t="shared" si="33"/>
        <v>2.4919013336016909E-4</v>
      </c>
    </row>
    <row r="1052" spans="1:5" x14ac:dyDescent="0.25">
      <c r="A1052" s="1">
        <v>45712</v>
      </c>
      <c r="B1052" s="4">
        <v>597.21</v>
      </c>
      <c r="C1052" s="4">
        <v>39.935000000000002</v>
      </c>
      <c r="D1052" s="3">
        <f t="shared" si="32"/>
        <v>-4.5608398818612677E-3</v>
      </c>
      <c r="E1052" s="3">
        <f t="shared" si="33"/>
        <v>-4.9956392141878121E-3</v>
      </c>
    </row>
    <row r="1053" spans="1:5" x14ac:dyDescent="0.25">
      <c r="A1053" s="1">
        <v>45713</v>
      </c>
      <c r="B1053" s="4">
        <v>594.24</v>
      </c>
      <c r="C1053" s="4">
        <v>39.734999999999999</v>
      </c>
      <c r="D1053" s="3">
        <f t="shared" si="32"/>
        <v>-4.9855321696108011E-3</v>
      </c>
      <c r="E1053" s="3">
        <f t="shared" si="33"/>
        <v>-5.0207209772096485E-3</v>
      </c>
    </row>
    <row r="1054" spans="1:5" x14ac:dyDescent="0.25">
      <c r="A1054" s="1">
        <v>45714</v>
      </c>
      <c r="B1054" s="4">
        <v>594.54</v>
      </c>
      <c r="C1054" s="4">
        <v>39.9</v>
      </c>
      <c r="D1054" s="3">
        <f t="shared" si="32"/>
        <v>5.0471913452183165E-4</v>
      </c>
      <c r="E1054" s="3">
        <f t="shared" si="33"/>
        <v>4.1439125036749434E-3</v>
      </c>
    </row>
    <row r="1055" spans="1:5" x14ac:dyDescent="0.25">
      <c r="A1055" s="1">
        <v>45715</v>
      </c>
      <c r="B1055" s="4">
        <v>585.04999999999995</v>
      </c>
      <c r="C1055" s="4">
        <v>39.015000000000001</v>
      </c>
      <c r="D1055" s="3">
        <f t="shared" si="32"/>
        <v>-1.6090683633896055E-2</v>
      </c>
      <c r="E1055" s="3">
        <f t="shared" si="33"/>
        <v>-2.2430136327093189E-2</v>
      </c>
    </row>
    <row r="1056" spans="1:5" x14ac:dyDescent="0.25">
      <c r="A1056" s="1">
        <v>45716</v>
      </c>
      <c r="B1056" s="4">
        <v>594.17999999999995</v>
      </c>
      <c r="C1056" s="4">
        <v>39.61</v>
      </c>
      <c r="D1056" s="3">
        <f t="shared" si="32"/>
        <v>1.5484990096299429E-2</v>
      </c>
      <c r="E1056" s="3">
        <f t="shared" si="33"/>
        <v>1.5135424065100595E-2</v>
      </c>
    </row>
    <row r="1057" spans="1:5" x14ac:dyDescent="0.25">
      <c r="A1057" s="1">
        <v>45719</v>
      </c>
      <c r="B1057" s="4">
        <v>583.77</v>
      </c>
      <c r="C1057" s="4">
        <v>39.664999999999999</v>
      </c>
      <c r="D1057" s="3">
        <f t="shared" si="32"/>
        <v>-1.767523412309218E-2</v>
      </c>
      <c r="E1057" s="3">
        <f t="shared" si="33"/>
        <v>1.387575120141077E-3</v>
      </c>
    </row>
    <row r="1058" spans="1:5" x14ac:dyDescent="0.25">
      <c r="A1058" s="1">
        <v>45720</v>
      </c>
      <c r="B1058" s="4">
        <v>576.86</v>
      </c>
      <c r="C1058" s="4">
        <v>39.020000000000003</v>
      </c>
      <c r="D1058" s="3">
        <f t="shared" si="32"/>
        <v>-1.190746688596688E-2</v>
      </c>
      <c r="E1058" s="3">
        <f t="shared" si="33"/>
        <v>-1.6394851559000976E-2</v>
      </c>
    </row>
    <row r="1059" spans="1:5" x14ac:dyDescent="0.25">
      <c r="A1059" s="1">
        <v>45721</v>
      </c>
      <c r="B1059" s="4">
        <v>583.05999999999995</v>
      </c>
      <c r="C1059" s="4">
        <v>38.744999999999997</v>
      </c>
      <c r="D1059" s="3">
        <f t="shared" si="32"/>
        <v>1.0690494254774401E-2</v>
      </c>
      <c r="E1059" s="3">
        <f t="shared" si="33"/>
        <v>-7.0726199790517663E-3</v>
      </c>
    </row>
    <row r="1060" spans="1:5" x14ac:dyDescent="0.25">
      <c r="A1060" s="1">
        <v>45722</v>
      </c>
      <c r="B1060" s="4">
        <v>572.71</v>
      </c>
      <c r="C1060" s="4">
        <v>37.94</v>
      </c>
      <c r="D1060" s="3">
        <f t="shared" si="32"/>
        <v>-1.7910616610670373E-2</v>
      </c>
      <c r="E1060" s="3">
        <f t="shared" si="33"/>
        <v>-2.0995750709045323E-2</v>
      </c>
    </row>
    <row r="1061" spans="1:5" x14ac:dyDescent="0.25">
      <c r="A1061" s="1">
        <v>45723</v>
      </c>
      <c r="B1061" s="4">
        <v>575.91999999999996</v>
      </c>
      <c r="C1061" s="4">
        <v>38.645000000000003</v>
      </c>
      <c r="D1061" s="3">
        <f t="shared" si="32"/>
        <v>5.5892817647361648E-3</v>
      </c>
      <c r="E1061" s="3">
        <f t="shared" si="33"/>
        <v>1.841143605196632E-2</v>
      </c>
    </row>
    <row r="1062" spans="1:5" x14ac:dyDescent="0.25">
      <c r="A1062" s="1">
        <v>45726</v>
      </c>
      <c r="B1062" s="4">
        <v>560.58000000000004</v>
      </c>
      <c r="C1062" s="4">
        <v>39.07</v>
      </c>
      <c r="D1062" s="3">
        <f t="shared" si="32"/>
        <v>-2.699680012812802E-2</v>
      </c>
      <c r="E1062" s="3">
        <f t="shared" si="33"/>
        <v>1.0937508508144882E-2</v>
      </c>
    </row>
    <row r="1063" spans="1:5" x14ac:dyDescent="0.25">
      <c r="A1063" s="1">
        <v>45727</v>
      </c>
      <c r="B1063" s="4">
        <v>555.91999999999996</v>
      </c>
      <c r="C1063" s="4">
        <v>38.704999999999998</v>
      </c>
      <c r="D1063" s="3">
        <f t="shared" si="32"/>
        <v>-8.3475630268474467E-3</v>
      </c>
      <c r="E1063" s="3">
        <f t="shared" si="33"/>
        <v>-9.3861184103025373E-3</v>
      </c>
    </row>
    <row r="1064" spans="1:5" x14ac:dyDescent="0.25">
      <c r="A1064" s="1">
        <v>45728</v>
      </c>
      <c r="B1064" s="4">
        <v>558.87</v>
      </c>
      <c r="C1064" s="4">
        <v>38.585000000000001</v>
      </c>
      <c r="D1064" s="3">
        <f t="shared" si="32"/>
        <v>5.2924889636550071E-3</v>
      </c>
      <c r="E1064" s="3">
        <f t="shared" si="33"/>
        <v>-3.1051907471103249E-3</v>
      </c>
    </row>
    <row r="1065" spans="1:5" x14ac:dyDescent="0.25">
      <c r="A1065" s="1">
        <v>45729</v>
      </c>
      <c r="B1065" s="4">
        <v>551.41999999999996</v>
      </c>
      <c r="C1065" s="4">
        <v>38.68</v>
      </c>
      <c r="D1065" s="3">
        <f t="shared" si="32"/>
        <v>-1.3420118728424427E-2</v>
      </c>
      <c r="E1065" s="3">
        <f t="shared" si="33"/>
        <v>2.4590706755271297E-3</v>
      </c>
    </row>
    <row r="1066" spans="1:5" x14ac:dyDescent="0.25">
      <c r="A1066" s="1">
        <v>45730</v>
      </c>
      <c r="B1066" s="4">
        <v>562.80999999999995</v>
      </c>
      <c r="C1066" s="4">
        <v>39.435000000000002</v>
      </c>
      <c r="D1066" s="3">
        <f t="shared" si="32"/>
        <v>2.044532414242739E-2</v>
      </c>
      <c r="E1066" s="3">
        <f t="shared" si="33"/>
        <v>1.933107626486073E-2</v>
      </c>
    </row>
    <row r="1067" spans="1:5" x14ac:dyDescent="0.25">
      <c r="A1067" s="1">
        <v>45733</v>
      </c>
      <c r="B1067" s="4">
        <v>567.15</v>
      </c>
      <c r="C1067" s="4">
        <v>39.6</v>
      </c>
      <c r="D1067" s="3">
        <f t="shared" si="32"/>
        <v>7.6817256213216707E-3</v>
      </c>
      <c r="E1067" s="3">
        <f t="shared" si="33"/>
        <v>4.175371410480592E-3</v>
      </c>
    </row>
    <row r="1068" spans="1:5" x14ac:dyDescent="0.25">
      <c r="A1068" s="1">
        <v>45734</v>
      </c>
      <c r="B1068" s="4">
        <v>561.02</v>
      </c>
      <c r="C1068" s="4">
        <v>39.325000000000003</v>
      </c>
      <c r="D1068" s="3">
        <f t="shared" si="32"/>
        <v>-1.0867263493937702E-2</v>
      </c>
      <c r="E1068" s="3">
        <f t="shared" si="33"/>
        <v>-6.9686693160933158E-3</v>
      </c>
    </row>
    <row r="1069" spans="1:5" x14ac:dyDescent="0.25">
      <c r="A1069" s="1">
        <v>45735</v>
      </c>
      <c r="B1069" s="4">
        <v>567.13</v>
      </c>
      <c r="C1069" s="4">
        <v>39.47</v>
      </c>
      <c r="D1069" s="3">
        <f t="shared" si="32"/>
        <v>1.0831998832651152E-2</v>
      </c>
      <c r="E1069" s="3">
        <f t="shared" si="33"/>
        <v>3.6804407304141971E-3</v>
      </c>
    </row>
    <row r="1070" spans="1:5" x14ac:dyDescent="0.25">
      <c r="A1070" s="1">
        <v>45736</v>
      </c>
      <c r="B1070" s="4">
        <v>565.49</v>
      </c>
      <c r="C1070" s="4">
        <v>39.630000000000003</v>
      </c>
      <c r="D1070" s="3">
        <f t="shared" si="32"/>
        <v>-2.895942409903512E-3</v>
      </c>
      <c r="E1070" s="3">
        <f t="shared" si="33"/>
        <v>4.0455175275878868E-3</v>
      </c>
    </row>
    <row r="1071" spans="1:5" x14ac:dyDescent="0.25">
      <c r="A1071" s="1">
        <v>45737</v>
      </c>
      <c r="B1071" s="4">
        <v>563.98</v>
      </c>
      <c r="C1071" s="4">
        <v>39.375</v>
      </c>
      <c r="D1071" s="3">
        <f t="shared" si="32"/>
        <v>-2.6738220574662338E-3</v>
      </c>
      <c r="E1071" s="3">
        <f t="shared" si="33"/>
        <v>-6.4553100565465813E-3</v>
      </c>
    </row>
    <row r="1072" spans="1:5" x14ac:dyDescent="0.25">
      <c r="A1072" s="1">
        <v>45740</v>
      </c>
      <c r="B1072" s="4">
        <v>574.08000000000004</v>
      </c>
      <c r="C1072" s="4">
        <v>39.085000000000001</v>
      </c>
      <c r="D1072" s="3">
        <f t="shared" si="32"/>
        <v>1.774996955398149E-2</v>
      </c>
      <c r="E1072" s="3">
        <f t="shared" si="33"/>
        <v>-7.3923354735033744E-3</v>
      </c>
    </row>
    <row r="1073" spans="1:5" x14ac:dyDescent="0.25">
      <c r="A1073" s="1">
        <v>45741</v>
      </c>
      <c r="B1073" s="4">
        <v>575.46</v>
      </c>
      <c r="C1073" s="4">
        <v>38.46</v>
      </c>
      <c r="D1073" s="3">
        <f t="shared" si="32"/>
        <v>2.4009615375382679E-3</v>
      </c>
      <c r="E1073" s="3">
        <f t="shared" si="33"/>
        <v>-1.6120021511660095E-2</v>
      </c>
    </row>
    <row r="1074" spans="1:5" x14ac:dyDescent="0.25">
      <c r="A1074" s="1">
        <v>45742</v>
      </c>
      <c r="B1074" s="4">
        <v>568.59</v>
      </c>
      <c r="C1074" s="4">
        <v>38.715000000000003</v>
      </c>
      <c r="D1074" s="3">
        <f t="shared" si="32"/>
        <v>-1.2010108961596242E-2</v>
      </c>
      <c r="E1074" s="3">
        <f t="shared" si="33"/>
        <v>6.608381678053281E-3</v>
      </c>
    </row>
    <row r="1075" spans="1:5" x14ac:dyDescent="0.25">
      <c r="A1075" s="1">
        <v>45743</v>
      </c>
      <c r="B1075" s="4">
        <v>567.08000000000004</v>
      </c>
      <c r="C1075" s="4">
        <v>38.704999999999998</v>
      </c>
      <c r="D1075" s="3">
        <f t="shared" si="32"/>
        <v>-2.659224756887704E-3</v>
      </c>
      <c r="E1075" s="3">
        <f t="shared" si="33"/>
        <v>-2.5833118201032011E-4</v>
      </c>
    </row>
    <row r="1076" spans="1:5" x14ac:dyDescent="0.25">
      <c r="A1076" s="1">
        <v>45744</v>
      </c>
      <c r="B1076" s="4">
        <v>555.66</v>
      </c>
      <c r="C1076" s="4">
        <v>38.99</v>
      </c>
      <c r="D1076" s="3">
        <f t="shared" si="32"/>
        <v>-2.0343790839198347E-2</v>
      </c>
      <c r="E1076" s="3">
        <f t="shared" si="33"/>
        <v>7.3364123378292217E-3</v>
      </c>
    </row>
    <row r="1077" spans="1:5" x14ac:dyDescent="0.25">
      <c r="A1077" s="1">
        <v>45747</v>
      </c>
      <c r="B1077" s="4">
        <v>559.39</v>
      </c>
      <c r="C1077" s="4">
        <v>39.424999999999997</v>
      </c>
      <c r="D1077" s="3">
        <f t="shared" si="32"/>
        <v>6.69030790181233E-3</v>
      </c>
      <c r="E1077" s="3">
        <f t="shared" si="33"/>
        <v>1.1094929854596104E-2</v>
      </c>
    </row>
    <row r="1078" spans="1:5" x14ac:dyDescent="0.25">
      <c r="A1078" s="1">
        <v>45748</v>
      </c>
      <c r="B1078" s="4">
        <v>560.97</v>
      </c>
      <c r="C1078" s="4">
        <v>39.524999999999999</v>
      </c>
      <c r="D1078" s="3">
        <f t="shared" si="32"/>
        <v>2.8205238449336861E-3</v>
      </c>
      <c r="E1078" s="3">
        <f t="shared" si="33"/>
        <v>2.5332502464336074E-3</v>
      </c>
    </row>
    <row r="1079" spans="1:5" x14ac:dyDescent="0.25">
      <c r="A1079" s="1">
        <v>45749</v>
      </c>
      <c r="B1079" s="4">
        <v>564.52</v>
      </c>
      <c r="C1079" s="4">
        <v>39.71</v>
      </c>
      <c r="D1079" s="3">
        <f t="shared" si="32"/>
        <v>6.3083843888275797E-3</v>
      </c>
      <c r="E1079" s="3">
        <f t="shared" si="33"/>
        <v>4.6696620476243435E-3</v>
      </c>
    </row>
    <row r="1080" spans="1:5" x14ac:dyDescent="0.25">
      <c r="A1080" s="1">
        <v>45750</v>
      </c>
      <c r="B1080" s="4">
        <v>536.70000000000005</v>
      </c>
      <c r="C1080" s="4">
        <v>39.46</v>
      </c>
      <c r="D1080" s="3">
        <f t="shared" si="32"/>
        <v>-5.053653336302296E-2</v>
      </c>
      <c r="E1080" s="3">
        <f t="shared" si="33"/>
        <v>-6.3155445486907883E-3</v>
      </c>
    </row>
    <row r="1081" spans="1:5" x14ac:dyDescent="0.25">
      <c r="A1081" s="1">
        <v>45751</v>
      </c>
      <c r="B1081" s="4">
        <v>505.28</v>
      </c>
      <c r="C1081" s="4">
        <v>37.265000000000001</v>
      </c>
      <c r="D1081" s="3">
        <f t="shared" si="32"/>
        <v>-6.0326548115506085E-2</v>
      </c>
      <c r="E1081" s="3">
        <f t="shared" si="33"/>
        <v>-5.7232952260812098E-2</v>
      </c>
    </row>
    <row r="1082" spans="1:5" x14ac:dyDescent="0.25">
      <c r="A1082" s="1">
        <v>45754</v>
      </c>
      <c r="B1082" s="4">
        <v>504.38</v>
      </c>
      <c r="C1082" s="4">
        <v>36.695</v>
      </c>
      <c r="D1082" s="3">
        <f t="shared" si="32"/>
        <v>-1.7827788332160732E-3</v>
      </c>
      <c r="E1082" s="3">
        <f t="shared" si="33"/>
        <v>-1.5414042336631068E-2</v>
      </c>
    </row>
    <row r="1083" spans="1:5" x14ac:dyDescent="0.25">
      <c r="A1083" s="1">
        <v>45755</v>
      </c>
      <c r="B1083" s="4">
        <v>496.48</v>
      </c>
      <c r="C1083" s="4">
        <v>36.545000000000002</v>
      </c>
      <c r="D1083" s="3">
        <f t="shared" si="32"/>
        <v>-1.5786751533991002E-2</v>
      </c>
      <c r="E1083" s="3">
        <f t="shared" si="33"/>
        <v>-4.0961280646710707E-3</v>
      </c>
    </row>
    <row r="1084" spans="1:5" x14ac:dyDescent="0.25">
      <c r="A1084" s="1">
        <v>45756</v>
      </c>
      <c r="B1084" s="4">
        <v>548.62</v>
      </c>
      <c r="C1084" s="4">
        <v>37.984999999999999</v>
      </c>
      <c r="D1084" s="3">
        <f t="shared" si="32"/>
        <v>9.9862833573473878E-2</v>
      </c>
      <c r="E1084" s="3">
        <f t="shared" si="33"/>
        <v>3.8646967022829867E-2</v>
      </c>
    </row>
    <row r="1085" spans="1:5" x14ac:dyDescent="0.25">
      <c r="A1085" s="1">
        <v>45757</v>
      </c>
      <c r="B1085" s="4">
        <v>524.58000000000004</v>
      </c>
      <c r="C1085" s="4">
        <v>37.700000000000003</v>
      </c>
      <c r="D1085" s="3">
        <f t="shared" si="32"/>
        <v>-4.480809185268924E-2</v>
      </c>
      <c r="E1085" s="3">
        <f t="shared" si="33"/>
        <v>-7.5312505012197408E-3</v>
      </c>
    </row>
    <row r="1086" spans="1:5" x14ac:dyDescent="0.25">
      <c r="A1086" s="1">
        <v>45758</v>
      </c>
      <c r="B1086" s="4">
        <v>533.94000000000005</v>
      </c>
      <c r="C1086" s="4">
        <v>38.159999999999997</v>
      </c>
      <c r="D1086" s="3">
        <f t="shared" si="32"/>
        <v>1.7685530675971325E-2</v>
      </c>
      <c r="E1086" s="3">
        <f t="shared" si="33"/>
        <v>1.2127752126120587E-2</v>
      </c>
    </row>
    <row r="1087" spans="1:5" x14ac:dyDescent="0.25">
      <c r="A1087" s="1">
        <v>45761</v>
      </c>
      <c r="B1087" s="4">
        <v>539.12</v>
      </c>
      <c r="C1087" s="4">
        <v>38.844999999999999</v>
      </c>
      <c r="D1087" s="3">
        <f t="shared" si="32"/>
        <v>9.6547075411356782E-3</v>
      </c>
      <c r="E1087" s="3">
        <f t="shared" si="33"/>
        <v>1.7791521822298352E-2</v>
      </c>
    </row>
    <row r="1088" spans="1:5" x14ac:dyDescent="0.25">
      <c r="A1088" s="1">
        <v>45762</v>
      </c>
      <c r="B1088" s="4">
        <v>537.61</v>
      </c>
      <c r="C1088" s="4">
        <v>38.840000000000003</v>
      </c>
      <c r="D1088" s="3">
        <f t="shared" si="32"/>
        <v>-2.8047904115455981E-3</v>
      </c>
      <c r="E1088" s="3">
        <f t="shared" si="33"/>
        <v>-1.2872497925982043E-4</v>
      </c>
    </row>
    <row r="1089" spans="1:5" x14ac:dyDescent="0.25">
      <c r="A1089" s="1">
        <v>45763</v>
      </c>
      <c r="B1089" s="4">
        <v>525.66</v>
      </c>
      <c r="C1089" s="4">
        <v>38.49</v>
      </c>
      <c r="D1089" s="3">
        <f t="shared" si="32"/>
        <v>-2.247877432008865E-2</v>
      </c>
      <c r="E1089" s="3">
        <f t="shared" si="33"/>
        <v>-9.0521761274694329E-3</v>
      </c>
    </row>
    <row r="1090" spans="1:5" x14ac:dyDescent="0.25">
      <c r="A1090" s="1">
        <v>45764</v>
      </c>
      <c r="B1090" s="4">
        <v>526.41</v>
      </c>
      <c r="C1090" s="4">
        <v>38.884999999999998</v>
      </c>
      <c r="D1090" s="3">
        <f t="shared" si="32"/>
        <v>1.4257608848264034E-3</v>
      </c>
      <c r="E1090" s="3">
        <f t="shared" si="33"/>
        <v>1.0210104851251844E-2</v>
      </c>
    </row>
    <row r="1091" spans="1:5" x14ac:dyDescent="0.25">
      <c r="A1091" s="1">
        <v>45768</v>
      </c>
      <c r="B1091" s="4">
        <v>513.88</v>
      </c>
      <c r="C1091" s="4">
        <v>37.965000000000003</v>
      </c>
      <c r="D1091" s="3">
        <f t="shared" si="32"/>
        <v>-2.409060162774479E-2</v>
      </c>
      <c r="E1091" s="3">
        <f t="shared" si="33"/>
        <v>-2.394388948170937E-2</v>
      </c>
    </row>
    <row r="1092" spans="1:5" x14ac:dyDescent="0.25">
      <c r="A1092" s="1">
        <v>45769</v>
      </c>
      <c r="B1092" s="4">
        <v>527.25</v>
      </c>
      <c r="C1092" s="4">
        <v>39</v>
      </c>
      <c r="D1092" s="3">
        <f t="shared" ref="D1092:D1155" si="34">LN(B1092/B1091)</f>
        <v>2.5685044195475088E-2</v>
      </c>
      <c r="E1092" s="3">
        <f t="shared" ref="E1092:E1155" si="35">LN(C1092/C1091)</f>
        <v>2.689696346444935E-2</v>
      </c>
    </row>
    <row r="1093" spans="1:5" x14ac:dyDescent="0.25">
      <c r="A1093" s="1">
        <v>45770</v>
      </c>
      <c r="B1093" s="4">
        <v>535.41999999999996</v>
      </c>
      <c r="C1093" s="4">
        <v>39.164999999999999</v>
      </c>
      <c r="D1093" s="3">
        <f t="shared" si="34"/>
        <v>1.5376666278090485E-2</v>
      </c>
      <c r="E1093" s="3">
        <f t="shared" si="35"/>
        <v>4.221844689555462E-3</v>
      </c>
    </row>
    <row r="1094" spans="1:5" x14ac:dyDescent="0.25">
      <c r="A1094" s="1">
        <v>45771</v>
      </c>
      <c r="B1094" s="4">
        <v>546.69000000000005</v>
      </c>
      <c r="C1094" s="4">
        <v>39.225000000000001</v>
      </c>
      <c r="D1094" s="3">
        <f t="shared" si="34"/>
        <v>2.0830428529099072E-2</v>
      </c>
      <c r="E1094" s="3">
        <f t="shared" si="35"/>
        <v>1.5308077998945568E-3</v>
      </c>
    </row>
    <row r="1095" spans="1:5" x14ac:dyDescent="0.25">
      <c r="A1095" s="1">
        <v>45772</v>
      </c>
      <c r="B1095" s="4">
        <v>550.64</v>
      </c>
      <c r="C1095" s="4">
        <v>39.104999999999997</v>
      </c>
      <c r="D1095" s="3">
        <f t="shared" si="34"/>
        <v>7.1993239240351076E-3</v>
      </c>
      <c r="E1095" s="3">
        <f t="shared" si="35"/>
        <v>-3.0639625655216967E-3</v>
      </c>
    </row>
    <row r="1096" spans="1:5" x14ac:dyDescent="0.25">
      <c r="A1096" s="1">
        <v>45775</v>
      </c>
      <c r="B1096" s="4">
        <v>550.85</v>
      </c>
      <c r="C1096" s="4">
        <v>39.344999999999999</v>
      </c>
      <c r="D1096" s="3">
        <f t="shared" si="34"/>
        <v>3.8130169596532868E-4</v>
      </c>
      <c r="E1096" s="3">
        <f t="shared" si="35"/>
        <v>6.1185659333719486E-3</v>
      </c>
    </row>
    <row r="1097" spans="1:5" x14ac:dyDescent="0.25">
      <c r="A1097" s="1">
        <v>45776</v>
      </c>
      <c r="B1097" s="4">
        <v>554.32000000000005</v>
      </c>
      <c r="C1097" s="4">
        <v>39.65</v>
      </c>
      <c r="D1097" s="3">
        <f t="shared" si="34"/>
        <v>6.2795975330518445E-3</v>
      </c>
      <c r="E1097" s="3">
        <f t="shared" si="35"/>
        <v>7.7220460939103185E-3</v>
      </c>
    </row>
    <row r="1098" spans="1:5" x14ac:dyDescent="0.25">
      <c r="A1098" s="1">
        <v>45777</v>
      </c>
      <c r="B1098" s="4">
        <v>554.54</v>
      </c>
      <c r="C1098" s="4">
        <v>39.450000000000003</v>
      </c>
      <c r="D1098" s="3">
        <f t="shared" si="34"/>
        <v>3.9680392995782374E-4</v>
      </c>
      <c r="E1098" s="3">
        <f t="shared" si="35"/>
        <v>-5.056900788973662E-3</v>
      </c>
    </row>
    <row r="1099" spans="1:5" x14ac:dyDescent="0.25">
      <c r="A1099" s="1">
        <v>45778</v>
      </c>
      <c r="B1099" s="4">
        <v>558.47</v>
      </c>
      <c r="C1099" s="4">
        <v>39.564999999999998</v>
      </c>
      <c r="D1099" s="3">
        <f t="shared" si="34"/>
        <v>7.0619605085897423E-3</v>
      </c>
      <c r="E1099" s="3">
        <f t="shared" si="35"/>
        <v>2.9108417692732731E-3</v>
      </c>
    </row>
    <row r="1100" spans="1:5" x14ac:dyDescent="0.25">
      <c r="A1100" s="1">
        <v>45779</v>
      </c>
      <c r="B1100" s="4">
        <v>566.76</v>
      </c>
      <c r="C1100" s="4">
        <v>39.875</v>
      </c>
      <c r="D1100" s="3">
        <f t="shared" si="34"/>
        <v>1.4735031938352542E-2</v>
      </c>
      <c r="E1100" s="3">
        <f t="shared" si="35"/>
        <v>7.8046720438521055E-3</v>
      </c>
    </row>
    <row r="1101" spans="1:5" x14ac:dyDescent="0.25">
      <c r="A1101" s="1">
        <v>45782</v>
      </c>
      <c r="B1101" s="4">
        <v>563.51</v>
      </c>
      <c r="C1101" s="4">
        <v>39.774999999999999</v>
      </c>
      <c r="D1101" s="3">
        <f t="shared" si="34"/>
        <v>-5.7508541447311252E-3</v>
      </c>
      <c r="E1101" s="3">
        <f t="shared" si="35"/>
        <v>-2.5109868811581133E-3</v>
      </c>
    </row>
    <row r="1102" spans="1:5" x14ac:dyDescent="0.25">
      <c r="A1102" s="1">
        <v>45783</v>
      </c>
      <c r="B1102" s="4">
        <v>558.79999999999995</v>
      </c>
      <c r="C1102" s="4">
        <v>40.26</v>
      </c>
      <c r="D1102" s="3">
        <f t="shared" si="34"/>
        <v>-8.3934521684881948E-3</v>
      </c>
      <c r="E1102" s="3">
        <f t="shared" si="35"/>
        <v>1.2119845987794768E-2</v>
      </c>
    </row>
    <row r="1103" spans="1:5" x14ac:dyDescent="0.25">
      <c r="A1103" s="1">
        <v>45784</v>
      </c>
      <c r="B1103" s="4">
        <v>561.15</v>
      </c>
      <c r="C1103" s="4">
        <v>40.375</v>
      </c>
      <c r="D1103" s="3">
        <f t="shared" si="34"/>
        <v>4.1966220794581411E-3</v>
      </c>
      <c r="E1103" s="3">
        <f t="shared" si="35"/>
        <v>2.8523613311753253E-3</v>
      </c>
    </row>
    <row r="1104" spans="1:5" x14ac:dyDescent="0.25">
      <c r="A1104" s="1">
        <v>45785</v>
      </c>
      <c r="B1104" s="4">
        <v>565.05999999999995</v>
      </c>
      <c r="C1104" s="4">
        <v>40.049999999999997</v>
      </c>
      <c r="D1104" s="3">
        <f t="shared" si="34"/>
        <v>6.9436707361845195E-3</v>
      </c>
      <c r="E1104" s="3">
        <f t="shared" si="35"/>
        <v>-8.082108028452455E-3</v>
      </c>
    </row>
    <row r="1105" spans="1:5" x14ac:dyDescent="0.25">
      <c r="A1105" s="1">
        <v>45786</v>
      </c>
      <c r="B1105" s="4">
        <v>564.34</v>
      </c>
      <c r="C1105" s="4">
        <v>40.119999999999997</v>
      </c>
      <c r="D1105" s="3">
        <f t="shared" si="34"/>
        <v>-1.2750134541162756E-3</v>
      </c>
      <c r="E1105" s="3">
        <f t="shared" si="35"/>
        <v>1.7462895793666025E-3</v>
      </c>
    </row>
    <row r="1106" spans="1:5" x14ac:dyDescent="0.25">
      <c r="A1106" s="1">
        <v>45789</v>
      </c>
      <c r="B1106" s="4">
        <v>582.99</v>
      </c>
      <c r="C1106" s="4">
        <v>39.880000000000003</v>
      </c>
      <c r="D1106" s="3">
        <f t="shared" si="34"/>
        <v>3.2513126800388578E-2</v>
      </c>
      <c r="E1106" s="3">
        <f t="shared" si="35"/>
        <v>-6.0000180000970337E-3</v>
      </c>
    </row>
    <row r="1107" spans="1:5" x14ac:dyDescent="0.25">
      <c r="A1107" s="1">
        <v>45790</v>
      </c>
      <c r="B1107" s="4">
        <v>586.84</v>
      </c>
      <c r="C1107" s="4">
        <v>39.825000000000003</v>
      </c>
      <c r="D1107" s="3">
        <f t="shared" si="34"/>
        <v>6.5821767267216667E-3</v>
      </c>
      <c r="E1107" s="3">
        <f t="shared" si="35"/>
        <v>-1.3800892975253684E-3</v>
      </c>
    </row>
    <row r="1108" spans="1:5" x14ac:dyDescent="0.25">
      <c r="A1108" s="1">
        <v>45791</v>
      </c>
      <c r="B1108" s="4">
        <v>587.59</v>
      </c>
      <c r="C1108" s="4">
        <v>39.65</v>
      </c>
      <c r="D1108" s="3">
        <f t="shared" si="34"/>
        <v>1.2772155036144656E-3</v>
      </c>
      <c r="E1108" s="3">
        <f t="shared" si="35"/>
        <v>-4.4039077152553882E-3</v>
      </c>
    </row>
    <row r="1109" spans="1:5" x14ac:dyDescent="0.25">
      <c r="A1109" s="1">
        <v>45792</v>
      </c>
      <c r="B1109" s="4">
        <v>590.46</v>
      </c>
      <c r="C1109" s="4">
        <v>40.494999999999997</v>
      </c>
      <c r="D1109" s="3">
        <f t="shared" si="34"/>
        <v>4.8724683638914851E-3</v>
      </c>
      <c r="E1109" s="3">
        <f t="shared" si="35"/>
        <v>2.108756162009617E-2</v>
      </c>
    </row>
    <row r="1110" spans="1:5" x14ac:dyDescent="0.25">
      <c r="A1110" s="1">
        <v>45793</v>
      </c>
      <c r="B1110" s="4">
        <v>594.20000000000005</v>
      </c>
      <c r="C1110" s="4">
        <v>41.09</v>
      </c>
      <c r="D1110" s="3">
        <f t="shared" si="34"/>
        <v>6.3140688895582265E-3</v>
      </c>
      <c r="E1110" s="3">
        <f t="shared" si="35"/>
        <v>1.4586273194365252E-2</v>
      </c>
    </row>
    <row r="1111" spans="1:5" x14ac:dyDescent="0.25">
      <c r="A1111" s="1">
        <v>45796</v>
      </c>
      <c r="B1111" s="4">
        <v>594.85</v>
      </c>
      <c r="C1111" s="4">
        <v>41.265000000000001</v>
      </c>
      <c r="D1111" s="3">
        <f t="shared" si="34"/>
        <v>1.0933098940278192E-3</v>
      </c>
      <c r="E1111" s="3">
        <f t="shared" si="35"/>
        <v>4.2499001493291168E-3</v>
      </c>
    </row>
    <row r="1112" spans="1:5" x14ac:dyDescent="0.25">
      <c r="A1112" s="1">
        <v>45797</v>
      </c>
      <c r="B1112" s="4">
        <v>592.85</v>
      </c>
      <c r="C1112" s="4">
        <v>41.384999999999998</v>
      </c>
      <c r="D1112" s="3">
        <f t="shared" si="34"/>
        <v>-3.3678570184555085E-3</v>
      </c>
      <c r="E1112" s="3">
        <f t="shared" si="35"/>
        <v>2.9038132927115064E-3</v>
      </c>
    </row>
    <row r="1113" spans="1:5" x14ac:dyDescent="0.25">
      <c r="A1113" s="1">
        <v>45798</v>
      </c>
      <c r="B1113" s="4">
        <v>582.86</v>
      </c>
      <c r="C1113" s="4">
        <v>40.630000000000003</v>
      </c>
      <c r="D1113" s="3">
        <f t="shared" si="34"/>
        <v>-1.6994395612415697E-2</v>
      </c>
      <c r="E1113" s="3">
        <f t="shared" si="35"/>
        <v>-1.8411786337723616E-2</v>
      </c>
    </row>
    <row r="1114" spans="1:5" x14ac:dyDescent="0.25">
      <c r="A1114" s="1">
        <v>45799</v>
      </c>
      <c r="B1114" s="4">
        <v>583.09</v>
      </c>
      <c r="C1114" s="4">
        <v>40.049999999999997</v>
      </c>
      <c r="D1114" s="3">
        <f t="shared" si="34"/>
        <v>3.9452807235887578E-4</v>
      </c>
      <c r="E1114" s="3">
        <f t="shared" si="35"/>
        <v>-1.4378036485267262E-2</v>
      </c>
    </row>
    <row r="1115" spans="1:5" x14ac:dyDescent="0.25">
      <c r="A1115" s="1">
        <v>45800</v>
      </c>
      <c r="B1115" s="4">
        <v>579.11</v>
      </c>
      <c r="C1115" s="4">
        <v>40.53</v>
      </c>
      <c r="D1115" s="3">
        <f t="shared" si="34"/>
        <v>-6.8491061066177856E-3</v>
      </c>
      <c r="E1115" s="3">
        <f t="shared" si="35"/>
        <v>1.1913767125849158E-2</v>
      </c>
    </row>
    <row r="1116" spans="1:5" x14ac:dyDescent="0.25">
      <c r="A1116" s="1">
        <v>45804</v>
      </c>
      <c r="B1116" s="4">
        <v>591.15</v>
      </c>
      <c r="C1116" s="4">
        <v>40.835000000000001</v>
      </c>
      <c r="D1116" s="3">
        <f t="shared" si="34"/>
        <v>2.0577350051717586E-2</v>
      </c>
      <c r="E1116" s="3">
        <f t="shared" si="35"/>
        <v>7.4971161700217162E-3</v>
      </c>
    </row>
    <row r="1117" spans="1:5" x14ac:dyDescent="0.25">
      <c r="A1117" s="1">
        <v>45805</v>
      </c>
      <c r="B1117" s="4">
        <v>587.73</v>
      </c>
      <c r="C1117" s="4">
        <v>40.265000000000001</v>
      </c>
      <c r="D1117" s="3">
        <f t="shared" si="34"/>
        <v>-5.8021335410718263E-3</v>
      </c>
      <c r="E1117" s="3">
        <f t="shared" si="35"/>
        <v>-1.4056951562730766E-2</v>
      </c>
    </row>
    <row r="1118" spans="1:5" x14ac:dyDescent="0.25">
      <c r="A1118" s="1">
        <v>45806</v>
      </c>
      <c r="B1118" s="4">
        <v>590.04999999999995</v>
      </c>
      <c r="C1118" s="4">
        <v>40.545000000000002</v>
      </c>
      <c r="D1118" s="3">
        <f t="shared" si="34"/>
        <v>3.9396203037071718E-3</v>
      </c>
      <c r="E1118" s="3">
        <f t="shared" si="35"/>
        <v>6.9298631490125337E-3</v>
      </c>
    </row>
    <row r="1119" spans="1:5" x14ac:dyDescent="0.25">
      <c r="A1119" s="1">
        <v>45807</v>
      </c>
      <c r="B1119" s="4">
        <v>589.39</v>
      </c>
      <c r="C1119" s="4">
        <v>40.96</v>
      </c>
      <c r="D1119" s="3">
        <f t="shared" si="34"/>
        <v>-1.1191753186094886E-3</v>
      </c>
      <c r="E1119" s="3">
        <f t="shared" si="35"/>
        <v>1.0183512334731599E-2</v>
      </c>
    </row>
    <row r="1120" spans="1:5" x14ac:dyDescent="0.25">
      <c r="A1120" s="1">
        <v>45810</v>
      </c>
      <c r="B1120" s="4">
        <v>592.71</v>
      </c>
      <c r="C1120" s="4">
        <v>41.09</v>
      </c>
      <c r="D1120" s="3">
        <f t="shared" si="34"/>
        <v>5.6171368402752973E-3</v>
      </c>
      <c r="E1120" s="3">
        <f t="shared" si="35"/>
        <v>3.1688021640660403E-3</v>
      </c>
    </row>
    <row r="1121" spans="1:5" x14ac:dyDescent="0.25">
      <c r="A1121" s="1">
        <v>45811</v>
      </c>
      <c r="B1121" s="4">
        <v>596.09</v>
      </c>
      <c r="C1121" s="4">
        <v>41.2</v>
      </c>
      <c r="D1121" s="3">
        <f t="shared" si="34"/>
        <v>5.6864217829700496E-3</v>
      </c>
      <c r="E1121" s="3">
        <f t="shared" si="35"/>
        <v>2.6734734601622434E-3</v>
      </c>
    </row>
    <row r="1122" spans="1:5" x14ac:dyDescent="0.25">
      <c r="A1122" s="1">
        <v>45812</v>
      </c>
      <c r="B1122" s="4">
        <v>595.92999999999995</v>
      </c>
      <c r="C1122" s="4">
        <v>40.479999999999997</v>
      </c>
      <c r="D1122" s="3">
        <f t="shared" si="34"/>
        <v>-2.6845187322527048E-4</v>
      </c>
      <c r="E1122" s="3">
        <f t="shared" si="35"/>
        <v>-1.763023137627073E-2</v>
      </c>
    </row>
    <row r="1123" spans="1:5" x14ac:dyDescent="0.25">
      <c r="A1123" s="1">
        <v>45813</v>
      </c>
      <c r="B1123" s="4">
        <v>593.04999999999995</v>
      </c>
      <c r="C1123" s="4">
        <v>40.414999999999999</v>
      </c>
      <c r="D1123" s="3">
        <f t="shared" si="34"/>
        <v>-4.844498027883502E-3</v>
      </c>
      <c r="E1123" s="3">
        <f t="shared" si="35"/>
        <v>-1.607021793402365E-3</v>
      </c>
    </row>
    <row r="1124" spans="1:5" x14ac:dyDescent="0.25">
      <c r="A1124" s="1">
        <v>45814</v>
      </c>
      <c r="B1124" s="4">
        <v>599.14</v>
      </c>
      <c r="C1124" s="4">
        <v>40.594999999999999</v>
      </c>
      <c r="D1124" s="3">
        <f t="shared" si="34"/>
        <v>1.0216581202681749E-2</v>
      </c>
      <c r="E1124" s="3">
        <f t="shared" si="35"/>
        <v>4.443903128602076E-3</v>
      </c>
    </row>
    <row r="1125" spans="1:5" x14ac:dyDescent="0.25">
      <c r="A1125" s="1">
        <v>45817</v>
      </c>
      <c r="B1125" s="4">
        <v>599.67999999999995</v>
      </c>
      <c r="C1125" s="4">
        <v>40.335000000000001</v>
      </c>
      <c r="D1125" s="3">
        <f t="shared" si="34"/>
        <v>9.0088593203611954E-4</v>
      </c>
      <c r="E1125" s="3">
        <f t="shared" si="35"/>
        <v>-6.425327925472085E-3</v>
      </c>
    </row>
    <row r="1126" spans="1:5" x14ac:dyDescent="0.25">
      <c r="A1126" s="1">
        <v>45818</v>
      </c>
      <c r="B1126" s="4">
        <v>603.08000000000004</v>
      </c>
      <c r="C1126" s="4">
        <v>40.43</v>
      </c>
      <c r="D1126" s="3">
        <f t="shared" si="34"/>
        <v>5.6536783007151582E-3</v>
      </c>
      <c r="E1126" s="3">
        <f t="shared" si="35"/>
        <v>2.3525052637417732E-3</v>
      </c>
    </row>
    <row r="1127" spans="1:5" x14ac:dyDescent="0.25">
      <c r="A1127" s="1">
        <v>45819</v>
      </c>
      <c r="B1127" s="4">
        <v>601.36</v>
      </c>
      <c r="C1127" s="4">
        <v>40.454999999999998</v>
      </c>
      <c r="D1127" s="3">
        <f t="shared" si="34"/>
        <v>-2.8561010415043102E-3</v>
      </c>
      <c r="E1127" s="3">
        <f t="shared" si="35"/>
        <v>6.1816160712334204E-4</v>
      </c>
    </row>
    <row r="1128" spans="1:5" x14ac:dyDescent="0.25">
      <c r="A1128" s="1">
        <v>45820</v>
      </c>
      <c r="B1128" s="4">
        <v>603.75</v>
      </c>
      <c r="C1128" s="4">
        <v>40.945</v>
      </c>
      <c r="D1128" s="3">
        <f t="shared" si="34"/>
        <v>3.9664480975689425E-3</v>
      </c>
      <c r="E1128" s="3">
        <f t="shared" si="35"/>
        <v>1.203945746234863E-2</v>
      </c>
    </row>
    <row r="1129" spans="1:5" x14ac:dyDescent="0.25">
      <c r="A1129" s="1">
        <v>45821</v>
      </c>
      <c r="B1129" s="4">
        <v>597</v>
      </c>
      <c r="C1129" s="4">
        <v>40.71</v>
      </c>
      <c r="D1129" s="3">
        <f t="shared" si="34"/>
        <v>-1.1243091574180354E-2</v>
      </c>
      <c r="E1129" s="3">
        <f t="shared" si="35"/>
        <v>-5.7559402072641132E-3</v>
      </c>
    </row>
    <row r="1130" spans="1:5" x14ac:dyDescent="0.25">
      <c r="A1130" s="1">
        <v>45824</v>
      </c>
      <c r="B1130" s="4">
        <v>602.67999999999995</v>
      </c>
      <c r="C1130" s="4">
        <v>40.51</v>
      </c>
      <c r="D1130" s="3">
        <f t="shared" si="34"/>
        <v>9.4692625404855062E-3</v>
      </c>
      <c r="E1130" s="3">
        <f t="shared" si="35"/>
        <v>-4.9249053002883899E-3</v>
      </c>
    </row>
    <row r="1131" spans="1:5" x14ac:dyDescent="0.25">
      <c r="A1131" s="1">
        <v>45825</v>
      </c>
      <c r="B1131" s="4">
        <v>597.53</v>
      </c>
      <c r="C1131" s="4">
        <v>40.174999999999997</v>
      </c>
      <c r="D1131" s="3">
        <f t="shared" si="34"/>
        <v>-8.5818841828409261E-3</v>
      </c>
      <c r="E1131" s="3">
        <f t="shared" si="35"/>
        <v>-8.3039455910228991E-3</v>
      </c>
    </row>
    <row r="1132" spans="1:5" x14ac:dyDescent="0.25">
      <c r="A1132" s="1">
        <v>45826</v>
      </c>
      <c r="B1132" s="4">
        <v>597.44000000000005</v>
      </c>
      <c r="C1132" s="4">
        <v>40.28</v>
      </c>
      <c r="D1132" s="3">
        <f t="shared" si="34"/>
        <v>-1.5063139688876312E-4</v>
      </c>
      <c r="E1132" s="3">
        <f t="shared" si="35"/>
        <v>2.6101562267853836E-3</v>
      </c>
    </row>
    <row r="1133" spans="1:5" x14ac:dyDescent="0.25">
      <c r="A1133" s="1">
        <v>45828</v>
      </c>
      <c r="B1133" s="4">
        <v>594.28</v>
      </c>
      <c r="C1133" s="4">
        <v>40.39</v>
      </c>
      <c r="D1133" s="3">
        <f t="shared" si="34"/>
        <v>-5.3032715842057992E-3</v>
      </c>
      <c r="E1133" s="3">
        <f t="shared" si="35"/>
        <v>2.7271617249599849E-3</v>
      </c>
    </row>
    <row r="1134" spans="1:5" x14ac:dyDescent="0.25">
      <c r="A1134" s="1">
        <v>45831</v>
      </c>
      <c r="B1134" s="4">
        <v>600.15</v>
      </c>
      <c r="C1134" s="4">
        <v>40.619999999999997</v>
      </c>
      <c r="D1134" s="3">
        <f t="shared" si="34"/>
        <v>9.8290352022014776E-3</v>
      </c>
      <c r="E1134" s="3">
        <f t="shared" si="35"/>
        <v>5.6783265769169535E-3</v>
      </c>
    </row>
    <row r="1135" spans="1:5" x14ac:dyDescent="0.25">
      <c r="A1135" s="1">
        <v>45832</v>
      </c>
      <c r="B1135" s="4">
        <v>606.78</v>
      </c>
      <c r="C1135" s="4">
        <v>40.795000000000002</v>
      </c>
      <c r="D1135" s="3">
        <f t="shared" si="34"/>
        <v>1.0986663170780219E-2</v>
      </c>
      <c r="E1135" s="3">
        <f t="shared" si="35"/>
        <v>4.2989687285249567E-3</v>
      </c>
    </row>
    <row r="1136" spans="1:5" x14ac:dyDescent="0.25">
      <c r="A1136" s="1">
        <v>45833</v>
      </c>
      <c r="B1136" s="4">
        <v>607.12</v>
      </c>
      <c r="C1136" s="4">
        <v>40.25</v>
      </c>
      <c r="D1136" s="3">
        <f t="shared" si="34"/>
        <v>5.6017795352336208E-4</v>
      </c>
      <c r="E1136" s="3">
        <f t="shared" si="35"/>
        <v>-1.3449521016191193E-2</v>
      </c>
    </row>
    <row r="1137" spans="1:5" x14ac:dyDescent="0.25">
      <c r="A1137" s="1">
        <v>45834</v>
      </c>
      <c r="B1137" s="4">
        <v>611.87</v>
      </c>
      <c r="C1137" s="4">
        <v>40.585000000000001</v>
      </c>
      <c r="D1137" s="3">
        <f t="shared" si="34"/>
        <v>7.7933765520524466E-3</v>
      </c>
      <c r="E1137" s="3">
        <f t="shared" si="35"/>
        <v>8.288536348566607E-3</v>
      </c>
    </row>
    <row r="1138" spans="1:5" x14ac:dyDescent="0.25">
      <c r="A1138" s="1">
        <v>45835</v>
      </c>
      <c r="B1138" s="4">
        <v>614.91</v>
      </c>
      <c r="C1138" s="4">
        <v>40.664999999999999</v>
      </c>
      <c r="D1138" s="3">
        <f t="shared" si="34"/>
        <v>4.9560739864365948E-3</v>
      </c>
      <c r="E1138" s="3">
        <f t="shared" si="35"/>
        <v>1.9692314055994981E-3</v>
      </c>
    </row>
    <row r="1139" spans="1:5" x14ac:dyDescent="0.25">
      <c r="A1139" s="1">
        <v>45838</v>
      </c>
      <c r="B1139" s="4">
        <v>617.85</v>
      </c>
      <c r="C1139" s="4">
        <v>40.83</v>
      </c>
      <c r="D1139" s="3">
        <f t="shared" si="34"/>
        <v>4.7697939160529527E-3</v>
      </c>
      <c r="E1139" s="3">
        <f t="shared" si="35"/>
        <v>4.0493337127459183E-3</v>
      </c>
    </row>
    <row r="1140" spans="1:5" x14ac:dyDescent="0.25">
      <c r="A1140" s="1">
        <v>45839</v>
      </c>
      <c r="B1140" s="4">
        <v>617.65</v>
      </c>
      <c r="C1140" s="4">
        <v>40.97</v>
      </c>
      <c r="D1140" s="3">
        <f t="shared" si="34"/>
        <v>-3.2375556737677426E-4</v>
      </c>
      <c r="E1140" s="3">
        <f t="shared" si="35"/>
        <v>3.4229862272953339E-3</v>
      </c>
    </row>
    <row r="1141" spans="1:5" x14ac:dyDescent="0.25">
      <c r="A1141" s="1">
        <v>45840</v>
      </c>
      <c r="B1141" s="4">
        <v>620.45000000000005</v>
      </c>
      <c r="C1141" s="4">
        <v>40.615000000000002</v>
      </c>
      <c r="D1141" s="3">
        <f t="shared" si="34"/>
        <v>4.5230672378059169E-3</v>
      </c>
      <c r="E1141" s="3">
        <f t="shared" si="35"/>
        <v>-8.7026350558625006E-3</v>
      </c>
    </row>
    <row r="1142" spans="1:5" x14ac:dyDescent="0.25">
      <c r="A1142" s="1">
        <v>45841</v>
      </c>
      <c r="B1142" s="4">
        <v>625.34</v>
      </c>
      <c r="C1142" s="4">
        <v>40.92</v>
      </c>
      <c r="D1142" s="3">
        <f t="shared" si="34"/>
        <v>7.8504806014140279E-3</v>
      </c>
      <c r="E1142" s="3">
        <f t="shared" si="35"/>
        <v>7.4814845805086282E-3</v>
      </c>
    </row>
    <row r="1143" spans="1:5" x14ac:dyDescent="0.25">
      <c r="A1143" s="1">
        <v>45845</v>
      </c>
      <c r="B1143" s="4">
        <v>620.67999999999995</v>
      </c>
      <c r="C1143" s="4">
        <v>41.005000000000003</v>
      </c>
      <c r="D1143" s="3">
        <f t="shared" si="34"/>
        <v>-7.4798506067595832E-3</v>
      </c>
      <c r="E1143" s="3">
        <f t="shared" si="35"/>
        <v>2.075069404948907E-3</v>
      </c>
    </row>
    <row r="1144" spans="1:5" x14ac:dyDescent="0.25">
      <c r="A1144" s="1">
        <v>45846</v>
      </c>
      <c r="B1144" s="4">
        <v>620.34</v>
      </c>
      <c r="C1144" s="4">
        <v>40.57</v>
      </c>
      <c r="D1144" s="3">
        <f t="shared" si="34"/>
        <v>-5.4793638862637626E-4</v>
      </c>
      <c r="E1144" s="3">
        <f t="shared" si="35"/>
        <v>-1.0665133270018754E-2</v>
      </c>
    </row>
    <row r="1145" spans="1:5" x14ac:dyDescent="0.25">
      <c r="A1145" s="1">
        <v>45847</v>
      </c>
      <c r="B1145" s="4">
        <v>624.05999999999995</v>
      </c>
      <c r="C1145" s="4">
        <v>40.950000000000003</v>
      </c>
      <c r="D1145" s="3">
        <f t="shared" si="34"/>
        <v>5.978802766439778E-3</v>
      </c>
      <c r="E1145" s="3">
        <f t="shared" si="35"/>
        <v>9.3229330807226701E-3</v>
      </c>
    </row>
    <row r="1146" spans="1:5" x14ac:dyDescent="0.25">
      <c r="A1146" s="1">
        <v>45848</v>
      </c>
      <c r="B1146" s="4">
        <v>625.82000000000005</v>
      </c>
      <c r="C1146" s="4">
        <v>41.284999999999997</v>
      </c>
      <c r="D1146" s="3">
        <f t="shared" si="34"/>
        <v>2.8162722233661245E-3</v>
      </c>
      <c r="E1146" s="3">
        <f t="shared" si="35"/>
        <v>8.1474275703132069E-3</v>
      </c>
    </row>
    <row r="1147" spans="1:5" x14ac:dyDescent="0.25">
      <c r="A1147" s="1">
        <v>45849</v>
      </c>
      <c r="B1147" s="4">
        <v>623.62</v>
      </c>
      <c r="C1147" s="4">
        <v>41.225000000000001</v>
      </c>
      <c r="D1147" s="3">
        <f t="shared" si="34"/>
        <v>-3.5215813062080439E-3</v>
      </c>
      <c r="E1147" s="3">
        <f t="shared" si="35"/>
        <v>-1.4543694237291681E-3</v>
      </c>
    </row>
    <row r="1148" spans="1:5" x14ac:dyDescent="0.25">
      <c r="A1148" s="1">
        <v>45852</v>
      </c>
      <c r="B1148" s="4">
        <v>624.80999999999995</v>
      </c>
      <c r="C1148" s="4">
        <v>41.39</v>
      </c>
      <c r="D1148" s="3">
        <f t="shared" si="34"/>
        <v>1.9063950087797872E-3</v>
      </c>
      <c r="E1148" s="3">
        <f t="shared" si="35"/>
        <v>3.9944373149784227E-3</v>
      </c>
    </row>
    <row r="1149" spans="1:5" x14ac:dyDescent="0.25">
      <c r="A1149" s="1">
        <v>45853</v>
      </c>
      <c r="B1149" s="4">
        <v>622.14</v>
      </c>
      <c r="C1149" s="4">
        <v>40.994999999999997</v>
      </c>
      <c r="D1149" s="3">
        <f t="shared" si="34"/>
        <v>-4.2824557207927208E-3</v>
      </c>
      <c r="E1149" s="3">
        <f t="shared" si="35"/>
        <v>-9.5891977125001186E-3</v>
      </c>
    </row>
    <row r="1150" spans="1:5" x14ac:dyDescent="0.25">
      <c r="A1150" s="1">
        <v>45854</v>
      </c>
      <c r="B1150" s="4">
        <v>624.22</v>
      </c>
      <c r="C1150" s="4">
        <v>41.015000000000001</v>
      </c>
      <c r="D1150" s="3">
        <f t="shared" si="34"/>
        <v>3.337722537631157E-3</v>
      </c>
      <c r="E1150" s="3">
        <f t="shared" si="35"/>
        <v>4.8774540657237352E-4</v>
      </c>
    </row>
    <row r="1151" spans="1:5" x14ac:dyDescent="0.25">
      <c r="A1151" s="1">
        <v>45855</v>
      </c>
      <c r="B1151" s="4">
        <v>628.04</v>
      </c>
      <c r="C1151" s="4">
        <v>41.185000000000002</v>
      </c>
      <c r="D1151" s="3">
        <f t="shared" si="34"/>
        <v>6.1009883714480536E-3</v>
      </c>
      <c r="E1151" s="3">
        <f t="shared" si="35"/>
        <v>4.1362589384989178E-3</v>
      </c>
    </row>
    <row r="1152" spans="1:5" x14ac:dyDescent="0.25">
      <c r="A1152" s="1">
        <v>45856</v>
      </c>
      <c r="B1152" s="4">
        <v>627.58000000000004</v>
      </c>
      <c r="C1152" s="4">
        <v>41.875</v>
      </c>
      <c r="D1152" s="3">
        <f t="shared" si="34"/>
        <v>-7.3270578770566995E-4</v>
      </c>
      <c r="E1152" s="3">
        <f t="shared" si="35"/>
        <v>1.6614877752018326E-2</v>
      </c>
    </row>
    <row r="1153" spans="1:5" x14ac:dyDescent="0.25">
      <c r="A1153" s="1">
        <v>45859</v>
      </c>
      <c r="B1153" s="4">
        <v>628.77</v>
      </c>
      <c r="C1153" s="4">
        <v>42.01</v>
      </c>
      <c r="D1153" s="3">
        <f t="shared" si="34"/>
        <v>1.8943771335627375E-3</v>
      </c>
      <c r="E1153" s="3">
        <f t="shared" si="35"/>
        <v>3.2186950360601008E-3</v>
      </c>
    </row>
    <row r="1154" spans="1:5" x14ac:dyDescent="0.25">
      <c r="A1154" s="1">
        <v>45860</v>
      </c>
      <c r="B1154" s="4">
        <v>628.86</v>
      </c>
      <c r="C1154" s="4">
        <v>42.524999999999999</v>
      </c>
      <c r="D1154" s="3">
        <f t="shared" si="34"/>
        <v>1.4312635696291893E-4</v>
      </c>
      <c r="E1154" s="3">
        <f t="shared" si="35"/>
        <v>1.218445310063488E-2</v>
      </c>
    </row>
    <row r="1155" spans="1:5" x14ac:dyDescent="0.25">
      <c r="A1155" s="1">
        <v>45861</v>
      </c>
      <c r="B1155" s="4">
        <v>634.21</v>
      </c>
      <c r="C1155" s="4">
        <v>42.204999999999998</v>
      </c>
      <c r="D1155" s="3">
        <f t="shared" si="34"/>
        <v>8.4714734663567295E-3</v>
      </c>
      <c r="E1155" s="3">
        <f t="shared" si="35"/>
        <v>-7.5534408462422263E-3</v>
      </c>
    </row>
    <row r="1156" spans="1:5" x14ac:dyDescent="0.25">
      <c r="A1156" s="1">
        <v>45862</v>
      </c>
      <c r="B1156" s="4">
        <v>634.41999999999996</v>
      </c>
      <c r="C1156" s="4">
        <v>42.15</v>
      </c>
      <c r="D1156" s="3">
        <f t="shared" ref="D1156:D1219" si="36">LN(B1156/B1155)</f>
        <v>3.3106579840924032E-4</v>
      </c>
      <c r="E1156" s="3">
        <f t="shared" ref="E1156:E1219" si="37">LN(C1156/C1155)</f>
        <v>-1.3040129878187832E-3</v>
      </c>
    </row>
    <row r="1157" spans="1:5" x14ac:dyDescent="0.25">
      <c r="A1157" s="1">
        <v>45863</v>
      </c>
      <c r="B1157" s="4">
        <v>637.1</v>
      </c>
      <c r="C1157" s="4">
        <v>42.26</v>
      </c>
      <c r="D1157" s="3">
        <f t="shared" si="36"/>
        <v>4.2154334475355678E-3</v>
      </c>
      <c r="E1157" s="3">
        <f t="shared" si="37"/>
        <v>2.6063277400461471E-3</v>
      </c>
    </row>
    <row r="1158" spans="1:5" x14ac:dyDescent="0.25">
      <c r="A1158" s="1">
        <v>45866</v>
      </c>
      <c r="B1158" s="4">
        <v>636.94000000000005</v>
      </c>
      <c r="C1158" s="4">
        <v>41.81</v>
      </c>
      <c r="D1158" s="3">
        <f t="shared" si="36"/>
        <v>-2.5116950934211431E-4</v>
      </c>
      <c r="E1158" s="3">
        <f t="shared" si="37"/>
        <v>-1.0705466819436946E-2</v>
      </c>
    </row>
    <row r="1159" spans="1:5" x14ac:dyDescent="0.25">
      <c r="A1159" s="1">
        <v>45867</v>
      </c>
      <c r="B1159" s="4">
        <v>635.26</v>
      </c>
      <c r="C1159" s="4">
        <v>42.29</v>
      </c>
      <c r="D1159" s="3">
        <f t="shared" si="36"/>
        <v>-2.6410957028047332E-3</v>
      </c>
      <c r="E1159" s="3">
        <f t="shared" si="37"/>
        <v>1.1415106115923501E-2</v>
      </c>
    </row>
    <row r="1160" spans="1:5" x14ac:dyDescent="0.25">
      <c r="A1160" s="1">
        <v>45868</v>
      </c>
      <c r="B1160" s="4">
        <v>634.46</v>
      </c>
      <c r="C1160" s="4">
        <v>42.604999999999997</v>
      </c>
      <c r="D1160" s="3">
        <f t="shared" si="36"/>
        <v>-1.2601205082383743E-3</v>
      </c>
      <c r="E1160" s="3">
        <f t="shared" si="37"/>
        <v>7.4209657955221237E-3</v>
      </c>
    </row>
    <row r="1161" spans="1:5" x14ac:dyDescent="0.25">
      <c r="A1161" s="1">
        <v>45869</v>
      </c>
      <c r="B1161" s="4">
        <v>632.08000000000004</v>
      </c>
      <c r="C1161" s="4">
        <v>42.835000000000001</v>
      </c>
      <c r="D1161" s="3">
        <f t="shared" si="36"/>
        <v>-3.7582749875794386E-3</v>
      </c>
      <c r="E1161" s="3">
        <f t="shared" si="37"/>
        <v>5.3839081360881119E-3</v>
      </c>
    </row>
    <row r="1162" spans="1:5" x14ac:dyDescent="0.25">
      <c r="A1162" s="1">
        <v>45870</v>
      </c>
      <c r="B1162" s="4">
        <v>621.72</v>
      </c>
      <c r="C1162" s="4">
        <v>42.9</v>
      </c>
      <c r="D1162" s="3">
        <f t="shared" si="36"/>
        <v>-1.652613779978061E-2</v>
      </c>
      <c r="E1162" s="3">
        <f t="shared" si="37"/>
        <v>1.516300517964008E-3</v>
      </c>
    </row>
    <row r="1163" spans="1:5" x14ac:dyDescent="0.25">
      <c r="A1163" s="1">
        <v>45873</v>
      </c>
      <c r="B1163" s="4">
        <v>631.16999999999996</v>
      </c>
      <c r="C1163" s="4">
        <v>43.66</v>
      </c>
      <c r="D1163" s="3">
        <f t="shared" si="36"/>
        <v>1.508540927034103E-2</v>
      </c>
      <c r="E1163" s="3">
        <f t="shared" si="37"/>
        <v>1.7560525187826526E-2</v>
      </c>
    </row>
    <row r="1164" spans="1:5" x14ac:dyDescent="0.25">
      <c r="A1164" s="1">
        <v>45874</v>
      </c>
      <c r="B1164" s="4">
        <v>627.97</v>
      </c>
      <c r="C1164" s="4">
        <v>43.195</v>
      </c>
      <c r="D1164" s="3">
        <f t="shared" si="36"/>
        <v>-5.082845258532892E-3</v>
      </c>
      <c r="E1164" s="3">
        <f t="shared" si="37"/>
        <v>-1.0707603310950277E-2</v>
      </c>
    </row>
    <row r="1165" spans="1:5" x14ac:dyDescent="0.25">
      <c r="A1165" s="1">
        <v>45875</v>
      </c>
      <c r="B1165" s="4">
        <v>632.78</v>
      </c>
      <c r="C1165" s="4">
        <v>42.81</v>
      </c>
      <c r="D1165" s="3">
        <f t="shared" si="36"/>
        <v>7.6304157648932076E-3</v>
      </c>
      <c r="E1165" s="3">
        <f t="shared" si="37"/>
        <v>-8.9530276539926609E-3</v>
      </c>
    </row>
    <row r="1166" spans="1:5" x14ac:dyDescent="0.25">
      <c r="A1166" s="1">
        <v>45876</v>
      </c>
      <c r="B1166" s="4">
        <v>632.25</v>
      </c>
      <c r="C1166" s="4">
        <v>43.274999999999999</v>
      </c>
      <c r="D1166" s="3">
        <f t="shared" si="36"/>
        <v>-8.3792484132426089E-4</v>
      </c>
      <c r="E1166" s="3">
        <f t="shared" si="37"/>
        <v>1.0803380905418224E-2</v>
      </c>
    </row>
    <row r="1167" spans="1:5" x14ac:dyDescent="0.25">
      <c r="A1167" s="1">
        <v>45877</v>
      </c>
      <c r="B1167" s="4">
        <v>637.17999999999995</v>
      </c>
      <c r="C1167" s="4">
        <v>43.09</v>
      </c>
      <c r="D1167" s="3">
        <f t="shared" si="36"/>
        <v>7.7673046737038263E-3</v>
      </c>
      <c r="E1167" s="3">
        <f t="shared" si="37"/>
        <v>-4.28414943452616E-3</v>
      </c>
    </row>
    <row r="1168" spans="1:5" x14ac:dyDescent="0.25">
      <c r="A1168" s="1">
        <v>45880</v>
      </c>
      <c r="B1168" s="4">
        <v>635.91999999999996</v>
      </c>
      <c r="C1168" s="4">
        <v>42.954999999999998</v>
      </c>
      <c r="D1168" s="3">
        <f t="shared" si="36"/>
        <v>-1.9794209589211113E-3</v>
      </c>
      <c r="E1168" s="3">
        <f t="shared" si="37"/>
        <v>-3.1378955377269163E-3</v>
      </c>
    </row>
    <row r="1169" spans="1:5" x14ac:dyDescent="0.25">
      <c r="A1169" s="1">
        <v>45881</v>
      </c>
      <c r="B1169" s="4">
        <v>642.69000000000005</v>
      </c>
      <c r="C1169" s="4">
        <v>43.14</v>
      </c>
      <c r="D1169" s="3">
        <f t="shared" si="36"/>
        <v>1.0589723632381049E-2</v>
      </c>
      <c r="E1169" s="3">
        <f t="shared" si="37"/>
        <v>4.2975848709906148E-3</v>
      </c>
    </row>
    <row r="1170" spans="1:5" x14ac:dyDescent="0.25">
      <c r="A1170" s="1">
        <v>45882</v>
      </c>
      <c r="B1170" s="4">
        <v>644.89</v>
      </c>
      <c r="C1170" s="4">
        <v>43.234999999999999</v>
      </c>
      <c r="D1170" s="3">
        <f t="shared" si="36"/>
        <v>3.4172667188266254E-3</v>
      </c>
      <c r="E1170" s="3">
        <f t="shared" si="37"/>
        <v>2.1997114513833053E-3</v>
      </c>
    </row>
    <row r="1171" spans="1:5" x14ac:dyDescent="0.25">
      <c r="A1171" s="1">
        <v>45883</v>
      </c>
      <c r="B1171" s="4">
        <v>644.95000000000005</v>
      </c>
      <c r="C1171" s="4">
        <v>42.935000000000002</v>
      </c>
      <c r="D1171" s="3">
        <f t="shared" si="36"/>
        <v>9.3034795080460756E-5</v>
      </c>
      <c r="E1171" s="3">
        <f t="shared" si="37"/>
        <v>-6.9630082879454614E-3</v>
      </c>
    </row>
    <row r="1172" spans="1:5" x14ac:dyDescent="0.25">
      <c r="A1172" s="1">
        <v>45884</v>
      </c>
      <c r="B1172" s="4">
        <v>643.44000000000005</v>
      </c>
      <c r="C1172" s="4">
        <v>42.81</v>
      </c>
      <c r="D1172" s="3">
        <f t="shared" si="36"/>
        <v>-2.3440118153315328E-3</v>
      </c>
      <c r="E1172" s="3">
        <f t="shared" si="37"/>
        <v>-2.9156239675933518E-3</v>
      </c>
    </row>
    <row r="1173" spans="1:5" x14ac:dyDescent="0.25">
      <c r="A1173" s="1">
        <v>45887</v>
      </c>
      <c r="B1173" s="4">
        <v>643.29999999999995</v>
      </c>
      <c r="C1173" s="4">
        <v>42.625</v>
      </c>
      <c r="D1173" s="3">
        <f t="shared" si="36"/>
        <v>-2.1760417885903445E-4</v>
      </c>
      <c r="E1173" s="3">
        <f t="shared" si="37"/>
        <v>-4.3307845531739726E-3</v>
      </c>
    </row>
    <row r="1174" spans="1:5" x14ac:dyDescent="0.25">
      <c r="A1174" s="1">
        <v>45888</v>
      </c>
      <c r="B1174" s="4">
        <v>639.80999999999995</v>
      </c>
      <c r="C1174" s="4">
        <v>43.04</v>
      </c>
      <c r="D1174" s="3">
        <f t="shared" si="36"/>
        <v>-5.4399211393435336E-3</v>
      </c>
      <c r="E1174" s="3">
        <f t="shared" si="37"/>
        <v>9.6889802498481403E-3</v>
      </c>
    </row>
    <row r="1175" spans="1:5" x14ac:dyDescent="0.25">
      <c r="A1175" s="1">
        <v>45889</v>
      </c>
      <c r="B1175" s="4">
        <v>638.11</v>
      </c>
      <c r="C1175" s="4">
        <v>43.085000000000001</v>
      </c>
      <c r="D1175" s="3">
        <f t="shared" si="36"/>
        <v>-2.6605750012675547E-3</v>
      </c>
      <c r="E1175" s="3">
        <f t="shared" si="37"/>
        <v>1.0449928382013007E-3</v>
      </c>
    </row>
    <row r="1176" spans="1:5" x14ac:dyDescent="0.25">
      <c r="A1176" s="1">
        <v>45890</v>
      </c>
      <c r="B1176" s="4">
        <v>635.54999999999995</v>
      </c>
      <c r="C1176" s="4">
        <v>42.79</v>
      </c>
      <c r="D1176" s="3">
        <f t="shared" si="36"/>
        <v>-4.019916535665689E-3</v>
      </c>
      <c r="E1176" s="3">
        <f t="shared" si="37"/>
        <v>-6.8704782630047371E-3</v>
      </c>
    </row>
    <row r="1177" spans="1:5" x14ac:dyDescent="0.25">
      <c r="A1177" s="1">
        <v>45891</v>
      </c>
      <c r="B1177" s="4">
        <v>645.30999999999995</v>
      </c>
      <c r="C1177" s="4">
        <v>43.02</v>
      </c>
      <c r="D1177" s="3">
        <f t="shared" si="36"/>
        <v>1.5240055749260446E-2</v>
      </c>
      <c r="E1177" s="3">
        <f t="shared" si="37"/>
        <v>5.3606934108585249E-3</v>
      </c>
    </row>
    <row r="1178" spans="1:5" x14ac:dyDescent="0.25">
      <c r="A1178" s="1">
        <v>45894</v>
      </c>
      <c r="B1178" s="4">
        <v>642.47</v>
      </c>
      <c r="C1178" s="4">
        <v>42.534999999999997</v>
      </c>
      <c r="D1178" s="3">
        <f t="shared" si="36"/>
        <v>-4.4106984177008507E-3</v>
      </c>
      <c r="E1178" s="3">
        <f t="shared" si="37"/>
        <v>-1.1337857411736537E-2</v>
      </c>
    </row>
    <row r="1179" spans="1:5" x14ac:dyDescent="0.25">
      <c r="A1179" s="1">
        <v>45895</v>
      </c>
      <c r="B1179" s="4">
        <v>645.16</v>
      </c>
      <c r="C1179" s="4">
        <v>42.63</v>
      </c>
      <c r="D1179" s="3">
        <f t="shared" si="36"/>
        <v>4.178224976744538E-3</v>
      </c>
      <c r="E1179" s="3">
        <f t="shared" si="37"/>
        <v>2.2309643492715273E-3</v>
      </c>
    </row>
    <row r="1180" spans="1:5" x14ac:dyDescent="0.25">
      <c r="A1180" s="1">
        <v>45896</v>
      </c>
      <c r="B1180" s="4">
        <v>646.63</v>
      </c>
      <c r="C1180" s="4">
        <v>42.64</v>
      </c>
      <c r="D1180" s="3">
        <f t="shared" si="36"/>
        <v>2.2759127017902211E-3</v>
      </c>
      <c r="E1180" s="3">
        <f t="shared" si="37"/>
        <v>2.3454908047015495E-4</v>
      </c>
    </row>
    <row r="1181" spans="1:5" x14ac:dyDescent="0.25">
      <c r="A1181" s="1">
        <v>45897</v>
      </c>
      <c r="B1181" s="4">
        <v>648.91999999999996</v>
      </c>
      <c r="C1181" s="4">
        <v>42.314999999999998</v>
      </c>
      <c r="D1181" s="3">
        <f t="shared" si="36"/>
        <v>3.5351817914260068E-3</v>
      </c>
      <c r="E1181" s="3">
        <f t="shared" si="37"/>
        <v>-7.6511467355198622E-3</v>
      </c>
    </row>
    <row r="1182" spans="1:5" x14ac:dyDescent="0.25">
      <c r="A1182" s="1">
        <v>45898</v>
      </c>
      <c r="B1182" s="4">
        <v>645.04999999999995</v>
      </c>
      <c r="C1182" s="4">
        <v>42.16</v>
      </c>
      <c r="D1182" s="3">
        <f t="shared" si="36"/>
        <v>-5.9816093710526258E-3</v>
      </c>
      <c r="E1182" s="3">
        <f t="shared" si="37"/>
        <v>-3.6697288889624017E-3</v>
      </c>
    </row>
    <row r="1183" spans="1:5" x14ac:dyDescent="0.25">
      <c r="A1183" s="1">
        <v>45902</v>
      </c>
      <c r="B1183" s="4">
        <v>640.27</v>
      </c>
      <c r="C1183" s="4">
        <v>42.02</v>
      </c>
      <c r="D1183" s="3">
        <f t="shared" si="36"/>
        <v>-7.4378707816654625E-3</v>
      </c>
      <c r="E1183" s="3">
        <f t="shared" si="37"/>
        <v>-3.326208816252394E-3</v>
      </c>
    </row>
    <row r="1184" spans="1:5" x14ac:dyDescent="0.25">
      <c r="A1184" s="1">
        <v>45903</v>
      </c>
      <c r="B1184" s="4">
        <v>643.74</v>
      </c>
      <c r="C1184" s="4">
        <v>41.914999999999999</v>
      </c>
      <c r="D1184" s="3">
        <f t="shared" si="36"/>
        <v>5.4049554872299468E-3</v>
      </c>
      <c r="E1184" s="3">
        <f t="shared" si="37"/>
        <v>-2.5019373270337136E-3</v>
      </c>
    </row>
    <row r="1185" spans="1:5" x14ac:dyDescent="0.25">
      <c r="A1185" s="1">
        <v>45904</v>
      </c>
      <c r="B1185" s="4">
        <v>649.12</v>
      </c>
      <c r="C1185" s="4">
        <v>41.865000000000002</v>
      </c>
      <c r="D1185" s="3">
        <f t="shared" si="36"/>
        <v>8.3226815814273405E-3</v>
      </c>
      <c r="E1185" s="3">
        <f t="shared" si="37"/>
        <v>-1.1936024334254923E-3</v>
      </c>
    </row>
    <row r="1186" spans="1:5" x14ac:dyDescent="0.25">
      <c r="A1186" s="1">
        <v>45905</v>
      </c>
      <c r="B1186" s="4">
        <v>647.24</v>
      </c>
      <c r="C1186" s="4">
        <v>41.734999999999999</v>
      </c>
      <c r="D1186" s="3">
        <f t="shared" si="36"/>
        <v>-2.9004309265297751E-3</v>
      </c>
      <c r="E1186" s="3">
        <f t="shared" si="37"/>
        <v>-3.1100503536952455E-3</v>
      </c>
    </row>
    <row r="1187" spans="1:5" x14ac:dyDescent="0.25">
      <c r="A1187" s="1">
        <v>45908</v>
      </c>
      <c r="B1187" s="4">
        <v>648.83000000000004</v>
      </c>
      <c r="C1187" s="4">
        <v>41.31</v>
      </c>
      <c r="D1187" s="3">
        <f t="shared" si="36"/>
        <v>2.4535724114473703E-3</v>
      </c>
      <c r="E1187" s="3">
        <f t="shared" si="37"/>
        <v>-1.0235503894026752E-2</v>
      </c>
    </row>
    <row r="1188" spans="1:5" x14ac:dyDescent="0.25">
      <c r="A1188" s="1">
        <v>45909</v>
      </c>
      <c r="B1188" s="4">
        <v>650.33000000000004</v>
      </c>
      <c r="C1188" s="4">
        <v>41.594999999999999</v>
      </c>
      <c r="D1188" s="3">
        <f t="shared" si="36"/>
        <v>2.3091854221836696E-3</v>
      </c>
      <c r="E1188" s="3">
        <f t="shared" si="37"/>
        <v>6.8753663271778091E-3</v>
      </c>
    </row>
    <row r="1189" spans="1:5" x14ac:dyDescent="0.25">
      <c r="A1189" s="1">
        <v>45910</v>
      </c>
      <c r="B1189" s="4">
        <v>652.21</v>
      </c>
      <c r="C1189" s="4">
        <v>42.31</v>
      </c>
      <c r="D1189" s="3">
        <f t="shared" si="36"/>
        <v>2.88666959246001E-3</v>
      </c>
      <c r="E1189" s="3">
        <f t="shared" si="37"/>
        <v>1.7043496996125167E-2</v>
      </c>
    </row>
    <row r="1190" spans="1:5" x14ac:dyDescent="0.25">
      <c r="A1190" s="1">
        <v>45911</v>
      </c>
      <c r="B1190" s="4">
        <v>657.63</v>
      </c>
      <c r="C1190" s="4">
        <v>42.534999999999997</v>
      </c>
      <c r="D1190" s="3">
        <f t="shared" si="36"/>
        <v>8.2758671816473631E-3</v>
      </c>
      <c r="E1190" s="3">
        <f t="shared" si="37"/>
        <v>5.3038016958713045E-3</v>
      </c>
    </row>
    <row r="1191" spans="1:5" x14ac:dyDescent="0.25">
      <c r="A1191" s="1">
        <v>45912</v>
      </c>
      <c r="B1191" s="4">
        <v>657.41</v>
      </c>
      <c r="C1191" s="4">
        <v>42.75</v>
      </c>
      <c r="D1191" s="3">
        <f t="shared" si="36"/>
        <v>-3.3459058591749514E-4</v>
      </c>
      <c r="E1191" s="3">
        <f t="shared" si="37"/>
        <v>5.0419289549217452E-3</v>
      </c>
    </row>
    <row r="1192" spans="1:5" x14ac:dyDescent="0.25">
      <c r="A1192" s="1">
        <v>45915</v>
      </c>
      <c r="B1192" s="4">
        <v>660.91</v>
      </c>
      <c r="C1192" s="4">
        <v>42.85</v>
      </c>
      <c r="D1192" s="3">
        <f t="shared" si="36"/>
        <v>5.3098006906385524E-3</v>
      </c>
      <c r="E1192" s="3">
        <f t="shared" si="37"/>
        <v>2.3364496610195056E-3</v>
      </c>
    </row>
    <row r="1193" spans="1:5" x14ac:dyDescent="0.25">
      <c r="A1193" s="1">
        <v>45916</v>
      </c>
      <c r="B1193" s="4">
        <v>660</v>
      </c>
      <c r="C1193" s="4">
        <v>42.07</v>
      </c>
      <c r="D1193" s="3">
        <f t="shared" si="36"/>
        <v>-1.3778382235956578E-3</v>
      </c>
      <c r="E1193" s="3">
        <f t="shared" si="37"/>
        <v>-1.8370747441359265E-2</v>
      </c>
    </row>
    <row r="1194" spans="1:5" x14ac:dyDescent="0.25">
      <c r="A1194" s="1">
        <v>45917</v>
      </c>
      <c r="B1194" s="4">
        <v>659.18</v>
      </c>
      <c r="C1194" s="4">
        <v>42.174999999999997</v>
      </c>
      <c r="D1194" s="3">
        <f t="shared" si="36"/>
        <v>-1.2431966912957713E-3</v>
      </c>
      <c r="E1194" s="3">
        <f t="shared" si="37"/>
        <v>2.492730829602479E-3</v>
      </c>
    </row>
    <row r="1195" spans="1:5" x14ac:dyDescent="0.25">
      <c r="A1195" s="1">
        <v>45918</v>
      </c>
      <c r="B1195" s="4">
        <v>662.26</v>
      </c>
      <c r="C1195" s="4">
        <v>42.204999999999998</v>
      </c>
      <c r="D1195" s="3">
        <f t="shared" si="36"/>
        <v>4.6615897467493176E-3</v>
      </c>
      <c r="E1195" s="3">
        <f t="shared" si="37"/>
        <v>7.1106900365128472E-4</v>
      </c>
    </row>
    <row r="1196" spans="1:5" x14ac:dyDescent="0.25">
      <c r="A1196" s="1">
        <v>45919</v>
      </c>
      <c r="B1196" s="4">
        <v>663.7</v>
      </c>
      <c r="C1196" s="4">
        <v>42.475000000000001</v>
      </c>
      <c r="D1196" s="3">
        <f t="shared" si="36"/>
        <v>2.1720120759546372E-3</v>
      </c>
      <c r="E1196" s="3">
        <f t="shared" si="37"/>
        <v>6.3769701223125681E-3</v>
      </c>
    </row>
    <row r="1197" spans="1:5" x14ac:dyDescent="0.25">
      <c r="A1197" s="1">
        <v>45922</v>
      </c>
      <c r="B1197" s="4">
        <v>666.84</v>
      </c>
      <c r="C1197" s="4">
        <v>42.6</v>
      </c>
      <c r="D1197" s="3">
        <f t="shared" si="36"/>
        <v>4.7198969279508398E-3</v>
      </c>
      <c r="E1197" s="3">
        <f t="shared" si="37"/>
        <v>2.9385857173290881E-3</v>
      </c>
    </row>
    <row r="1198" spans="1:5" x14ac:dyDescent="0.25">
      <c r="A1198" s="1">
        <v>45923</v>
      </c>
      <c r="B1198" s="4">
        <v>663.21</v>
      </c>
      <c r="C1198" s="4">
        <v>42.82</v>
      </c>
      <c r="D1198" s="3">
        <f t="shared" si="36"/>
        <v>-5.4584549647028885E-3</v>
      </c>
      <c r="E1198" s="3">
        <f t="shared" si="37"/>
        <v>5.1510298862119195E-3</v>
      </c>
    </row>
    <row r="1199" spans="1:5" x14ac:dyDescent="0.25">
      <c r="A1199" s="1">
        <v>45924</v>
      </c>
      <c r="B1199" s="4">
        <v>661.1</v>
      </c>
      <c r="C1199" s="4">
        <v>43.125</v>
      </c>
      <c r="D1199" s="3">
        <f t="shared" si="36"/>
        <v>-3.186567775594909E-3</v>
      </c>
      <c r="E1199" s="3">
        <f t="shared" si="37"/>
        <v>7.0975921899870016E-3</v>
      </c>
    </row>
    <row r="1200" spans="1:5" x14ac:dyDescent="0.25">
      <c r="A1200" s="1">
        <v>45925</v>
      </c>
      <c r="B1200" s="4">
        <v>658.05</v>
      </c>
      <c r="C1200" s="4">
        <v>42.71</v>
      </c>
      <c r="D1200" s="3">
        <f t="shared" si="36"/>
        <v>-4.6241980591998719E-3</v>
      </c>
      <c r="E1200" s="3">
        <f t="shared" si="37"/>
        <v>-9.6697904981487212E-3</v>
      </c>
    </row>
    <row r="1201" spans="1:5" x14ac:dyDescent="0.25">
      <c r="A1201" s="1">
        <v>45926</v>
      </c>
      <c r="B1201" s="4">
        <v>661.82</v>
      </c>
      <c r="C1201" s="4">
        <v>43.405000000000001</v>
      </c>
      <c r="D1201" s="3">
        <f t="shared" si="36"/>
        <v>5.7126993610021456E-3</v>
      </c>
      <c r="E1201" s="3">
        <f t="shared" si="37"/>
        <v>1.6141556990396183E-2</v>
      </c>
    </row>
    <row r="1202" spans="1:5" x14ac:dyDescent="0.25">
      <c r="A1202" s="1">
        <v>45929</v>
      </c>
      <c r="B1202" s="4">
        <v>663.68</v>
      </c>
      <c r="C1202" s="4">
        <v>43.53</v>
      </c>
      <c r="D1202" s="3">
        <f t="shared" si="36"/>
        <v>2.806489959773006E-3</v>
      </c>
      <c r="E1202" s="3">
        <f t="shared" si="37"/>
        <v>2.8757137204349428E-3</v>
      </c>
    </row>
    <row r="1203" spans="1:5" x14ac:dyDescent="0.25">
      <c r="A1203" s="1">
        <v>45930</v>
      </c>
      <c r="B1203" s="4">
        <v>666.18</v>
      </c>
      <c r="C1203" s="4">
        <v>43.604999999999997</v>
      </c>
      <c r="D1203" s="3">
        <f t="shared" si="36"/>
        <v>3.7597986931214452E-3</v>
      </c>
      <c r="E1203" s="3">
        <f t="shared" si="37"/>
        <v>1.7214671147426804E-3</v>
      </c>
    </row>
    <row r="1204" spans="1:5" x14ac:dyDescent="0.25">
      <c r="A1204" s="1">
        <v>45931</v>
      </c>
      <c r="B1204" s="4">
        <v>668.45</v>
      </c>
      <c r="C1204" s="4">
        <v>44.024999999999999</v>
      </c>
      <c r="D1204" s="3">
        <f t="shared" si="36"/>
        <v>3.4016951349024709E-3</v>
      </c>
      <c r="E1204" s="3">
        <f t="shared" si="37"/>
        <v>9.5858317033209114E-3</v>
      </c>
    </row>
    <row r="1205" spans="1:5" x14ac:dyDescent="0.25">
      <c r="A1205" s="1">
        <v>45932</v>
      </c>
      <c r="B1205" s="4">
        <v>669.22</v>
      </c>
      <c r="C1205" s="4">
        <v>43.945</v>
      </c>
      <c r="D1205" s="3">
        <f t="shared" si="36"/>
        <v>1.1512556685068594E-3</v>
      </c>
      <c r="E1205" s="3">
        <f t="shared" si="37"/>
        <v>-1.8188023656612155E-3</v>
      </c>
    </row>
    <row r="1206" spans="1:5" x14ac:dyDescent="0.25">
      <c r="A1206" s="1">
        <v>45933</v>
      </c>
      <c r="B1206" s="4">
        <v>669.21</v>
      </c>
      <c r="C1206" s="4">
        <v>44.454999999999998</v>
      </c>
      <c r="D1206" s="3">
        <f t="shared" si="36"/>
        <v>-1.4942880838291834E-5</v>
      </c>
      <c r="E1206" s="3">
        <f t="shared" si="37"/>
        <v>1.1538589556493806E-2</v>
      </c>
    </row>
    <row r="1207" spans="1:5" x14ac:dyDescent="0.25">
      <c r="A1207" s="1">
        <v>45936</v>
      </c>
      <c r="B1207" s="4">
        <v>671.61</v>
      </c>
      <c r="C1207" s="4">
        <v>44.884999999999998</v>
      </c>
      <c r="D1207" s="3">
        <f t="shared" si="36"/>
        <v>3.5799026910997068E-3</v>
      </c>
      <c r="E1207" s="3">
        <f t="shared" si="37"/>
        <v>9.6262216355495357E-3</v>
      </c>
    </row>
    <row r="1208" spans="1:5" x14ac:dyDescent="0.25">
      <c r="A1208" s="1">
        <v>45937</v>
      </c>
      <c r="B1208" s="4">
        <v>669.12</v>
      </c>
      <c r="C1208" s="4">
        <v>45.09</v>
      </c>
      <c r="D1208" s="3">
        <f t="shared" si="36"/>
        <v>-3.7143986676311039E-3</v>
      </c>
      <c r="E1208" s="3">
        <f t="shared" si="37"/>
        <v>4.5568292243411855E-3</v>
      </c>
    </row>
    <row r="1209" spans="1:5" x14ac:dyDescent="0.25">
      <c r="A1209" s="1">
        <v>45938</v>
      </c>
      <c r="B1209" s="4">
        <v>673.11</v>
      </c>
      <c r="C1209" s="4">
        <v>45.4</v>
      </c>
      <c r="D1209" s="3">
        <f t="shared" si="36"/>
        <v>5.9453472995267403E-3</v>
      </c>
      <c r="E1209" s="3">
        <f t="shared" si="37"/>
        <v>6.8516126143093733E-3</v>
      </c>
    </row>
    <row r="1210" spans="1:5" x14ac:dyDescent="0.25">
      <c r="A1210" s="1">
        <v>45939</v>
      </c>
      <c r="B1210" s="4">
        <v>671.16</v>
      </c>
      <c r="C1210" s="4">
        <v>45.284999999999997</v>
      </c>
      <c r="D1210" s="3">
        <f t="shared" si="36"/>
        <v>-2.9012049182987006E-3</v>
      </c>
      <c r="E1210" s="3">
        <f t="shared" si="37"/>
        <v>-2.5362532203905097E-3</v>
      </c>
    </row>
    <row r="1211" spans="1:5" x14ac:dyDescent="0.25">
      <c r="A1211" s="1">
        <v>45940</v>
      </c>
      <c r="B1211" s="4">
        <v>653.02</v>
      </c>
      <c r="C1211" s="4">
        <v>45.1</v>
      </c>
      <c r="D1211" s="3">
        <f t="shared" si="36"/>
        <v>-2.7399801942726544E-2</v>
      </c>
      <c r="E1211" s="3">
        <f t="shared" si="37"/>
        <v>-4.0936053182790647E-3</v>
      </c>
    </row>
    <row r="1212" spans="1:5" x14ac:dyDescent="0.25">
      <c r="A1212" s="1">
        <v>45943</v>
      </c>
      <c r="B1212" s="4">
        <v>663.04</v>
      </c>
      <c r="C1212" s="4">
        <v>45.445</v>
      </c>
      <c r="D1212" s="3">
        <f t="shared" si="36"/>
        <v>1.5227563512238449E-2</v>
      </c>
      <c r="E1212" s="3">
        <f t="shared" si="37"/>
        <v>7.6205570621009746E-3</v>
      </c>
    </row>
    <row r="1213" spans="1:5" x14ac:dyDescent="0.25">
      <c r="A1213" s="1">
        <v>45944</v>
      </c>
      <c r="B1213" s="4">
        <v>662.23</v>
      </c>
      <c r="C1213" s="4">
        <v>45.85</v>
      </c>
      <c r="D1213" s="3">
        <f t="shared" si="36"/>
        <v>-1.222392570361296E-3</v>
      </c>
      <c r="E1213" s="3">
        <f t="shared" si="37"/>
        <v>8.8723951317402558E-3</v>
      </c>
    </row>
    <row r="1214" spans="1:5" x14ac:dyDescent="0.25">
      <c r="A1214" s="1">
        <v>45945</v>
      </c>
      <c r="B1214" s="4">
        <v>665.17</v>
      </c>
      <c r="C1214" s="4">
        <v>46.45</v>
      </c>
      <c r="D1214" s="3">
        <f t="shared" si="36"/>
        <v>4.4297194628446432E-3</v>
      </c>
      <c r="E1214" s="3">
        <f t="shared" si="37"/>
        <v>1.3001266557373721E-2</v>
      </c>
    </row>
    <row r="1215" spans="1:5" x14ac:dyDescent="0.25">
      <c r="A1215" s="1">
        <v>45946</v>
      </c>
      <c r="B1215" s="4">
        <v>660.64</v>
      </c>
      <c r="C1215" s="4">
        <v>45.945</v>
      </c>
      <c r="D1215" s="3">
        <f t="shared" si="36"/>
        <v>-6.8335849457119065E-3</v>
      </c>
      <c r="E1215" s="3">
        <f t="shared" si="37"/>
        <v>-1.0931436306999347E-2</v>
      </c>
    </row>
    <row r="1216" spans="1:5" x14ac:dyDescent="0.25">
      <c r="A1216" s="1">
        <v>45947</v>
      </c>
      <c r="B1216" s="4">
        <v>664.39</v>
      </c>
      <c r="C1216" s="4">
        <v>45.784999999999997</v>
      </c>
      <c r="D1216" s="3">
        <f t="shared" si="36"/>
        <v>5.6602643140981736E-3</v>
      </c>
      <c r="E1216" s="3">
        <f t="shared" si="37"/>
        <v>-3.4885023931528849E-3</v>
      </c>
    </row>
    <row r="1217" spans="1:5" x14ac:dyDescent="0.25">
      <c r="A1217" s="1">
        <v>45950</v>
      </c>
      <c r="B1217" s="4">
        <v>671.3</v>
      </c>
      <c r="C1217" s="4">
        <v>45.77</v>
      </c>
      <c r="D1217" s="3">
        <f t="shared" si="36"/>
        <v>1.0346804492827629E-2</v>
      </c>
      <c r="E1217" s="3">
        <f t="shared" si="37"/>
        <v>-3.276718941445489E-4</v>
      </c>
    </row>
    <row r="1218" spans="1:5" x14ac:dyDescent="0.25">
      <c r="A1218" s="1">
        <v>45951</v>
      </c>
      <c r="B1218" s="4">
        <v>671.29</v>
      </c>
      <c r="C1218" s="4">
        <v>45.305</v>
      </c>
      <c r="D1218" s="3">
        <f t="shared" si="36"/>
        <v>-1.4896580490177991E-5</v>
      </c>
      <c r="E1218" s="3">
        <f t="shared" si="37"/>
        <v>-1.0211452991526813E-2</v>
      </c>
    </row>
    <row r="1219" spans="1:5" x14ac:dyDescent="0.25">
      <c r="A1219" s="1">
        <v>45952</v>
      </c>
      <c r="B1219" s="4">
        <v>667.8</v>
      </c>
      <c r="C1219" s="4">
        <v>45.2</v>
      </c>
      <c r="D1219" s="3">
        <f t="shared" si="36"/>
        <v>-5.2125068546614592E-3</v>
      </c>
      <c r="E1219" s="3">
        <f t="shared" si="37"/>
        <v>-2.3203148358384067E-3</v>
      </c>
    </row>
    <row r="1220" spans="1:5" x14ac:dyDescent="0.25">
      <c r="A1220" s="1">
        <v>45953</v>
      </c>
      <c r="B1220" s="4">
        <v>671.76</v>
      </c>
      <c r="C1220" s="4">
        <v>45.164999999999999</v>
      </c>
      <c r="D1220" s="3">
        <f t="shared" ref="D1220:D1256" si="38">LN(B1220/B1219)</f>
        <v>5.9124063657537461E-3</v>
      </c>
      <c r="E1220" s="3">
        <f t="shared" ref="E1220:E1256" si="39">LN(C1220/C1219)</f>
        <v>-7.7463623637872431E-4</v>
      </c>
    </row>
    <row r="1221" spans="1:5" x14ac:dyDescent="0.25">
      <c r="A1221" s="1">
        <v>45954</v>
      </c>
      <c r="B1221" s="4">
        <v>677.25</v>
      </c>
      <c r="C1221" s="4">
        <v>45.695</v>
      </c>
      <c r="D1221" s="3">
        <f t="shared" si="38"/>
        <v>8.139347089896708E-3</v>
      </c>
      <c r="E1221" s="3">
        <f t="shared" si="39"/>
        <v>1.1666432122358234E-2</v>
      </c>
    </row>
    <row r="1222" spans="1:5" x14ac:dyDescent="0.25">
      <c r="A1222" s="1">
        <v>45957</v>
      </c>
      <c r="B1222" s="4">
        <v>685.24</v>
      </c>
      <c r="C1222" s="4">
        <v>45.82</v>
      </c>
      <c r="D1222" s="3">
        <f t="shared" si="38"/>
        <v>1.1728660897053329E-2</v>
      </c>
      <c r="E1222" s="3">
        <f t="shared" si="39"/>
        <v>2.7317943011844386E-3</v>
      </c>
    </row>
    <row r="1223" spans="1:5" x14ac:dyDescent="0.25">
      <c r="A1223" s="1">
        <v>45958</v>
      </c>
      <c r="B1223" s="4">
        <v>687.06</v>
      </c>
      <c r="C1223" s="4">
        <v>45.064999999999998</v>
      </c>
      <c r="D1223" s="3">
        <f t="shared" si="38"/>
        <v>2.6524827910452933E-3</v>
      </c>
      <c r="E1223" s="3">
        <f t="shared" si="39"/>
        <v>-1.6614785016976458E-2</v>
      </c>
    </row>
    <row r="1224" spans="1:5" x14ac:dyDescent="0.25">
      <c r="A1224" s="1">
        <v>45959</v>
      </c>
      <c r="B1224" s="4">
        <v>687.39</v>
      </c>
      <c r="C1224" s="4">
        <v>45.05</v>
      </c>
      <c r="D1224" s="3">
        <f t="shared" si="38"/>
        <v>4.8019208605777207E-4</v>
      </c>
      <c r="E1224" s="3">
        <f t="shared" si="39"/>
        <v>-3.3290795402618348E-4</v>
      </c>
    </row>
    <row r="1225" spans="1:5" x14ac:dyDescent="0.25">
      <c r="A1225" s="1">
        <v>45960</v>
      </c>
      <c r="B1225" s="4">
        <v>679.83</v>
      </c>
      <c r="C1225" s="4">
        <v>44.86</v>
      </c>
      <c r="D1225" s="3">
        <f t="shared" si="38"/>
        <v>-1.1059049824417662E-2</v>
      </c>
      <c r="E1225" s="3">
        <f t="shared" si="39"/>
        <v>-4.2264549622846219E-3</v>
      </c>
    </row>
    <row r="1226" spans="1:5" x14ac:dyDescent="0.25">
      <c r="A1226" s="1">
        <v>45961</v>
      </c>
      <c r="B1226" s="4">
        <v>682.06</v>
      </c>
      <c r="C1226" s="4">
        <v>44.55</v>
      </c>
      <c r="D1226" s="3">
        <f t="shared" si="38"/>
        <v>3.2748635983995849E-3</v>
      </c>
      <c r="E1226" s="3">
        <f t="shared" si="39"/>
        <v>-6.9343751752440211E-3</v>
      </c>
    </row>
    <row r="1227" spans="1:5" x14ac:dyDescent="0.25">
      <c r="A1227" s="1">
        <v>45964</v>
      </c>
      <c r="B1227" s="4">
        <v>683.34</v>
      </c>
      <c r="C1227" s="4">
        <v>44.575000000000003</v>
      </c>
      <c r="D1227" s="3">
        <f t="shared" si="38"/>
        <v>1.8749090009720192E-3</v>
      </c>
      <c r="E1227" s="3">
        <f t="shared" si="39"/>
        <v>5.6100983238595303E-4</v>
      </c>
    </row>
    <row r="1228" spans="1:5" x14ac:dyDescent="0.25">
      <c r="A1228" s="1">
        <v>45965</v>
      </c>
      <c r="B1228" s="4">
        <v>675.24</v>
      </c>
      <c r="C1228" s="4">
        <v>44.414999999999999</v>
      </c>
      <c r="D1228" s="3">
        <f t="shared" si="38"/>
        <v>-1.1924356281126827E-2</v>
      </c>
      <c r="E1228" s="3">
        <f t="shared" si="39"/>
        <v>-3.595913527539873E-3</v>
      </c>
    </row>
    <row r="1229" spans="1:5" x14ac:dyDescent="0.25">
      <c r="A1229" s="1">
        <v>45966</v>
      </c>
      <c r="B1229" s="4">
        <v>677.58</v>
      </c>
      <c r="C1229" s="4">
        <v>44.424999999999997</v>
      </c>
      <c r="D1229" s="3">
        <f t="shared" si="38"/>
        <v>3.4594437304459342E-3</v>
      </c>
      <c r="E1229" s="3">
        <f t="shared" si="39"/>
        <v>2.2512381905080543E-4</v>
      </c>
    </row>
    <row r="1230" spans="1:5" x14ac:dyDescent="0.25">
      <c r="A1230" s="1">
        <v>45967</v>
      </c>
      <c r="B1230" s="4">
        <v>670.31</v>
      </c>
      <c r="C1230" s="4">
        <v>44.23</v>
      </c>
      <c r="D1230" s="3">
        <f t="shared" si="38"/>
        <v>-1.0787335017882127E-2</v>
      </c>
      <c r="E1230" s="3">
        <f t="shared" si="39"/>
        <v>-4.3990821604796915E-3</v>
      </c>
    </row>
    <row r="1231" spans="1:5" x14ac:dyDescent="0.25">
      <c r="A1231" s="1">
        <v>45968</v>
      </c>
      <c r="B1231" s="4">
        <v>670.97</v>
      </c>
      <c r="C1231" s="4">
        <v>44.844999999999999</v>
      </c>
      <c r="D1231" s="3">
        <f t="shared" si="38"/>
        <v>9.8413463746372396E-4</v>
      </c>
      <c r="E1231" s="3">
        <f t="shared" si="39"/>
        <v>1.3808807689731096E-2</v>
      </c>
    </row>
    <row r="1232" spans="1:5" x14ac:dyDescent="0.25">
      <c r="A1232" s="1">
        <v>45971</v>
      </c>
      <c r="B1232" s="4">
        <v>681.44</v>
      </c>
      <c r="C1232" s="4">
        <v>44.83</v>
      </c>
      <c r="D1232" s="3">
        <f t="shared" si="38"/>
        <v>1.548377959168782E-2</v>
      </c>
      <c r="E1232" s="3">
        <f t="shared" si="39"/>
        <v>-3.3454140261826094E-4</v>
      </c>
    </row>
    <row r="1233" spans="1:5" x14ac:dyDescent="0.25">
      <c r="A1233" s="1">
        <v>45972</v>
      </c>
      <c r="B1233" s="4">
        <v>683</v>
      </c>
      <c r="C1233" s="4">
        <v>44.854999999999997</v>
      </c>
      <c r="D1233" s="3">
        <f t="shared" si="38"/>
        <v>2.2866533958866161E-3</v>
      </c>
      <c r="E1233" s="3">
        <f t="shared" si="39"/>
        <v>5.5750684389875842E-4</v>
      </c>
    </row>
    <row r="1234" spans="1:5" x14ac:dyDescent="0.25">
      <c r="A1234" s="1">
        <v>45973</v>
      </c>
      <c r="B1234" s="4">
        <v>683.38</v>
      </c>
      <c r="C1234" s="4">
        <v>44.96</v>
      </c>
      <c r="D1234" s="3">
        <f t="shared" si="38"/>
        <v>5.5621424464193223E-4</v>
      </c>
      <c r="E1234" s="3">
        <f t="shared" si="39"/>
        <v>2.3381405741889506E-3</v>
      </c>
    </row>
    <row r="1235" spans="1:5" x14ac:dyDescent="0.25">
      <c r="A1235" s="1">
        <v>45974</v>
      </c>
      <c r="B1235" s="4">
        <v>672.04</v>
      </c>
      <c r="C1235" s="4">
        <v>44.34</v>
      </c>
      <c r="D1235" s="3">
        <f t="shared" si="38"/>
        <v>-1.6733211254230287E-2</v>
      </c>
      <c r="E1235" s="3">
        <f t="shared" si="39"/>
        <v>-1.3886001397270226E-2</v>
      </c>
    </row>
    <row r="1236" spans="1:5" x14ac:dyDescent="0.25">
      <c r="A1236" s="1">
        <v>45975</v>
      </c>
      <c r="B1236" s="4">
        <v>671.93</v>
      </c>
      <c r="C1236" s="4">
        <v>44.38</v>
      </c>
      <c r="D1236" s="3">
        <f t="shared" si="38"/>
        <v>-1.6369413044279956E-4</v>
      </c>
      <c r="E1236" s="3">
        <f t="shared" si="39"/>
        <v>9.0171331628251413E-4</v>
      </c>
    </row>
    <row r="1237" spans="1:5" x14ac:dyDescent="0.25">
      <c r="A1237" s="1">
        <v>45978</v>
      </c>
      <c r="B1237" s="4">
        <v>665.67</v>
      </c>
      <c r="C1237" s="4">
        <v>44.78</v>
      </c>
      <c r="D1237" s="3">
        <f t="shared" si="38"/>
        <v>-9.3601161843239657E-3</v>
      </c>
      <c r="E1237" s="3">
        <f t="shared" si="39"/>
        <v>8.9726936661608837E-3</v>
      </c>
    </row>
    <row r="1238" spans="1:5" x14ac:dyDescent="0.25">
      <c r="A1238" s="1">
        <v>45979</v>
      </c>
      <c r="B1238" s="4">
        <v>660.08</v>
      </c>
      <c r="C1238" s="4">
        <v>44.61</v>
      </c>
      <c r="D1238" s="3">
        <f t="shared" si="38"/>
        <v>-8.4330124503470064E-3</v>
      </c>
      <c r="E1238" s="3">
        <f t="shared" si="39"/>
        <v>-3.8035620304353829E-3</v>
      </c>
    </row>
    <row r="1239" spans="1:5" x14ac:dyDescent="0.25">
      <c r="A1239" s="1">
        <v>45980</v>
      </c>
      <c r="B1239" s="4">
        <v>662.63</v>
      </c>
      <c r="C1239" s="4">
        <v>44.234999999999999</v>
      </c>
      <c r="D1239" s="3">
        <f t="shared" si="38"/>
        <v>3.8557252294988708E-3</v>
      </c>
      <c r="E1239" s="3">
        <f t="shared" si="39"/>
        <v>-8.4417182048241411E-3</v>
      </c>
    </row>
    <row r="1240" spans="1:5" x14ac:dyDescent="0.25">
      <c r="A1240" s="1">
        <v>45981</v>
      </c>
      <c r="B1240" s="4">
        <v>652.53</v>
      </c>
      <c r="C1240" s="4">
        <v>44.01</v>
      </c>
      <c r="D1240" s="3">
        <f t="shared" si="38"/>
        <v>-1.53596498741545E-2</v>
      </c>
      <c r="E1240" s="3">
        <f t="shared" si="39"/>
        <v>-5.099450112349249E-3</v>
      </c>
    </row>
    <row r="1241" spans="1:5" x14ac:dyDescent="0.25">
      <c r="A1241" s="1">
        <v>45982</v>
      </c>
      <c r="B1241" s="4">
        <v>659.03</v>
      </c>
      <c r="C1241" s="4">
        <v>44.075000000000003</v>
      </c>
      <c r="D1241" s="3">
        <f t="shared" si="38"/>
        <v>9.9119418353963585E-3</v>
      </c>
      <c r="E1241" s="3">
        <f t="shared" si="39"/>
        <v>1.4758474609338921E-3</v>
      </c>
    </row>
    <row r="1242" spans="1:5" x14ac:dyDescent="0.25">
      <c r="A1242" s="1">
        <v>45985</v>
      </c>
      <c r="B1242" s="4">
        <v>668.73</v>
      </c>
      <c r="C1242" s="4">
        <v>44.575000000000003</v>
      </c>
      <c r="D1242" s="3">
        <f t="shared" si="38"/>
        <v>1.4611334234121861E-2</v>
      </c>
      <c r="E1242" s="3">
        <f t="shared" si="39"/>
        <v>1.1280435465270206E-2</v>
      </c>
    </row>
    <row r="1243" spans="1:5" x14ac:dyDescent="0.25">
      <c r="A1243" s="1">
        <v>45986</v>
      </c>
      <c r="B1243" s="4">
        <v>675.02</v>
      </c>
      <c r="C1243" s="4">
        <v>44.405000000000001</v>
      </c>
      <c r="D1243" s="3">
        <f t="shared" si="38"/>
        <v>9.3619288422598923E-3</v>
      </c>
      <c r="E1243" s="3">
        <f t="shared" si="39"/>
        <v>-3.821088038736774E-3</v>
      </c>
    </row>
    <row r="1244" spans="1:5" x14ac:dyDescent="0.25">
      <c r="A1244" s="1">
        <v>45987</v>
      </c>
      <c r="B1244" s="4">
        <v>679.68</v>
      </c>
      <c r="C1244" s="4">
        <v>44.994999999999997</v>
      </c>
      <c r="D1244" s="3">
        <f t="shared" si="38"/>
        <v>6.879779110253937E-3</v>
      </c>
      <c r="E1244" s="3">
        <f t="shared" si="39"/>
        <v>1.3199296775444362E-2</v>
      </c>
    </row>
    <row r="1245" spans="1:5" x14ac:dyDescent="0.25">
      <c r="A1245" s="1">
        <v>45989</v>
      </c>
      <c r="B1245" s="4">
        <v>683.39</v>
      </c>
      <c r="C1245" s="4">
        <v>45.314999999999998</v>
      </c>
      <c r="D1245" s="3">
        <f t="shared" si="38"/>
        <v>5.4436076819084373E-3</v>
      </c>
      <c r="E1245" s="3">
        <f t="shared" si="39"/>
        <v>7.0867310208330451E-3</v>
      </c>
    </row>
    <row r="1246" spans="1:5" x14ac:dyDescent="0.25">
      <c r="A1246" s="1">
        <v>45992</v>
      </c>
      <c r="B1246" s="4">
        <v>680.27</v>
      </c>
      <c r="C1246" s="4">
        <v>44.255000000000003</v>
      </c>
      <c r="D1246" s="3">
        <f t="shared" si="38"/>
        <v>-4.5759286686859789E-3</v>
      </c>
      <c r="E1246" s="3">
        <f t="shared" si="39"/>
        <v>-2.366974408590462E-2</v>
      </c>
    </row>
    <row r="1247" spans="1:5" x14ac:dyDescent="0.25">
      <c r="A1247" s="1">
        <v>45993</v>
      </c>
      <c r="B1247" s="4">
        <v>681.53</v>
      </c>
      <c r="C1247" s="4">
        <v>43.94</v>
      </c>
      <c r="D1247" s="3">
        <f t="shared" si="38"/>
        <v>1.8504925239445134E-3</v>
      </c>
      <c r="E1247" s="3">
        <f t="shared" si="39"/>
        <v>-7.14329246437623E-3</v>
      </c>
    </row>
    <row r="1248" spans="1:5" x14ac:dyDescent="0.25">
      <c r="A1248" s="1">
        <v>45994</v>
      </c>
      <c r="B1248" s="4">
        <v>683.89</v>
      </c>
      <c r="C1248" s="4">
        <v>43.8</v>
      </c>
      <c r="D1248" s="3">
        <f t="shared" si="38"/>
        <v>3.4568152657527391E-3</v>
      </c>
      <c r="E1248" s="3">
        <f t="shared" si="39"/>
        <v>-3.1912495740637455E-3</v>
      </c>
    </row>
    <row r="1249" spans="1:5" x14ac:dyDescent="0.25">
      <c r="A1249" s="1">
        <v>45995</v>
      </c>
      <c r="B1249" s="4">
        <v>684.39</v>
      </c>
      <c r="C1249" s="4">
        <v>43.71</v>
      </c>
      <c r="D1249" s="3">
        <f t="shared" si="38"/>
        <v>7.3084459650878933E-4</v>
      </c>
      <c r="E1249" s="3">
        <f t="shared" si="39"/>
        <v>-2.0569085071772534E-3</v>
      </c>
    </row>
    <row r="1250" spans="1:5" x14ac:dyDescent="0.25">
      <c r="A1250" s="1">
        <v>45996</v>
      </c>
      <c r="B1250" s="4">
        <v>685.69</v>
      </c>
      <c r="C1250" s="4">
        <v>43.3</v>
      </c>
      <c r="D1250" s="3">
        <f t="shared" si="38"/>
        <v>1.8976999739243122E-3</v>
      </c>
      <c r="E1250" s="3">
        <f t="shared" si="39"/>
        <v>-9.4242738667790621E-3</v>
      </c>
    </row>
    <row r="1251" spans="1:5" x14ac:dyDescent="0.25">
      <c r="A1251" s="1">
        <v>45999</v>
      </c>
      <c r="B1251" s="4">
        <v>683.63</v>
      </c>
      <c r="C1251" s="4">
        <v>42.72</v>
      </c>
      <c r="D1251" s="3">
        <f t="shared" si="38"/>
        <v>-3.0087949552652219E-3</v>
      </c>
      <c r="E1251" s="3">
        <f t="shared" si="39"/>
        <v>-1.3485440356504685E-2</v>
      </c>
    </row>
    <row r="1252" spans="1:5" x14ac:dyDescent="0.25">
      <c r="A1252" s="1">
        <v>46000</v>
      </c>
      <c r="B1252" s="4">
        <v>683.04</v>
      </c>
      <c r="C1252" s="4">
        <v>42.75</v>
      </c>
      <c r="D1252" s="3">
        <f t="shared" si="38"/>
        <v>-8.6341258190034814E-4</v>
      </c>
      <c r="E1252" s="3">
        <f t="shared" si="39"/>
        <v>7.0200073082978475E-4</v>
      </c>
    </row>
    <row r="1253" spans="1:5" x14ac:dyDescent="0.25">
      <c r="A1253" s="1">
        <v>46001</v>
      </c>
      <c r="B1253" s="4">
        <v>687.57</v>
      </c>
      <c r="C1253" s="4">
        <v>42.73</v>
      </c>
      <c r="D1253" s="3">
        <f t="shared" si="38"/>
        <v>6.6102195297734591E-3</v>
      </c>
      <c r="E1253" s="3">
        <f t="shared" si="39"/>
        <v>-4.6794572683576187E-4</v>
      </c>
    </row>
    <row r="1254" spans="1:5" x14ac:dyDescent="0.25">
      <c r="A1254" s="1">
        <v>46002</v>
      </c>
      <c r="B1254" s="4">
        <v>689.17</v>
      </c>
      <c r="C1254" s="4">
        <v>43.04</v>
      </c>
      <c r="D1254" s="3">
        <f t="shared" si="38"/>
        <v>2.3243324379854545E-3</v>
      </c>
      <c r="E1254" s="3">
        <f t="shared" si="39"/>
        <v>7.2286661975953471E-3</v>
      </c>
    </row>
    <row r="1255" spans="1:5" x14ac:dyDescent="0.25">
      <c r="A1255" s="1">
        <v>46003</v>
      </c>
      <c r="B1255" s="4">
        <v>681.76</v>
      </c>
      <c r="C1255" s="4">
        <v>42.83</v>
      </c>
      <c r="D1255" s="3">
        <f t="shared" si="38"/>
        <v>-1.0810285225808881E-2</v>
      </c>
      <c r="E1255" s="3">
        <f t="shared" si="39"/>
        <v>-4.8911242262493467E-3</v>
      </c>
    </row>
    <row r="1256" spans="1:5" x14ac:dyDescent="0.25">
      <c r="A1256" s="1">
        <v>46006</v>
      </c>
      <c r="B1256" s="4">
        <v>680.73</v>
      </c>
      <c r="C1256" s="4">
        <v>43.22</v>
      </c>
      <c r="D1256" s="3">
        <f t="shared" si="38"/>
        <v>-1.5119379903136695E-3</v>
      </c>
      <c r="E1256" s="3">
        <f t="shared" si="39"/>
        <v>9.0645594514603706E-3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CB6D1-E728-4C26-812F-5EBD85D478C1}">
  <dimension ref="A1:F13"/>
  <sheetViews>
    <sheetView workbookViewId="0">
      <selection activeCell="N52" sqref="N52"/>
    </sheetView>
  </sheetViews>
  <sheetFormatPr defaultRowHeight="15" x14ac:dyDescent="0.25"/>
  <sheetData>
    <row r="1" spans="1:6" x14ac:dyDescent="0.25">
      <c r="A1" t="s">
        <v>20</v>
      </c>
      <c r="B1" s="3" t="s">
        <v>28</v>
      </c>
      <c r="C1" s="3" t="s">
        <v>29</v>
      </c>
      <c r="E1" t="s">
        <v>30</v>
      </c>
      <c r="F1" t="s">
        <v>31</v>
      </c>
    </row>
    <row r="2" spans="1:6" x14ac:dyDescent="0.25">
      <c r="A2" s="2">
        <v>0</v>
      </c>
      <c r="B2" s="3">
        <f>(A2*Risk_Analysis!$H$7)+((1-A2)*Risk_Analysis!$I$7)</f>
        <v>6.3685901210535467E-2</v>
      </c>
      <c r="C2" s="3">
        <f>SQRT((A2^2*Risk_Analysis!$H$5^2)+((1-A2)^2*Risk_Analysis!$I$5^2)+(2*A2*(1-A2)*Risk_Analysis!$H$6*Risk_Analysis!$H$5*Risk_Analysis!$I$5))</f>
        <v>0.17299022665805608</v>
      </c>
      <c r="E2" s="3">
        <f>Risk_Analysis!M8</f>
        <v>0.16733700095843079</v>
      </c>
      <c r="F2" s="3">
        <f>Risk_Analysis!M7</f>
        <v>0.12003075925559291</v>
      </c>
    </row>
    <row r="3" spans="1:6" x14ac:dyDescent="0.25">
      <c r="A3" s="2">
        <v>0.1</v>
      </c>
      <c r="B3" s="3">
        <f>(A3*Risk_Analysis!$H$7)+((1-A3)*Risk_Analysis!$I$7)</f>
        <v>6.9599854042682902E-2</v>
      </c>
      <c r="C3" s="3">
        <f>SQRT((A3^2*Risk_Analysis!$H$5^2)+((1-A3)^2*Risk_Analysis!$I$5^2)+(2*A3*(1-A3)*Risk_Analysis!$H$6*Risk_Analysis!$H$5*Risk_Analysis!$I$5))</f>
        <v>0.16453950633780173</v>
      </c>
    </row>
    <row r="4" spans="1:6" x14ac:dyDescent="0.25">
      <c r="A4" s="2">
        <v>0.2</v>
      </c>
      <c r="B4" s="3">
        <f>(A4*Risk_Analysis!$H$7)+((1-A4)*Risk_Analysis!$I$7)</f>
        <v>7.5513806874830322E-2</v>
      </c>
      <c r="C4" s="3">
        <f>SQRT((A4^2*Risk_Analysis!$H$5^2)+((1-A4)^2*Risk_Analysis!$I$5^2)+(2*A4*(1-A4)*Risk_Analysis!$H$6*Risk_Analysis!$H$5*Risk_Analysis!$I$5))</f>
        <v>0.15761504927583675</v>
      </c>
      <c r="E4" t="s">
        <v>12</v>
      </c>
      <c r="F4" s="3">
        <f>Risk_Analysis!$M$3</f>
        <v>0.95274446117957912</v>
      </c>
    </row>
    <row r="5" spans="1:6" x14ac:dyDescent="0.25">
      <c r="A5" s="2">
        <v>0.3</v>
      </c>
      <c r="B5" s="3">
        <f>(A5*Risk_Analysis!$H$7)+((1-A5)*Risk_Analysis!$I$7)</f>
        <v>8.1427759706977743E-2</v>
      </c>
      <c r="C5" s="3">
        <f>SQRT((A5^2*Risk_Analysis!$H$5^2)+((1-A5)^2*Risk_Analysis!$I$5^2)+(2*A5*(1-A5)*Risk_Analysis!$H$6*Risk_Analysis!$H$5*Risk_Analysis!$I$5))</f>
        <v>0.15242500567891235</v>
      </c>
      <c r="E5" t="s">
        <v>13</v>
      </c>
      <c r="F5" s="3">
        <f>Risk_Analysis!$M$4</f>
        <v>4.7255538820420648E-2</v>
      </c>
    </row>
    <row r="6" spans="1:6" x14ac:dyDescent="0.25">
      <c r="A6" s="2">
        <v>0.4</v>
      </c>
      <c r="B6" s="3">
        <f>(A6*Risk_Analysis!$H$7)+((1-A6)*Risk_Analysis!$I$7)</f>
        <v>8.7341712539125177E-2</v>
      </c>
      <c r="C6" s="3">
        <f>SQRT((A6^2*Risk_Analysis!$H$5^2)+((1-A6)^2*Risk_Analysis!$I$5^2)+(2*A6*(1-A6)*Risk_Analysis!$H$6*Risk_Analysis!$H$5*Risk_Analysis!$I$5))</f>
        <v>0.14915054455101245</v>
      </c>
    </row>
    <row r="7" spans="1:6" x14ac:dyDescent="0.25">
      <c r="A7" s="2">
        <v>0.5</v>
      </c>
      <c r="B7" s="3">
        <f>(A7*Risk_Analysis!$H$7)+((1-A7)*Risk_Analysis!$I$7)</f>
        <v>9.3255665371272597E-2</v>
      </c>
      <c r="C7" s="3">
        <f>SQRT((A7^2*Risk_Analysis!$H$5^2)+((1-A7)^2*Risk_Analysis!$I$5^2)+(2*A7*(1-A7)*Risk_Analysis!$H$6*Risk_Analysis!$H$5*Risk_Analysis!$I$5))</f>
        <v>0.14791893560043523</v>
      </c>
    </row>
    <row r="8" spans="1:6" x14ac:dyDescent="0.25">
      <c r="A8" s="2">
        <v>0.6</v>
      </c>
      <c r="B8" s="3">
        <f>(A8*Risk_Analysis!$H$7)+((1-A8)*Risk_Analysis!$I$7)</f>
        <v>9.9169618203420018E-2</v>
      </c>
      <c r="C8" s="3">
        <f>SQRT((A8^2*Risk_Analysis!$H$5^2)+((1-A8)^2*Risk_Analysis!$I$5^2)+(2*A8*(1-A8)*Risk_Analysis!$H$6*Risk_Analysis!$H$5*Risk_Analysis!$I$5))</f>
        <v>0.14878091969107776</v>
      </c>
    </row>
    <row r="9" spans="1:6" x14ac:dyDescent="0.25">
      <c r="A9" s="2">
        <v>0.7</v>
      </c>
      <c r="B9" s="3">
        <f>(A9*Risk_Analysis!$H$7)+((1-A9)*Risk_Analysis!$I$7)</f>
        <v>0.10508357103556745</v>
      </c>
      <c r="C9" s="3">
        <f>SQRT((A9^2*Risk_Analysis!$H$5^2)+((1-A9)^2*Risk_Analysis!$I$5^2)+(2*A9*(1-A9)*Risk_Analysis!$H$6*Risk_Analysis!$H$5*Risk_Analysis!$I$5))</f>
        <v>0.15170081280182787</v>
      </c>
    </row>
    <row r="10" spans="1:6" x14ac:dyDescent="0.25">
      <c r="A10" s="2">
        <v>0.8</v>
      </c>
      <c r="B10" s="3">
        <f>(A10*Risk_Analysis!$H$7)+((1-A10)*Risk_Analysis!$I$7)</f>
        <v>0.11099752386771487</v>
      </c>
      <c r="C10" s="3">
        <f>SQRT((A10^2*Risk_Analysis!$H$5^2)+((1-A10)^2*Risk_Analysis!$I$5^2)+(2*A10*(1-A10)*Risk_Analysis!$H$6*Risk_Analysis!$H$5*Risk_Analysis!$I$5))</f>
        <v>0.15656351788013256</v>
      </c>
    </row>
    <row r="11" spans="1:6" x14ac:dyDescent="0.25">
      <c r="A11" s="2">
        <v>0.9</v>
      </c>
      <c r="B11" s="3">
        <f>(A11*Risk_Analysis!$H$7)+((1-A11)*Risk_Analysis!$I$7)</f>
        <v>0.11691147669986231</v>
      </c>
      <c r="C11" s="3">
        <f>SQRT((A11^2*Risk_Analysis!$H$5^2)+((1-A11)^2*Risk_Analysis!$I$5^2)+(2*A11*(1-A11)*Risk_Analysis!$H$6*Risk_Analysis!$H$5*Risk_Analysis!$I$5))</f>
        <v>0.16319545840165106</v>
      </c>
    </row>
    <row r="12" spans="1:6" x14ac:dyDescent="0.25">
      <c r="A12" s="2">
        <v>1</v>
      </c>
      <c r="B12" s="3">
        <f>(A12*Risk_Analysis!$H$7)+((1-A12)*Risk_Analysis!$I$7)</f>
        <v>0.12282542953200973</v>
      </c>
      <c r="C12" s="3">
        <f>SQRT((A12^2*Risk_Analysis!$H$5^2)+((1-A12)^2*Risk_Analysis!$I$5^2)+(2*A12*(1-A12)*Risk_Analysis!$H$6*Risk_Analysis!$H$5*Risk_Analysis!$I$5))</f>
        <v>0.17139137708911298</v>
      </c>
    </row>
    <row r="13" spans="1:6" x14ac:dyDescent="0.25">
      <c r="C13" s="3"/>
      <c r="D13" s="3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38063D-E183-47F1-A878-C805BADCA832}">
  <dimension ref="A1:C1256"/>
  <sheetViews>
    <sheetView workbookViewId="0">
      <selection sqref="A1:C1256"/>
    </sheetView>
  </sheetViews>
  <sheetFormatPr defaultRowHeight="15" x14ac:dyDescent="0.25"/>
  <cols>
    <col min="1" max="1" width="10.42578125" bestFit="1" customWidth="1"/>
  </cols>
  <sheetData>
    <row r="1" spans="1:3" x14ac:dyDescent="0.25">
      <c r="A1" t="s">
        <v>0</v>
      </c>
      <c r="B1" s="4" t="s">
        <v>26</v>
      </c>
      <c r="C1" s="4" t="s">
        <v>27</v>
      </c>
    </row>
    <row r="2" spans="1:3" x14ac:dyDescent="0.25">
      <c r="A2" s="1">
        <f>Risk_Analysis!A2</f>
        <v>44181</v>
      </c>
      <c r="B2" s="4">
        <v>1</v>
      </c>
      <c r="C2" s="4">
        <v>1</v>
      </c>
    </row>
    <row r="3" spans="1:3" x14ac:dyDescent="0.25">
      <c r="A3" s="1">
        <f>Risk_Analysis!A3</f>
        <v>44182</v>
      </c>
      <c r="B3" s="4">
        <f>B2 * EXP(Risk_Analysis!D3)</f>
        <v>1.0055920252856796</v>
      </c>
      <c r="C3" s="4">
        <f>C2 * EXP(Risk_Analysis!E3)</f>
        <v>1.0067296907546868</v>
      </c>
    </row>
    <row r="4" spans="1:3" x14ac:dyDescent="0.25">
      <c r="A4" s="1">
        <f>Risk_Analysis!A4</f>
        <v>44183</v>
      </c>
      <c r="B4" s="4">
        <f>B3 * EXP(Risk_Analysis!D4)</f>
        <v>0.9973255531242402</v>
      </c>
      <c r="C4" s="4">
        <f>C3 * EXP(Risk_Analysis!E4)</f>
        <v>0.99807723121294667</v>
      </c>
    </row>
    <row r="5" spans="1:3" x14ac:dyDescent="0.25">
      <c r="A5" s="1">
        <f>Risk_Analysis!A5</f>
        <v>44186</v>
      </c>
      <c r="B5" s="4">
        <f>B4 * EXP(Risk_Analysis!D5)</f>
        <v>0.99375962395656059</v>
      </c>
      <c r="C5" s="4">
        <f>C4 * EXP(Risk_Analysis!E5)</f>
        <v>0.97772792821663201</v>
      </c>
    </row>
    <row r="6" spans="1:3" x14ac:dyDescent="0.25">
      <c r="A6" s="1">
        <f>Risk_Analysis!A6</f>
        <v>44187</v>
      </c>
      <c r="B6" s="4">
        <f>B5 * EXP(Risk_Analysis!D6)</f>
        <v>0.99208471783234742</v>
      </c>
      <c r="C6" s="4">
        <f>C5 * EXP(Risk_Analysis!E6)</f>
        <v>0.97580515942957857</v>
      </c>
    </row>
    <row r="7" spans="1:3" x14ac:dyDescent="0.25">
      <c r="A7" s="1">
        <f>Risk_Analysis!A7</f>
        <v>44188</v>
      </c>
      <c r="B7" s="4">
        <f>B6 * EXP(Risk_Analysis!D7)</f>
        <v>0.99297620012426724</v>
      </c>
      <c r="C7" s="4">
        <f>C6 * EXP(Risk_Analysis!E7)</f>
        <v>0.97388239064252535</v>
      </c>
    </row>
    <row r="8" spans="1:3" x14ac:dyDescent="0.25">
      <c r="A8" s="1">
        <f>Risk_Analysis!A8</f>
        <v>44189</v>
      </c>
      <c r="B8" s="4">
        <f>B7 * EXP(Risk_Analysis!D8)</f>
        <v>0.99683929005592031</v>
      </c>
      <c r="C8" s="4">
        <f>C7 * EXP(Risk_Analysis!E8)</f>
        <v>0.98077231212946647</v>
      </c>
    </row>
    <row r="9" spans="1:3" x14ac:dyDescent="0.25">
      <c r="A9" s="1">
        <f>Risk_Analysis!A9</f>
        <v>44193</v>
      </c>
      <c r="B9" s="4">
        <f>B8 * EXP(Risk_Analysis!D9)</f>
        <v>1.005402922981333</v>
      </c>
      <c r="C9" s="4">
        <f>C8 * EXP(Risk_Analysis!E9)</f>
        <v>0.98509854190033652</v>
      </c>
    </row>
    <row r="10" spans="1:3" x14ac:dyDescent="0.25">
      <c r="A10" s="1">
        <f>Risk_Analysis!A10</f>
        <v>44194</v>
      </c>
      <c r="B10" s="4">
        <f>B9 * EXP(Risk_Analysis!D10)</f>
        <v>1.0034848853229597</v>
      </c>
      <c r="C10" s="4">
        <f>C9 * EXP(Risk_Analysis!E10)</f>
        <v>0.98493831116808217</v>
      </c>
    </row>
    <row r="11" spans="1:3" x14ac:dyDescent="0.25">
      <c r="A11" s="1">
        <f>Risk_Analysis!A11</f>
        <v>44195</v>
      </c>
      <c r="B11" s="4">
        <f>B10 * EXP(Risk_Analysis!D11)</f>
        <v>1.0049166599130128</v>
      </c>
      <c r="C11" s="4">
        <f>C10 * EXP(Risk_Analysis!E11)</f>
        <v>0.98990546386797007</v>
      </c>
    </row>
    <row r="12" spans="1:3" x14ac:dyDescent="0.25">
      <c r="A12" s="1">
        <f>Risk_Analysis!A12</f>
        <v>44196</v>
      </c>
      <c r="B12" s="4">
        <f>B11 * EXP(Risk_Analysis!D12)</f>
        <v>1.0100224221303724</v>
      </c>
      <c r="C12" s="4">
        <f>C11 * EXP(Risk_Analysis!E12)</f>
        <v>1.0046466912353791</v>
      </c>
    </row>
    <row r="13" spans="1:3" x14ac:dyDescent="0.25">
      <c r="A13" s="1">
        <f>Risk_Analysis!A13</f>
        <v>44200</v>
      </c>
      <c r="B13" s="4">
        <f>B12 * EXP(Risk_Analysis!D13)</f>
        <v>0.99627198314288024</v>
      </c>
      <c r="C13" s="4">
        <f>C12 * EXP(Risk_Analysis!E13)</f>
        <v>0.97933023553917642</v>
      </c>
    </row>
    <row r="14" spans="1:3" x14ac:dyDescent="0.25">
      <c r="A14" s="1">
        <f>Risk_Analysis!A14</f>
        <v>44201</v>
      </c>
      <c r="B14" s="4">
        <f>B13 * EXP(Risk_Analysis!D14)</f>
        <v>1.003133695329173</v>
      </c>
      <c r="C14" s="4">
        <f>C13 * EXP(Risk_Analysis!E14)</f>
        <v>0.97917000480692207</v>
      </c>
    </row>
    <row r="15" spans="1:3" x14ac:dyDescent="0.25">
      <c r="A15" s="1">
        <f>Risk_Analysis!A15</f>
        <v>44202</v>
      </c>
      <c r="B15" s="4">
        <f>B14 * EXP(Risk_Analysis!D15)</f>
        <v>1.0091309398384525</v>
      </c>
      <c r="C15" s="4">
        <f>C14 * EXP(Risk_Analysis!E15)</f>
        <v>1.003525076109598</v>
      </c>
    </row>
    <row r="16" spans="1:3" x14ac:dyDescent="0.25">
      <c r="A16" s="1">
        <f>Risk_Analysis!A16</f>
        <v>44203</v>
      </c>
      <c r="B16" s="4">
        <f>B15 * EXP(Risk_Analysis!D16)</f>
        <v>1.0241240511116514</v>
      </c>
      <c r="C16" s="4">
        <f>C15 * EXP(Risk_Analysis!E16)</f>
        <v>0.99038615606473335</v>
      </c>
    </row>
    <row r="17" spans="1:3" x14ac:dyDescent="0.25">
      <c r="A17" s="1">
        <f>Risk_Analysis!A17</f>
        <v>44204</v>
      </c>
      <c r="B17" s="4">
        <f>B16 * EXP(Risk_Analysis!D17)</f>
        <v>1.029959207931491</v>
      </c>
      <c r="C17" s="4">
        <f>C16 * EXP(Risk_Analysis!E17)</f>
        <v>0.99871815414196452</v>
      </c>
    </row>
    <row r="18" spans="1:3" x14ac:dyDescent="0.25">
      <c r="A18" s="1">
        <f>Risk_Analysis!A18</f>
        <v>44207</v>
      </c>
      <c r="B18" s="4">
        <f>B17 * EXP(Risk_Analysis!D18)</f>
        <v>1.0230164519004783</v>
      </c>
      <c r="C18" s="4">
        <f>C17 * EXP(Risk_Analysis!E18)</f>
        <v>0.98942477167120668</v>
      </c>
    </row>
    <row r="19" spans="1:3" x14ac:dyDescent="0.25">
      <c r="A19" s="1">
        <f>Risk_Analysis!A19</f>
        <v>44208</v>
      </c>
      <c r="B19" s="4">
        <f>B18 * EXP(Risk_Analysis!D19)</f>
        <v>1.0232325688197317</v>
      </c>
      <c r="C19" s="4">
        <f>C18 * EXP(Risk_Analysis!E19)</f>
        <v>0.98413715750681008</v>
      </c>
    </row>
    <row r="20" spans="1:3" x14ac:dyDescent="0.25">
      <c r="A20" s="1">
        <f>Risk_Analysis!A20</f>
        <v>44209</v>
      </c>
      <c r="B20" s="4">
        <f>B19 * EXP(Risk_Analysis!D20)</f>
        <v>1.0259880595402115</v>
      </c>
      <c r="C20" s="4">
        <f>C19 * EXP(Risk_Analysis!E20)</f>
        <v>1.0033648453773436</v>
      </c>
    </row>
    <row r="21" spans="1:3" x14ac:dyDescent="0.25">
      <c r="A21" s="1">
        <f>Risk_Analysis!A21</f>
        <v>44210</v>
      </c>
      <c r="B21" s="4">
        <f>B20 * EXP(Risk_Analysis!D21)</f>
        <v>1.022395115757625</v>
      </c>
      <c r="C21" s="4">
        <f>C20 * EXP(Risk_Analysis!E21)</f>
        <v>0.99951930780323694</v>
      </c>
    </row>
    <row r="22" spans="1:3" x14ac:dyDescent="0.25">
      <c r="A22" s="1">
        <f>Risk_Analysis!A22</f>
        <v>44211</v>
      </c>
      <c r="B22" s="4">
        <f>B21 * EXP(Risk_Analysis!D22)</f>
        <v>1.0149390820433857</v>
      </c>
      <c r="C22" s="4">
        <f>C21 * EXP(Risk_Analysis!E22)</f>
        <v>1.0092933824707582</v>
      </c>
    </row>
    <row r="23" spans="1:3" x14ac:dyDescent="0.25">
      <c r="A23" s="1">
        <f>Risk_Analysis!A23</f>
        <v>44215</v>
      </c>
      <c r="B23" s="4">
        <f>B22 * EXP(Risk_Analysis!D23)</f>
        <v>1.0229083934408516</v>
      </c>
      <c r="C23" s="4">
        <f>C22 * EXP(Risk_Analysis!E23)</f>
        <v>1.0054478448966513</v>
      </c>
    </row>
    <row r="24" spans="1:3" x14ac:dyDescent="0.25">
      <c r="A24" s="1">
        <f>Risk_Analysis!A24</f>
        <v>44216</v>
      </c>
      <c r="B24" s="4">
        <f>B23 * EXP(Risk_Analysis!D24)</f>
        <v>1.0370640516519438</v>
      </c>
      <c r="C24" s="4">
        <f>C23 * EXP(Risk_Analysis!E24)</f>
        <v>1.0113763819900659</v>
      </c>
    </row>
    <row r="25" spans="1:3" x14ac:dyDescent="0.25">
      <c r="A25" s="1">
        <f>Risk_Analysis!A25</f>
        <v>44217</v>
      </c>
      <c r="B25" s="4">
        <f>B24 * EXP(Risk_Analysis!D25)</f>
        <v>1.038009563173677</v>
      </c>
      <c r="C25" s="4">
        <f>C24 * EXP(Risk_Analysis!E25)</f>
        <v>1.0054478448966513</v>
      </c>
    </row>
    <row r="26" spans="1:3" x14ac:dyDescent="0.25">
      <c r="A26" s="1">
        <f>Risk_Analysis!A26</f>
        <v>44218</v>
      </c>
      <c r="B26" s="4">
        <f>B25 * EXP(Risk_Analysis!D26)</f>
        <v>1.0343355755463706</v>
      </c>
      <c r="C26" s="4">
        <f>C25 * EXP(Risk_Analysis!E26)</f>
        <v>1.0068899214869413</v>
      </c>
    </row>
    <row r="27" spans="1:3" x14ac:dyDescent="0.25">
      <c r="A27" s="1">
        <f>Risk_Analysis!A27</f>
        <v>44221</v>
      </c>
      <c r="B27" s="4">
        <f>B26 * EXP(Risk_Analysis!D27)</f>
        <v>1.0384147823972769</v>
      </c>
      <c r="C27" s="4">
        <f>C26 * EXP(Risk_Analysis!E27)</f>
        <v>1.0270789937510014</v>
      </c>
    </row>
    <row r="28" spans="1:3" x14ac:dyDescent="0.25">
      <c r="A28" s="1">
        <f>Risk_Analysis!A28</f>
        <v>44222</v>
      </c>
      <c r="B28" s="4">
        <f>B27 * EXP(Risk_Analysis!D28)</f>
        <v>1.036793905502877</v>
      </c>
      <c r="C28" s="4">
        <f>C27 * EXP(Risk_Analysis!E28)</f>
        <v>1.0168242268867169</v>
      </c>
    </row>
    <row r="29" spans="1:3" x14ac:dyDescent="0.25">
      <c r="A29" s="1">
        <f>Risk_Analysis!A29</f>
        <v>44223</v>
      </c>
      <c r="B29" s="4">
        <f>B28 * EXP(Risk_Analysis!D29)</f>
        <v>1.0114541967204256</v>
      </c>
      <c r="C29" s="4">
        <f>C28 * EXP(Risk_Analysis!E29)</f>
        <v>0.98942477167120657</v>
      </c>
    </row>
    <row r="30" spans="1:3" x14ac:dyDescent="0.25">
      <c r="A30" s="1">
        <f>Risk_Analysis!A30</f>
        <v>44224</v>
      </c>
      <c r="B30" s="4">
        <f>B29 * EXP(Risk_Analysis!D30)</f>
        <v>1.0201529027203713</v>
      </c>
      <c r="C30" s="4">
        <f>C29 * EXP(Risk_Analysis!E30)</f>
        <v>1.0012818458580355</v>
      </c>
    </row>
    <row r="31" spans="1:3" x14ac:dyDescent="0.25">
      <c r="A31" s="1">
        <f>Risk_Analysis!A31</f>
        <v>44225</v>
      </c>
      <c r="B31" s="4">
        <f>B30 * EXP(Risk_Analysis!D31)</f>
        <v>0.99972985385093294</v>
      </c>
      <c r="C31" s="4">
        <f>C30 * EXP(Risk_Analysis!E31)</f>
        <v>0.9958340009613843</v>
      </c>
    </row>
    <row r="32" spans="1:3" x14ac:dyDescent="0.25">
      <c r="A32" s="1">
        <f>Risk_Analysis!A32</f>
        <v>44228</v>
      </c>
      <c r="B32" s="4">
        <f>B31 * EXP(Risk_Analysis!D32)</f>
        <v>1.0163708566334384</v>
      </c>
      <c r="C32" s="4">
        <f>C31 * EXP(Risk_Analysis!E32)</f>
        <v>1.0006409229290176</v>
      </c>
    </row>
    <row r="33" spans="1:3" x14ac:dyDescent="0.25">
      <c r="A33" s="1">
        <f>Risk_Analysis!A33</f>
        <v>44229</v>
      </c>
      <c r="B33" s="4">
        <f>B32 * EXP(Risk_Analysis!D33)</f>
        <v>1.0307426317637838</v>
      </c>
      <c r="C33" s="4">
        <f>C32 * EXP(Risk_Analysis!E33)</f>
        <v>1.0088126902739945</v>
      </c>
    </row>
    <row r="34" spans="1:3" x14ac:dyDescent="0.25">
      <c r="A34" s="1">
        <f>Risk_Analysis!A34</f>
        <v>44230</v>
      </c>
      <c r="B34" s="4">
        <f>B33 * EXP(Risk_Analysis!D34)</f>
        <v>1.0315530702109836</v>
      </c>
      <c r="C34" s="4">
        <f>C33 * EXP(Risk_Analysis!E34)</f>
        <v>1.0056080756289054</v>
      </c>
    </row>
    <row r="35" spans="1:3" x14ac:dyDescent="0.25">
      <c r="A35" s="1">
        <f>Risk_Analysis!A35</f>
        <v>44231</v>
      </c>
      <c r="B35" s="4">
        <f>B34 * EXP(Risk_Analysis!D35)</f>
        <v>1.0432774130804758</v>
      </c>
      <c r="C35" s="4">
        <f>C34 * EXP(Risk_Analysis!E35)</f>
        <v>1.0134593815093733</v>
      </c>
    </row>
    <row r="36" spans="1:3" x14ac:dyDescent="0.25">
      <c r="A36" s="1">
        <f>Risk_Analysis!A36</f>
        <v>44232</v>
      </c>
      <c r="B36" s="4">
        <f>B35 * EXP(Risk_Analysis!D36)</f>
        <v>1.0473836345462888</v>
      </c>
      <c r="C36" s="4">
        <f>C35 * EXP(Risk_Analysis!E36)</f>
        <v>1.0189072264060246</v>
      </c>
    </row>
    <row r="37" spans="1:3" x14ac:dyDescent="0.25">
      <c r="A37" s="1">
        <f>Risk_Analysis!A37</f>
        <v>44235</v>
      </c>
      <c r="B37" s="4">
        <f>B36 * EXP(Risk_Analysis!D37)</f>
        <v>1.0549477267201548</v>
      </c>
      <c r="C37" s="4">
        <f>C36 * EXP(Risk_Analysis!E37)</f>
        <v>1.0110559205255567</v>
      </c>
    </row>
    <row r="38" spans="1:3" x14ac:dyDescent="0.25">
      <c r="A38" s="1">
        <f>Risk_Analysis!A38</f>
        <v>44236</v>
      </c>
      <c r="B38" s="4">
        <f>B37 * EXP(Risk_Analysis!D38)</f>
        <v>1.0542453467325816</v>
      </c>
      <c r="C38" s="4">
        <f>C37 * EXP(Risk_Analysis!E38)</f>
        <v>1.0124979971158465</v>
      </c>
    </row>
    <row r="39" spans="1:3" x14ac:dyDescent="0.25">
      <c r="A39" s="1">
        <f>Risk_Analysis!A39</f>
        <v>44237</v>
      </c>
      <c r="B39" s="4">
        <f>B38 * EXP(Risk_Analysis!D39)</f>
        <v>1.0537860982791682</v>
      </c>
      <c r="C39" s="4">
        <f>C38 * EXP(Risk_Analysis!E39)</f>
        <v>1.0165037654222078</v>
      </c>
    </row>
    <row r="40" spans="1:3" x14ac:dyDescent="0.25">
      <c r="A40" s="1">
        <f>Risk_Analysis!A40</f>
        <v>44238</v>
      </c>
      <c r="B40" s="4">
        <f>B39 * EXP(Risk_Analysis!D40)</f>
        <v>1.055488019018288</v>
      </c>
      <c r="C40" s="4">
        <f>C39 * EXP(Risk_Analysis!E40)</f>
        <v>1.0107354590610478</v>
      </c>
    </row>
    <row r="41" spans="1:3" x14ac:dyDescent="0.25">
      <c r="A41" s="1">
        <f>Risk_Analysis!A41</f>
        <v>44239</v>
      </c>
      <c r="B41" s="4">
        <f>B40 * EXP(Risk_Analysis!D41)</f>
        <v>1.0607018396952743</v>
      </c>
      <c r="C41" s="4">
        <f>C40 * EXP(Risk_Analysis!E41)</f>
        <v>1.0033648453773432</v>
      </c>
    </row>
    <row r="42" spans="1:3" x14ac:dyDescent="0.25">
      <c r="A42" s="1">
        <f>Risk_Analysis!A42</f>
        <v>44243</v>
      </c>
      <c r="B42" s="4">
        <f>B41 * EXP(Risk_Analysis!D42)</f>
        <v>1.0597833427884478</v>
      </c>
      <c r="C42" s="4">
        <f>C41 * EXP(Risk_Analysis!E42)</f>
        <v>0.99214869411953188</v>
      </c>
    </row>
    <row r="43" spans="1:3" x14ac:dyDescent="0.25">
      <c r="A43" s="1">
        <f>Risk_Analysis!A43</f>
        <v>44244</v>
      </c>
      <c r="B43" s="4">
        <f>B42 * EXP(Risk_Analysis!D43)</f>
        <v>1.0600264743226075</v>
      </c>
      <c r="C43" s="4">
        <f>C42 * EXP(Risk_Analysis!E43)</f>
        <v>0.9929498477808042</v>
      </c>
    </row>
    <row r="44" spans="1:3" x14ac:dyDescent="0.25">
      <c r="A44" s="1">
        <f>Risk_Analysis!A44</f>
        <v>44245</v>
      </c>
      <c r="B44" s="4">
        <f>B43 * EXP(Risk_Analysis!D44)</f>
        <v>1.0555150336331947</v>
      </c>
      <c r="C44" s="4">
        <f>C43 * EXP(Risk_Analysis!E44)</f>
        <v>0.99887838487421876</v>
      </c>
    </row>
    <row r="45" spans="1:3" x14ac:dyDescent="0.25">
      <c r="A45" s="1">
        <f>Risk_Analysis!A45</f>
        <v>44246</v>
      </c>
      <c r="B45" s="4">
        <f>B44 * EXP(Risk_Analysis!D45)</f>
        <v>1.0536510252046347</v>
      </c>
      <c r="C45" s="4">
        <f>C44 * EXP(Risk_Analysis!E45)</f>
        <v>0.98397692677455517</v>
      </c>
    </row>
    <row r="46" spans="1:3" x14ac:dyDescent="0.25">
      <c r="A46" s="1">
        <f>Risk_Analysis!A46</f>
        <v>44249</v>
      </c>
      <c r="B46" s="4">
        <f>B45 * EXP(Risk_Analysis!D46)</f>
        <v>1.0455466407326353</v>
      </c>
      <c r="C46" s="4">
        <f>C45 * EXP(Risk_Analysis!E46)</f>
        <v>0.96474923890402176</v>
      </c>
    </row>
    <row r="47" spans="1:3" x14ac:dyDescent="0.25">
      <c r="A47" s="1">
        <f>Risk_Analysis!A47</f>
        <v>44250</v>
      </c>
      <c r="B47" s="4">
        <f>B46 * EXP(Risk_Analysis!D47)</f>
        <v>1.0468163276332485</v>
      </c>
      <c r="C47" s="4">
        <f>C46 * EXP(Risk_Analysis!E47)</f>
        <v>0.97276077551674411</v>
      </c>
    </row>
    <row r="48" spans="1:3" x14ac:dyDescent="0.25">
      <c r="A48" s="1">
        <f>Risk_Analysis!A48</f>
        <v>44251</v>
      </c>
      <c r="B48" s="4">
        <f>B47 * EXP(Risk_Analysis!D48)</f>
        <v>1.0583515681983942</v>
      </c>
      <c r="C48" s="4">
        <f>C47 * EXP(Risk_Analysis!E48)</f>
        <v>0.96138439352667837</v>
      </c>
    </row>
    <row r="49" spans="1:3" x14ac:dyDescent="0.25">
      <c r="A49" s="1">
        <f>Risk_Analysis!A49</f>
        <v>44252</v>
      </c>
      <c r="B49" s="4">
        <f>B48 * EXP(Risk_Analysis!D49)</f>
        <v>1.0328497717265028</v>
      </c>
      <c r="C49" s="4">
        <f>C48 * EXP(Risk_Analysis!E49)</f>
        <v>0.95273193398493827</v>
      </c>
    </row>
    <row r="50" spans="1:3" x14ac:dyDescent="0.25">
      <c r="A50" s="1">
        <f>Risk_Analysis!A50</f>
        <v>44253</v>
      </c>
      <c r="B50" s="4">
        <f>B49 * EXP(Risk_Analysis!D50)</f>
        <v>1.0275278925898901</v>
      </c>
      <c r="C50" s="4">
        <f>C49 * EXP(Risk_Analysis!E50)</f>
        <v>0.93510655343694915</v>
      </c>
    </row>
    <row r="51" spans="1:3" x14ac:dyDescent="0.25">
      <c r="A51" s="1">
        <f>Risk_Analysis!A51</f>
        <v>44256</v>
      </c>
      <c r="B51" s="4">
        <f>B50 * EXP(Risk_Analysis!D51)</f>
        <v>1.0524353675338347</v>
      </c>
      <c r="C51" s="4">
        <f>C50 * EXP(Risk_Analysis!E51)</f>
        <v>0.95577631789777273</v>
      </c>
    </row>
    <row r="52" spans="1:3" x14ac:dyDescent="0.25">
      <c r="A52" s="1">
        <f>Risk_Analysis!A52</f>
        <v>44257</v>
      </c>
      <c r="B52" s="4">
        <f>B51 * EXP(Risk_Analysis!D52)</f>
        <v>1.0442229246022088</v>
      </c>
      <c r="C52" s="4">
        <f>C51 * EXP(Risk_Analysis!E52)</f>
        <v>0.95289216471719274</v>
      </c>
    </row>
    <row r="53" spans="1:3" x14ac:dyDescent="0.25">
      <c r="A53" s="1">
        <f>Risk_Analysis!A53</f>
        <v>44258</v>
      </c>
      <c r="B53" s="4">
        <f>B52 * EXP(Risk_Analysis!D53)</f>
        <v>1.0303914417699964</v>
      </c>
      <c r="C53" s="4">
        <f>C52 * EXP(Risk_Analysis!E53)</f>
        <v>0.94167601345938157</v>
      </c>
    </row>
    <row r="54" spans="1:3" x14ac:dyDescent="0.25">
      <c r="A54" s="1">
        <f>Risk_Analysis!A54</f>
        <v>44259</v>
      </c>
      <c r="B54" s="4">
        <f>B53 * EXP(Risk_Analysis!D54)</f>
        <v>1.0176405435340508</v>
      </c>
      <c r="C54" s="4">
        <f>C53 * EXP(Risk_Analysis!E54)</f>
        <v>0.94087485979810925</v>
      </c>
    </row>
    <row r="55" spans="1:3" x14ac:dyDescent="0.25">
      <c r="A55" s="1">
        <f>Risk_Analysis!A55</f>
        <v>44260</v>
      </c>
      <c r="B55" s="4">
        <f>B54 * EXP(Risk_Analysis!D55)</f>
        <v>1.0363616716643693</v>
      </c>
      <c r="C55" s="4">
        <f>C54 * EXP(Risk_Analysis!E55)</f>
        <v>0.95625701009453612</v>
      </c>
    </row>
    <row r="56" spans="1:3" x14ac:dyDescent="0.25">
      <c r="A56" s="1">
        <f>Risk_Analysis!A56</f>
        <v>44263</v>
      </c>
      <c r="B56" s="4">
        <f>B55 * EXP(Risk_Analysis!D56)</f>
        <v>1.0312018802171965</v>
      </c>
      <c r="C56" s="4">
        <f>C55 * EXP(Risk_Analysis!E56)</f>
        <v>0.96971639160390966</v>
      </c>
    </row>
    <row r="57" spans="1:3" x14ac:dyDescent="0.25">
      <c r="A57" s="1">
        <f>Risk_Analysis!A57</f>
        <v>44264</v>
      </c>
      <c r="B57" s="4">
        <f>B56 * EXP(Risk_Analysis!D57)</f>
        <v>1.0459248453413288</v>
      </c>
      <c r="C57" s="4">
        <f>C56 * EXP(Risk_Analysis!E57)</f>
        <v>0.98253485018426545</v>
      </c>
    </row>
    <row r="58" spans="1:3" x14ac:dyDescent="0.25">
      <c r="A58" s="1">
        <f>Risk_Analysis!A58</f>
        <v>44265</v>
      </c>
      <c r="B58" s="4">
        <f>B57 * EXP(Risk_Analysis!D58)</f>
        <v>1.0524353675338347</v>
      </c>
      <c r="C58" s="4">
        <f>C57 * EXP(Risk_Analysis!E58)</f>
        <v>0.98926454093895222</v>
      </c>
    </row>
    <row r="59" spans="1:3" x14ac:dyDescent="0.25">
      <c r="A59" s="1">
        <f>Risk_Analysis!A59</f>
        <v>44266</v>
      </c>
      <c r="B59" s="4">
        <f>B58 * EXP(Risk_Analysis!D59)</f>
        <v>1.063106140421967</v>
      </c>
      <c r="C59" s="4">
        <f>C58 * EXP(Risk_Analysis!E59)</f>
        <v>0.98670084922288104</v>
      </c>
    </row>
    <row r="60" spans="1:3" x14ac:dyDescent="0.25">
      <c r="A60" s="1">
        <f>Risk_Analysis!A60</f>
        <v>44267</v>
      </c>
      <c r="B60" s="4">
        <f>B59 * EXP(Risk_Analysis!D60)</f>
        <v>1.0645379150120204</v>
      </c>
      <c r="C60" s="4">
        <f>C59 * EXP(Risk_Analysis!E60)</f>
        <v>1</v>
      </c>
    </row>
    <row r="61" spans="1:3" x14ac:dyDescent="0.25">
      <c r="A61" s="1">
        <f>Risk_Analysis!A61</f>
        <v>44270</v>
      </c>
      <c r="B61" s="4">
        <f>B60 * EXP(Risk_Analysis!D61)</f>
        <v>1.0708863495150869</v>
      </c>
      <c r="C61" s="4">
        <f>C60 * EXP(Risk_Analysis!E61)</f>
        <v>1.0128184585803557</v>
      </c>
    </row>
    <row r="62" spans="1:3" x14ac:dyDescent="0.25">
      <c r="A62" s="1">
        <f>Risk_Analysis!A62</f>
        <v>44271</v>
      </c>
      <c r="B62" s="4">
        <f>B61 * EXP(Risk_Analysis!D62)</f>
        <v>1.0695356187697538</v>
      </c>
      <c r="C62" s="4">
        <f>C61 * EXP(Risk_Analysis!E62)</f>
        <v>1.0141003044383912</v>
      </c>
    </row>
    <row r="63" spans="1:3" x14ac:dyDescent="0.25">
      <c r="A63" s="1">
        <f>Risk_Analysis!A63</f>
        <v>44272</v>
      </c>
      <c r="B63" s="4">
        <f>B62 * EXP(Risk_Analysis!D63)</f>
        <v>1.0731825917821534</v>
      </c>
      <c r="C63" s="4">
        <f>C62 * EXP(Risk_Analysis!E63)</f>
        <v>0.99759653901618317</v>
      </c>
    </row>
    <row r="64" spans="1:3" x14ac:dyDescent="0.25">
      <c r="A64" s="1">
        <f>Risk_Analysis!A64</f>
        <v>44273</v>
      </c>
      <c r="B64" s="4">
        <f>B63 * EXP(Risk_Analysis!D64)</f>
        <v>1.0575681443661014</v>
      </c>
      <c r="C64" s="4">
        <f>C63 * EXP(Risk_Analysis!E64)</f>
        <v>0.99391123217433097</v>
      </c>
    </row>
    <row r="65" spans="1:3" x14ac:dyDescent="0.25">
      <c r="A65" s="1">
        <f>Risk_Analysis!A65</f>
        <v>44274</v>
      </c>
      <c r="B65" s="4">
        <f>B64 * EXP(Risk_Analysis!D65)</f>
        <v>1.0521652213847685</v>
      </c>
      <c r="C65" s="4">
        <f>C64 * EXP(Risk_Analysis!E65)</f>
        <v>0.99663515462265651</v>
      </c>
    </row>
    <row r="66" spans="1:3" x14ac:dyDescent="0.25">
      <c r="A66" s="1">
        <f>Risk_Analysis!A66</f>
        <v>44277</v>
      </c>
      <c r="B66" s="4">
        <f>B65 * EXP(Risk_Analysis!D66)</f>
        <v>1.060566766620741</v>
      </c>
      <c r="C66" s="4">
        <f>C65 * EXP(Risk_Analysis!E66)</f>
        <v>0.98782246434866183</v>
      </c>
    </row>
    <row r="67" spans="1:3" x14ac:dyDescent="0.25">
      <c r="A67" s="1">
        <f>Risk_Analysis!A67</f>
        <v>44278</v>
      </c>
      <c r="B67" s="4">
        <f>B66 * EXP(Risk_Analysis!D67)</f>
        <v>1.0522192506145818</v>
      </c>
      <c r="C67" s="4">
        <f>C66 * EXP(Risk_Analysis!E67)</f>
        <v>1.002563691716071</v>
      </c>
    </row>
    <row r="68" spans="1:3" x14ac:dyDescent="0.25">
      <c r="A68" s="1">
        <f>Risk_Analysis!A68</f>
        <v>44279</v>
      </c>
      <c r="B68" s="4">
        <f>B67 * EXP(Risk_Analysis!D68)</f>
        <v>1.0468703568630622</v>
      </c>
      <c r="C68" s="4">
        <f>C67 * EXP(Risk_Analysis!E68)</f>
        <v>1.0028841531805799</v>
      </c>
    </row>
    <row r="69" spans="1:3" x14ac:dyDescent="0.25">
      <c r="A69" s="1">
        <f>Risk_Analysis!A69</f>
        <v>44280</v>
      </c>
      <c r="B69" s="4">
        <f>B68 * EXP(Risk_Analysis!D69)</f>
        <v>1.0527595429127152</v>
      </c>
      <c r="C69" s="4">
        <f>C68 * EXP(Risk_Analysis!E69)</f>
        <v>1.0136196122416277</v>
      </c>
    </row>
    <row r="70" spans="1:3" x14ac:dyDescent="0.25">
      <c r="A70" s="1">
        <f>Risk_Analysis!A70</f>
        <v>44281</v>
      </c>
      <c r="B70" s="4">
        <f>B69 * EXP(Risk_Analysis!D70)</f>
        <v>1.0697247210741005</v>
      </c>
      <c r="C70" s="4">
        <f>C69 * EXP(Risk_Analysis!E70)</f>
        <v>1.016984457618971</v>
      </c>
    </row>
    <row r="71" spans="1:3" x14ac:dyDescent="0.25">
      <c r="A71" s="1">
        <f>Risk_Analysis!A71</f>
        <v>44284</v>
      </c>
      <c r="B71" s="4">
        <f>B70 * EXP(Risk_Analysis!D71)</f>
        <v>1.0691844287759671</v>
      </c>
      <c r="C71" s="4">
        <f>C70 * EXP(Risk_Analysis!E71)</f>
        <v>1.0278801474122734</v>
      </c>
    </row>
    <row r="72" spans="1:3" x14ac:dyDescent="0.25">
      <c r="A72" s="1">
        <f>Risk_Analysis!A72</f>
        <v>44285</v>
      </c>
      <c r="B72" s="4">
        <f>B71 * EXP(Risk_Analysis!D72)</f>
        <v>1.0663478942107674</v>
      </c>
      <c r="C72" s="4">
        <f>C71 * EXP(Risk_Analysis!E72)</f>
        <v>1.0185867649415155</v>
      </c>
    </row>
    <row r="73" spans="1:3" x14ac:dyDescent="0.25">
      <c r="A73" s="1">
        <f>Risk_Analysis!A73</f>
        <v>44286</v>
      </c>
      <c r="B73" s="4">
        <f>B72 * EXP(Risk_Analysis!D73)</f>
        <v>1.0706702325958335</v>
      </c>
      <c r="C73" s="4">
        <f>C72 * EXP(Risk_Analysis!E73)</f>
        <v>1.0261176093574744</v>
      </c>
    </row>
    <row r="74" spans="1:3" x14ac:dyDescent="0.25">
      <c r="A74" s="1">
        <f>Risk_Analysis!A74</f>
        <v>44287</v>
      </c>
      <c r="B74" s="4">
        <f>B73 * EXP(Risk_Analysis!D74)</f>
        <v>1.082232487775886</v>
      </c>
      <c r="C74" s="4">
        <f>C73 * EXP(Risk_Analysis!E74)</f>
        <v>1.0251562249639476</v>
      </c>
    </row>
    <row r="75" spans="1:3" x14ac:dyDescent="0.25">
      <c r="A75" s="1">
        <f>Risk_Analysis!A75</f>
        <v>44291</v>
      </c>
      <c r="B75" s="4">
        <f>B74 * EXP(Risk_Analysis!D75)</f>
        <v>1.0977658913472179</v>
      </c>
      <c r="C75" s="4">
        <f>C74 * EXP(Risk_Analysis!E75)</f>
        <v>1.0363723762217589</v>
      </c>
    </row>
    <row r="76" spans="1:3" x14ac:dyDescent="0.25">
      <c r="A76" s="1">
        <f>Risk_Analysis!A76</f>
        <v>44292</v>
      </c>
      <c r="B76" s="4">
        <f>B75 * EXP(Risk_Analysis!D76)</f>
        <v>1.097117540589458</v>
      </c>
      <c r="C76" s="4">
        <f>C75 * EXP(Risk_Analysis!E76)</f>
        <v>1.04182022111841</v>
      </c>
    </row>
    <row r="77" spans="1:3" x14ac:dyDescent="0.25">
      <c r="A77" s="1">
        <f>Risk_Analysis!A77</f>
        <v>44293</v>
      </c>
      <c r="B77" s="4">
        <f>B76 * EXP(Risk_Analysis!D77)</f>
        <v>1.098387227490071</v>
      </c>
      <c r="C77" s="4">
        <f>C76 * EXP(Risk_Analysis!E77)</f>
        <v>1.0405383752603745</v>
      </c>
    </row>
    <row r="78" spans="1:3" x14ac:dyDescent="0.25">
      <c r="A78" s="1">
        <f>Risk_Analysis!A78</f>
        <v>44294</v>
      </c>
      <c r="B78" s="4">
        <f>B77 * EXP(Risk_Analysis!D78)</f>
        <v>1.1036010481670573</v>
      </c>
      <c r="C78" s="4">
        <f>C77 * EXP(Risk_Analysis!E78)</f>
        <v>1.0397372215991023</v>
      </c>
    </row>
    <row r="79" spans="1:3" x14ac:dyDescent="0.25">
      <c r="A79" s="1">
        <f>Risk_Analysis!A79</f>
        <v>44295</v>
      </c>
      <c r="B79" s="4">
        <f>B78 * EXP(Risk_Analysis!D79)</f>
        <v>1.1116243887943367</v>
      </c>
      <c r="C79" s="4">
        <f>C78 * EXP(Risk_Analysis!E79)</f>
        <v>1.038615606473321</v>
      </c>
    </row>
    <row r="80" spans="1:3" x14ac:dyDescent="0.25">
      <c r="A80" s="1">
        <f>Risk_Analysis!A80</f>
        <v>44298</v>
      </c>
      <c r="B80" s="4">
        <f>B79 * EXP(Risk_Analysis!D80)</f>
        <v>1.1120296080179366</v>
      </c>
      <c r="C80" s="4">
        <f>C79 * EXP(Risk_Analysis!E80)</f>
        <v>1.0395769908668475</v>
      </c>
    </row>
    <row r="81" spans="1:3" x14ac:dyDescent="0.25">
      <c r="A81" s="1">
        <f>Risk_Analysis!A81</f>
        <v>44299</v>
      </c>
      <c r="B81" s="4">
        <f>B80 * EXP(Risk_Analysis!D81)</f>
        <v>1.1153253910365497</v>
      </c>
      <c r="C81" s="4">
        <f>C80 * EXP(Risk_Analysis!E81)</f>
        <v>1.0519147572504401</v>
      </c>
    </row>
    <row r="82" spans="1:3" x14ac:dyDescent="0.25">
      <c r="A82" s="1">
        <f>Risk_Analysis!A82</f>
        <v>44300</v>
      </c>
      <c r="B82" s="4">
        <f>B81 * EXP(Risk_Analysis!D82)</f>
        <v>1.11151633033471</v>
      </c>
      <c r="C82" s="4">
        <f>C81 * EXP(Risk_Analysis!E82)</f>
        <v>1.056561448485819</v>
      </c>
    </row>
    <row r="83" spans="1:3" x14ac:dyDescent="0.25">
      <c r="A83" s="1">
        <f>Risk_Analysis!A83</f>
        <v>44301</v>
      </c>
      <c r="B83" s="4">
        <f>B82 * EXP(Risk_Analysis!D83)</f>
        <v>1.1234567901234556</v>
      </c>
      <c r="C83" s="4">
        <f>C82 * EXP(Risk_Analysis!E83)</f>
        <v>1.0682582919403938</v>
      </c>
    </row>
    <row r="84" spans="1:3" x14ac:dyDescent="0.25">
      <c r="A84" s="1">
        <f>Risk_Analysis!A84</f>
        <v>44302</v>
      </c>
      <c r="B84" s="4">
        <f>B83 * EXP(Risk_Analysis!D84)</f>
        <v>1.1272118215954818</v>
      </c>
      <c r="C84" s="4">
        <f>C83 * EXP(Risk_Analysis!E84)</f>
        <v>1.0769107514821339</v>
      </c>
    </row>
    <row r="85" spans="1:3" x14ac:dyDescent="0.25">
      <c r="A85" s="1">
        <f>Risk_Analysis!A85</f>
        <v>44305</v>
      </c>
      <c r="B85" s="4">
        <f>B84 * EXP(Risk_Analysis!D85)</f>
        <v>1.1216738255396155</v>
      </c>
      <c r="C85" s="4">
        <f>C84 * EXP(Risk_Analysis!E85)</f>
        <v>1.0714629065854828</v>
      </c>
    </row>
    <row r="86" spans="1:3" x14ac:dyDescent="0.25">
      <c r="A86" s="1">
        <f>Risk_Analysis!A86</f>
        <v>44306</v>
      </c>
      <c r="B86" s="4">
        <f>B85 * EXP(Risk_Analysis!D86)</f>
        <v>1.1134613826079895</v>
      </c>
      <c r="C86" s="4">
        <f>C85 * EXP(Risk_Analysis!E86)</f>
        <v>1.0850825188271105</v>
      </c>
    </row>
    <row r="87" spans="1:3" x14ac:dyDescent="0.25">
      <c r="A87" s="1">
        <f>Risk_Analysis!A87</f>
        <v>44307</v>
      </c>
      <c r="B87" s="4">
        <f>B86 * EXP(Risk_Analysis!D87)</f>
        <v>1.1239970824215886</v>
      </c>
      <c r="C87" s="4">
        <f>C86 * EXP(Risk_Analysis!E87)</f>
        <v>1.0759493670886071</v>
      </c>
    </row>
    <row r="88" spans="1:3" x14ac:dyDescent="0.25">
      <c r="A88" s="1">
        <f>Risk_Analysis!A88</f>
        <v>44308</v>
      </c>
      <c r="B88" s="4">
        <f>B87 * EXP(Risk_Analysis!D88)</f>
        <v>1.1137315287570562</v>
      </c>
      <c r="C88" s="4">
        <f>C87 * EXP(Risk_Analysis!E88)</f>
        <v>1.0682582919403936</v>
      </c>
    </row>
    <row r="89" spans="1:3" x14ac:dyDescent="0.25">
      <c r="A89" s="1">
        <f>Risk_Analysis!A89</f>
        <v>44309</v>
      </c>
      <c r="B89" s="4">
        <f>B88 * EXP(Risk_Analysis!D89)</f>
        <v>1.1258070616203353</v>
      </c>
      <c r="C89" s="4">
        <f>C88 * EXP(Risk_Analysis!E89)</f>
        <v>1.0668162153501035</v>
      </c>
    </row>
    <row r="90" spans="1:3" x14ac:dyDescent="0.25">
      <c r="A90" s="1">
        <f>Risk_Analysis!A90</f>
        <v>44312</v>
      </c>
      <c r="B90" s="4">
        <f>B89 * EXP(Risk_Analysis!D90)</f>
        <v>1.1281573331172152</v>
      </c>
      <c r="C90" s="4">
        <f>C89 * EXP(Risk_Analysis!E90)</f>
        <v>1.0607274475244346</v>
      </c>
    </row>
    <row r="91" spans="1:3" x14ac:dyDescent="0.25">
      <c r="A91" s="1">
        <f>Risk_Analysis!A91</f>
        <v>44313</v>
      </c>
      <c r="B91" s="4">
        <f>B90 * EXP(Risk_Analysis!D91)</f>
        <v>1.1279142015830552</v>
      </c>
      <c r="C91" s="4">
        <f>C90 * EXP(Risk_Analysis!E91)</f>
        <v>1.0525556801794578</v>
      </c>
    </row>
    <row r="92" spans="1:3" x14ac:dyDescent="0.25">
      <c r="A92" s="1">
        <f>Risk_Analysis!A92</f>
        <v>44314</v>
      </c>
      <c r="B92" s="4">
        <f>B91 * EXP(Risk_Analysis!D92)</f>
        <v>1.1275900262041754</v>
      </c>
      <c r="C92" s="4">
        <f>C91 * EXP(Risk_Analysis!E92)</f>
        <v>1.0511136035891677</v>
      </c>
    </row>
    <row r="93" spans="1:3" x14ac:dyDescent="0.25">
      <c r="A93" s="1">
        <f>Risk_Analysis!A93</f>
        <v>44315</v>
      </c>
      <c r="B93" s="4">
        <f>B92 * EXP(Risk_Analysis!D93)</f>
        <v>1.1347759137693483</v>
      </c>
      <c r="C93" s="4">
        <f>C92 * EXP(Risk_Analysis!E93)</f>
        <v>1.0607274475244346</v>
      </c>
    </row>
    <row r="94" spans="1:3" x14ac:dyDescent="0.25">
      <c r="A94" s="1">
        <f>Risk_Analysis!A94</f>
        <v>44316</v>
      </c>
      <c r="B94" s="4">
        <f>B93 * EXP(Risk_Analysis!D94)</f>
        <v>1.127319880055109</v>
      </c>
      <c r="C94" s="4">
        <f>C93 * EXP(Risk_Analysis!E94)</f>
        <v>1.0690594456016658</v>
      </c>
    </row>
    <row r="95" spans="1:3" x14ac:dyDescent="0.25">
      <c r="A95" s="1">
        <f>Risk_Analysis!A95</f>
        <v>44319</v>
      </c>
      <c r="B95" s="4">
        <f>B94 * EXP(Risk_Analysis!D95)</f>
        <v>1.1297511953967088</v>
      </c>
      <c r="C95" s="4">
        <f>C94 * EXP(Risk_Analysis!E95)</f>
        <v>1.0688992148694112</v>
      </c>
    </row>
    <row r="96" spans="1:3" x14ac:dyDescent="0.25">
      <c r="A96" s="1">
        <f>Risk_Analysis!A96</f>
        <v>44320</v>
      </c>
      <c r="B96" s="4">
        <f>B95 * EXP(Risk_Analysis!D96)</f>
        <v>1.1227814247507895</v>
      </c>
      <c r="C96" s="4">
        <f>C95 * EXP(Risk_Analysis!E96)</f>
        <v>1.06489344656305</v>
      </c>
    </row>
    <row r="97" spans="1:3" x14ac:dyDescent="0.25">
      <c r="A97" s="1">
        <f>Risk_Analysis!A97</f>
        <v>44321</v>
      </c>
      <c r="B97" s="4">
        <f>B96 * EXP(Risk_Analysis!D97)</f>
        <v>1.1231326147445762</v>
      </c>
      <c r="C97" s="4">
        <f>C96 * EXP(Risk_Analysis!E97)</f>
        <v>1.0469476045505521</v>
      </c>
    </row>
    <row r="98" spans="1:3" x14ac:dyDescent="0.25">
      <c r="A98" s="1">
        <f>Risk_Analysis!A98</f>
        <v>44322</v>
      </c>
      <c r="B98" s="4">
        <f>B97 * EXP(Risk_Analysis!D98)</f>
        <v>1.1321014668935889</v>
      </c>
      <c r="C98" s="4">
        <f>C97 * EXP(Risk_Analysis!E98)</f>
        <v>1.0549591411632744</v>
      </c>
    </row>
    <row r="99" spans="1:3" x14ac:dyDescent="0.25">
      <c r="A99" s="1">
        <f>Risk_Analysis!A99</f>
        <v>44323</v>
      </c>
      <c r="B99" s="4">
        <f>B98 * EXP(Risk_Analysis!D99)</f>
        <v>1.1403409244401215</v>
      </c>
      <c r="C99" s="4">
        <f>C98 * EXP(Risk_Analysis!E99)</f>
        <v>1.0581637558083634</v>
      </c>
    </row>
    <row r="100" spans="1:3" x14ac:dyDescent="0.25">
      <c r="A100" s="1">
        <f>Risk_Analysis!A100</f>
        <v>44326</v>
      </c>
      <c r="B100" s="4">
        <f>B99 * EXP(Risk_Analysis!D100)</f>
        <v>1.1290488154091358</v>
      </c>
      <c r="C100" s="4">
        <f>C99 * EXP(Risk_Analysis!E100)</f>
        <v>1.068899214869411</v>
      </c>
    </row>
    <row r="101" spans="1:3" x14ac:dyDescent="0.25">
      <c r="A101" s="1">
        <f>Risk_Analysis!A101</f>
        <v>44327</v>
      </c>
      <c r="B101" s="4">
        <f>B100 * EXP(Risk_Analysis!D101)</f>
        <v>1.11897236404895</v>
      </c>
      <c r="C101" s="4">
        <f>C100 * EXP(Risk_Analysis!E101)</f>
        <v>1.0557602948245464</v>
      </c>
    </row>
    <row r="102" spans="1:3" x14ac:dyDescent="0.25">
      <c r="A102" s="1">
        <f>Risk_Analysis!A102</f>
        <v>44328</v>
      </c>
      <c r="B102" s="4">
        <f>B101 * EXP(Risk_Analysis!D102)</f>
        <v>1.0951995029310855</v>
      </c>
      <c r="C102" s="4">
        <f>C101 * EXP(Risk_Analysis!E102)</f>
        <v>1.0310847620573615</v>
      </c>
    </row>
    <row r="103" spans="1:3" x14ac:dyDescent="0.25">
      <c r="A103" s="1">
        <f>Risk_Analysis!A103</f>
        <v>44329</v>
      </c>
      <c r="B103" s="4">
        <f>B102 * EXP(Risk_Analysis!D103)</f>
        <v>1.1083556203906308</v>
      </c>
      <c r="C103" s="4">
        <f>C102 * EXP(Risk_Analysis!E103)</f>
        <v>1.0509533728569129</v>
      </c>
    </row>
    <row r="104" spans="1:3" x14ac:dyDescent="0.25">
      <c r="A104" s="1">
        <f>Risk_Analysis!A104</f>
        <v>44330</v>
      </c>
      <c r="B104" s="4">
        <f>B103 * EXP(Risk_Analysis!D104)</f>
        <v>1.1253748277818296</v>
      </c>
      <c r="C104" s="4">
        <f>C103 * EXP(Risk_Analysis!E104)</f>
        <v>1.0560807562890551</v>
      </c>
    </row>
    <row r="105" spans="1:3" x14ac:dyDescent="0.25">
      <c r="A105" s="1">
        <f>Risk_Analysis!A105</f>
        <v>44333</v>
      </c>
      <c r="B105" s="4">
        <f>B104 * EXP(Risk_Analysis!D105)</f>
        <v>1.1225112786017233</v>
      </c>
      <c r="C105" s="4">
        <f>C104 * EXP(Risk_Analysis!E105)</f>
        <v>1.0474282967473152</v>
      </c>
    </row>
    <row r="106" spans="1:3" x14ac:dyDescent="0.25">
      <c r="A106" s="1">
        <f>Risk_Analysis!A106</f>
        <v>44334</v>
      </c>
      <c r="B106" s="4">
        <f>B105 * EXP(Risk_Analysis!D106)</f>
        <v>1.1128400464651373</v>
      </c>
      <c r="C106" s="4">
        <f>C105 * EXP(Risk_Analysis!E106)</f>
        <v>1.0472680660150606</v>
      </c>
    </row>
    <row r="107" spans="1:3" x14ac:dyDescent="0.25">
      <c r="A107" s="1">
        <f>Risk_Analysis!A107</f>
        <v>44335</v>
      </c>
      <c r="B107" s="4">
        <f>B106 * EXP(Risk_Analysis!D107)</f>
        <v>1.1099224680552178</v>
      </c>
      <c r="C107" s="4">
        <f>C106 * EXP(Risk_Analysis!E107)</f>
        <v>1.0455055279602619</v>
      </c>
    </row>
    <row r="108" spans="1:3" x14ac:dyDescent="0.25">
      <c r="A108" s="1">
        <f>Risk_Analysis!A108</f>
        <v>44336</v>
      </c>
      <c r="B108" s="4">
        <f>B107 * EXP(Risk_Analysis!D108)</f>
        <v>1.1218629278439634</v>
      </c>
      <c r="C108" s="4">
        <f>C107 * EXP(Risk_Analysis!E108)</f>
        <v>1.0546386796987652</v>
      </c>
    </row>
    <row r="109" spans="1:3" x14ac:dyDescent="0.25">
      <c r="A109" s="1">
        <f>Risk_Analysis!A109</f>
        <v>44337</v>
      </c>
      <c r="B109" s="4">
        <f>B108 * EXP(Risk_Analysis!D109)</f>
        <v>1.1209444309371368</v>
      </c>
      <c r="C109" s="4">
        <f>C108 * EXP(Risk_Analysis!E109)</f>
        <v>1.0600865245954165</v>
      </c>
    </row>
    <row r="110" spans="1:3" x14ac:dyDescent="0.25">
      <c r="A110" s="1">
        <f>Risk_Analysis!A110</f>
        <v>44340</v>
      </c>
      <c r="B110" s="4">
        <f>B109 * EXP(Risk_Analysis!D110)</f>
        <v>1.1323716130426558</v>
      </c>
      <c r="C110" s="4">
        <f>C109 * EXP(Risk_Analysis!E110)</f>
        <v>1.0581637558083634</v>
      </c>
    </row>
    <row r="111" spans="1:3" x14ac:dyDescent="0.25">
      <c r="A111" s="1">
        <f>Risk_Analysis!A111</f>
        <v>44341</v>
      </c>
      <c r="B111" s="4">
        <f>B110 * EXP(Risk_Analysis!D111)</f>
        <v>1.1298592538563359</v>
      </c>
      <c r="C111" s="4">
        <f>C110 * EXP(Risk_Analysis!E111)</f>
        <v>1.0453452972280075</v>
      </c>
    </row>
    <row r="112" spans="1:3" x14ac:dyDescent="0.25">
      <c r="A112" s="1">
        <f>Risk_Analysis!A112</f>
        <v>44342</v>
      </c>
      <c r="B112" s="4">
        <f>B111 * EXP(Risk_Analysis!D112)</f>
        <v>1.1321014668935889</v>
      </c>
      <c r="C112" s="4">
        <f>C111 * EXP(Risk_Analysis!E112)</f>
        <v>1.0455055279602621</v>
      </c>
    </row>
    <row r="113" spans="1:3" x14ac:dyDescent="0.25">
      <c r="A113" s="1">
        <f>Risk_Analysis!A113</f>
        <v>44343</v>
      </c>
      <c r="B113" s="4">
        <f>B112 * EXP(Risk_Analysis!D113)</f>
        <v>1.1326957884215356</v>
      </c>
      <c r="C113" s="4">
        <f>C112 * EXP(Risk_Analysis!E113)</f>
        <v>1.0384553757410664</v>
      </c>
    </row>
    <row r="114" spans="1:3" x14ac:dyDescent="0.25">
      <c r="A114" s="1">
        <f>Risk_Analysis!A114</f>
        <v>44344</v>
      </c>
      <c r="B114" s="4">
        <f>B113 * EXP(Risk_Analysis!D114)</f>
        <v>1.1347218845395355</v>
      </c>
      <c r="C114" s="4">
        <f>C113 * EXP(Risk_Analysis!E114)</f>
        <v>1.044063451369972</v>
      </c>
    </row>
    <row r="115" spans="1:3" x14ac:dyDescent="0.25">
      <c r="A115" s="1">
        <f>Risk_Analysis!A115</f>
        <v>44348</v>
      </c>
      <c r="B115" s="4">
        <f>B114 * EXP(Risk_Analysis!D115)</f>
        <v>1.1337223437879889</v>
      </c>
      <c r="C115" s="4">
        <f>C114 * EXP(Risk_Analysis!E115)</f>
        <v>1.0376542220797944</v>
      </c>
    </row>
    <row r="116" spans="1:3" x14ac:dyDescent="0.25">
      <c r="A116" s="1">
        <f>Risk_Analysis!A116</f>
        <v>44349</v>
      </c>
      <c r="B116" s="4">
        <f>B115 * EXP(Risk_Analysis!D116)</f>
        <v>1.1355053083718287</v>
      </c>
      <c r="C116" s="4">
        <f>C115 * EXP(Risk_Analysis!E116)</f>
        <v>1.0431020669764455</v>
      </c>
    </row>
    <row r="117" spans="1:3" x14ac:dyDescent="0.25">
      <c r="A117" s="1">
        <f>Risk_Analysis!A117</f>
        <v>44350</v>
      </c>
      <c r="B117" s="4">
        <f>B116 * EXP(Risk_Analysis!D117)</f>
        <v>1.1312910284463891</v>
      </c>
      <c r="C117" s="4">
        <f>C116 * EXP(Risk_Analysis!E117)</f>
        <v>1.049351065534369</v>
      </c>
    </row>
    <row r="118" spans="1:3" x14ac:dyDescent="0.25">
      <c r="A118" s="1">
        <f>Risk_Analysis!A118</f>
        <v>44351</v>
      </c>
      <c r="B118" s="4">
        <f>B117 * EXP(Risk_Analysis!D118)</f>
        <v>1.1416376259556418</v>
      </c>
      <c r="C118" s="4">
        <f>C117 * EXP(Risk_Analysis!E118)</f>
        <v>1.0477487582118246</v>
      </c>
    </row>
    <row r="119" spans="1:3" x14ac:dyDescent="0.25">
      <c r="A119" s="1">
        <f>Risk_Analysis!A119</f>
        <v>44354</v>
      </c>
      <c r="B119" s="4">
        <f>B118 * EXP(Risk_Analysis!D119)</f>
        <v>1.1405300267444685</v>
      </c>
      <c r="C119" s="4">
        <f>C118 * EXP(Risk_Analysis!E119)</f>
        <v>1.0496715269988781</v>
      </c>
    </row>
    <row r="120" spans="1:3" x14ac:dyDescent="0.25">
      <c r="A120" s="1">
        <f>Risk_Analysis!A120</f>
        <v>44355</v>
      </c>
      <c r="B120" s="4">
        <f>B119 * EXP(Risk_Analysis!D120)</f>
        <v>1.1407731582786285</v>
      </c>
      <c r="C120" s="4">
        <f>C119 * EXP(Risk_Analysis!E120)</f>
        <v>1.0406986059926291</v>
      </c>
    </row>
    <row r="121" spans="1:3" x14ac:dyDescent="0.25">
      <c r="A121" s="1">
        <f>Risk_Analysis!A121</f>
        <v>44356</v>
      </c>
      <c r="B121" s="4">
        <f>B120 * EXP(Risk_Analysis!D121)</f>
        <v>1.1390712375395087</v>
      </c>
      <c r="C121" s="4">
        <f>C120 * EXP(Risk_Analysis!E121)</f>
        <v>1.049991988463387</v>
      </c>
    </row>
    <row r="122" spans="1:3" x14ac:dyDescent="0.25">
      <c r="A122" s="1">
        <f>Risk_Analysis!A122</f>
        <v>44357</v>
      </c>
      <c r="B122" s="4">
        <f>B121 * EXP(Risk_Analysis!D122)</f>
        <v>1.144366102061215</v>
      </c>
      <c r="C122" s="4">
        <f>C121 * EXP(Risk_Analysis!E122)</f>
        <v>1.0568819099503282</v>
      </c>
    </row>
    <row r="123" spans="1:3" x14ac:dyDescent="0.25">
      <c r="A123" s="1">
        <f>Risk_Analysis!A123</f>
        <v>44358</v>
      </c>
      <c r="B123" s="4">
        <f>B122 * EXP(Risk_Analysis!D123)</f>
        <v>1.1462571251046816</v>
      </c>
      <c r="C123" s="4">
        <f>C122 * EXP(Risk_Analysis!E123)</f>
        <v>1.0592853709341448</v>
      </c>
    </row>
    <row r="124" spans="1:3" x14ac:dyDescent="0.25">
      <c r="A124" s="1">
        <f>Risk_Analysis!A124</f>
        <v>44361</v>
      </c>
      <c r="B124" s="4">
        <f>B123 * EXP(Risk_Analysis!D124)</f>
        <v>1.1488235135208147</v>
      </c>
      <c r="C124" s="4">
        <f>C123 * EXP(Risk_Analysis!E124)</f>
        <v>1.061528601185707</v>
      </c>
    </row>
    <row r="125" spans="1:3" x14ac:dyDescent="0.25">
      <c r="A125" s="1">
        <f>Risk_Analysis!A125</f>
        <v>44362</v>
      </c>
      <c r="B125" s="4">
        <f>B124 * EXP(Risk_Analysis!D125)</f>
        <v>1.146716373558095</v>
      </c>
      <c r="C125" s="4">
        <f>C124 * EXP(Risk_Analysis!E125)</f>
        <v>1.0647332158307961</v>
      </c>
    </row>
    <row r="126" spans="1:3" x14ac:dyDescent="0.25">
      <c r="A126" s="1">
        <f>Risk_Analysis!A126</f>
        <v>44363</v>
      </c>
      <c r="B126" s="4">
        <f>B125 * EXP(Risk_Analysis!D126)</f>
        <v>1.1403139098252155</v>
      </c>
      <c r="C126" s="4">
        <f>C125 * EXP(Risk_Analysis!E126)</f>
        <v>1.0487101426053513</v>
      </c>
    </row>
    <row r="127" spans="1:3" x14ac:dyDescent="0.25">
      <c r="A127" s="1">
        <f>Risk_Analysis!A127</f>
        <v>44364</v>
      </c>
      <c r="B127" s="4">
        <f>B126 * EXP(Risk_Analysis!D127)</f>
        <v>1.1399357052165222</v>
      </c>
      <c r="C127" s="4">
        <f>C126 * EXP(Risk_Analysis!E127)</f>
        <v>1.0544784489665116</v>
      </c>
    </row>
    <row r="128" spans="1:3" x14ac:dyDescent="0.25">
      <c r="A128" s="1">
        <f>Risk_Analysis!A128</f>
        <v>44365</v>
      </c>
      <c r="B128" s="4">
        <f>B127 * EXP(Risk_Analysis!D128)</f>
        <v>1.1208904017073238</v>
      </c>
      <c r="C128" s="4">
        <f>C127 * EXP(Risk_Analysis!E128)</f>
        <v>1.0270789937510012</v>
      </c>
    </row>
    <row r="129" spans="1:3" x14ac:dyDescent="0.25">
      <c r="A129" s="1">
        <f>Risk_Analysis!A129</f>
        <v>44368</v>
      </c>
      <c r="B129" s="4">
        <f>B128 * EXP(Risk_Analysis!D129)</f>
        <v>1.1369370829618823</v>
      </c>
      <c r="C129" s="4">
        <f>C128 * EXP(Risk_Analysis!E129)</f>
        <v>1.0323666079153981</v>
      </c>
    </row>
    <row r="130" spans="1:3" x14ac:dyDescent="0.25">
      <c r="A130" s="1">
        <f>Risk_Analysis!A130</f>
        <v>44369</v>
      </c>
      <c r="B130" s="4">
        <f>B129 * EXP(Risk_Analysis!D130)</f>
        <v>1.1430153713158819</v>
      </c>
      <c r="C130" s="4">
        <f>C129 * EXP(Risk_Analysis!E130)</f>
        <v>1.0261176093574746</v>
      </c>
    </row>
    <row r="131" spans="1:3" x14ac:dyDescent="0.25">
      <c r="A131" s="1">
        <f>Risk_Analysis!A131</f>
        <v>44370</v>
      </c>
      <c r="B131" s="4">
        <f>B130 * EXP(Risk_Analysis!D131)</f>
        <v>1.141637625955642</v>
      </c>
      <c r="C131" s="4">
        <f>C130 * EXP(Risk_Analysis!E131)</f>
        <v>1.0152219195641723</v>
      </c>
    </row>
    <row r="132" spans="1:3" x14ac:dyDescent="0.25">
      <c r="A132" s="1">
        <f>Risk_Analysis!A132</f>
        <v>44371</v>
      </c>
      <c r="B132" s="4">
        <f>B131 * EXP(Risk_Analysis!D132)</f>
        <v>1.1483912796823081</v>
      </c>
      <c r="C132" s="4">
        <f>C131 * EXP(Risk_Analysis!E132)</f>
        <v>1.0142605351706455</v>
      </c>
    </row>
    <row r="133" spans="1:3" x14ac:dyDescent="0.25">
      <c r="A133" s="1">
        <f>Risk_Analysis!A133</f>
        <v>44372</v>
      </c>
      <c r="B133" s="4">
        <f>B132 * EXP(Risk_Analysis!D133)</f>
        <v>1.1524704865332145</v>
      </c>
      <c r="C133" s="4">
        <f>C132 * EXP(Risk_Analysis!E133)</f>
        <v>1.0251562249639479</v>
      </c>
    </row>
    <row r="134" spans="1:3" x14ac:dyDescent="0.25">
      <c r="A134" s="1">
        <f>Risk_Analysis!A134</f>
        <v>44375</v>
      </c>
      <c r="B134" s="4">
        <f>B133 * EXP(Risk_Analysis!D134)</f>
        <v>1.1547937434151878</v>
      </c>
      <c r="C134" s="4">
        <f>C133 * EXP(Risk_Analysis!E134)</f>
        <v>1.0317256849863803</v>
      </c>
    </row>
    <row r="135" spans="1:3" x14ac:dyDescent="0.25">
      <c r="A135" s="1">
        <f>Risk_Analysis!A135</f>
        <v>44376</v>
      </c>
      <c r="B135" s="4">
        <f>B134 * EXP(Risk_Analysis!D135)</f>
        <v>1.1554150795580411</v>
      </c>
      <c r="C135" s="4">
        <f>C134 * EXP(Risk_Analysis!E135)</f>
        <v>1.0150616888319179</v>
      </c>
    </row>
    <row r="136" spans="1:3" x14ac:dyDescent="0.25">
      <c r="A136" s="1">
        <f>Risk_Analysis!A136</f>
        <v>44377</v>
      </c>
      <c r="B136" s="4">
        <f>B135 * EXP(Risk_Analysis!D136)</f>
        <v>1.1563876056946811</v>
      </c>
      <c r="C136" s="4">
        <f>C135 * EXP(Risk_Analysis!E136)</f>
        <v>1.0131389200448646</v>
      </c>
    </row>
    <row r="137" spans="1:3" x14ac:dyDescent="0.25">
      <c r="A137" s="1">
        <f>Risk_Analysis!A137</f>
        <v>44378</v>
      </c>
      <c r="B137" s="4">
        <f>B136 * EXP(Risk_Analysis!D137)</f>
        <v>1.1627900694275608</v>
      </c>
      <c r="C137" s="4">
        <f>C136 * EXP(Risk_Analysis!E137)</f>
        <v>1.0241948405704215</v>
      </c>
    </row>
    <row r="138" spans="1:3" x14ac:dyDescent="0.25">
      <c r="A138" s="1">
        <f>Risk_Analysis!A138</f>
        <v>44379</v>
      </c>
      <c r="B138" s="4">
        <f>B137 * EXP(Risk_Analysis!D138)</f>
        <v>1.1716778777318535</v>
      </c>
      <c r="C138" s="4">
        <f>C137 * EXP(Risk_Analysis!E138)</f>
        <v>1.0257971478929659</v>
      </c>
    </row>
    <row r="139" spans="1:3" x14ac:dyDescent="0.25">
      <c r="A139" s="1">
        <f>Risk_Analysis!A139</f>
        <v>44383</v>
      </c>
      <c r="B139" s="4">
        <f>B138 * EXP(Risk_Analysis!D139)</f>
        <v>1.1695437231542269</v>
      </c>
      <c r="C139" s="4">
        <f>C138 * EXP(Risk_Analysis!E139)</f>
        <v>1.0301233776638361</v>
      </c>
    </row>
    <row r="140" spans="1:3" x14ac:dyDescent="0.25">
      <c r="A140" s="1">
        <f>Risk_Analysis!A140</f>
        <v>44384</v>
      </c>
      <c r="B140" s="4">
        <f>B139 * EXP(Risk_Analysis!D140)</f>
        <v>1.1736769592349465</v>
      </c>
      <c r="C140" s="4">
        <f>C139 * EXP(Risk_Analysis!E140)</f>
        <v>1.0368530684185226</v>
      </c>
    </row>
    <row r="141" spans="1:3" x14ac:dyDescent="0.25">
      <c r="A141" s="1">
        <f>Risk_Analysis!A141</f>
        <v>44385</v>
      </c>
      <c r="B141" s="4">
        <f>B140 * EXP(Risk_Analysis!D141)</f>
        <v>1.1641137855579875</v>
      </c>
      <c r="C141" s="4">
        <f>C140 * EXP(Risk_Analysis!E141)</f>
        <v>1.0338086845056882</v>
      </c>
    </row>
    <row r="142" spans="1:3" x14ac:dyDescent="0.25">
      <c r="A142" s="1">
        <f>Risk_Analysis!A142</f>
        <v>44386</v>
      </c>
      <c r="B142" s="4">
        <f>B141 * EXP(Risk_Analysis!D142)</f>
        <v>1.1765405084150531</v>
      </c>
      <c r="C142" s="4">
        <f>C141 * EXP(Risk_Analysis!E142)</f>
        <v>1.0350905303637237</v>
      </c>
    </row>
    <row r="143" spans="1:3" x14ac:dyDescent="0.25">
      <c r="A143" s="1">
        <f>Risk_Analysis!A143</f>
        <v>44389</v>
      </c>
      <c r="B143" s="4">
        <f>B142 * EXP(Risk_Analysis!D143)</f>
        <v>1.1807547883404927</v>
      </c>
      <c r="C143" s="4">
        <f>C142 * EXP(Risk_Analysis!E143)</f>
        <v>1.0384553757410671</v>
      </c>
    </row>
    <row r="144" spans="1:3" x14ac:dyDescent="0.25">
      <c r="A144" s="1">
        <f>Risk_Analysis!A144</f>
        <v>44390</v>
      </c>
      <c r="B144" s="4">
        <f>B143 * EXP(Risk_Analysis!D144)</f>
        <v>1.1767296107193996</v>
      </c>
      <c r="C144" s="4">
        <f>C143 * EXP(Risk_Analysis!E144)</f>
        <v>1.0306040698605989</v>
      </c>
    </row>
    <row r="145" spans="1:3" x14ac:dyDescent="0.25">
      <c r="A145" s="1">
        <f>Risk_Analysis!A145</f>
        <v>44391</v>
      </c>
      <c r="B145" s="4">
        <f>B144 * EXP(Risk_Analysis!D145)</f>
        <v>1.1784855606883329</v>
      </c>
      <c r="C145" s="4">
        <f>C144 * EXP(Risk_Analysis!E145)</f>
        <v>1.039576990866848</v>
      </c>
    </row>
    <row r="146" spans="1:3" x14ac:dyDescent="0.25">
      <c r="A146" s="1">
        <f>Risk_Analysis!A146</f>
        <v>44392</v>
      </c>
      <c r="B146" s="4">
        <f>B145 * EXP(Risk_Analysis!D146)</f>
        <v>1.1744603830672398</v>
      </c>
      <c r="C146" s="4">
        <f>C145 * EXP(Risk_Analysis!E146)</f>
        <v>1.0512738343214225</v>
      </c>
    </row>
    <row r="147" spans="1:3" x14ac:dyDescent="0.25">
      <c r="A147" s="1">
        <f>Risk_Analysis!A147</f>
        <v>44393</v>
      </c>
      <c r="B147" s="4">
        <f>B146 * EXP(Risk_Analysis!D147)</f>
        <v>1.1652483993840672</v>
      </c>
      <c r="C147" s="4">
        <f>C146 * EXP(Risk_Analysis!E147)</f>
        <v>1.0618490626502159</v>
      </c>
    </row>
    <row r="148" spans="1:3" x14ac:dyDescent="0.25">
      <c r="A148" s="1">
        <f>Risk_Analysis!A148</f>
        <v>44396</v>
      </c>
      <c r="B148" s="4">
        <f>B147 * EXP(Risk_Analysis!D148)</f>
        <v>1.1480400896885219</v>
      </c>
      <c r="C148" s="4">
        <f>C147 * EXP(Risk_Analysis!E148)</f>
        <v>1.045024835763499</v>
      </c>
    </row>
    <row r="149" spans="1:3" x14ac:dyDescent="0.25">
      <c r="A149" s="1">
        <f>Risk_Analysis!A149</f>
        <v>44397</v>
      </c>
      <c r="B149" s="4">
        <f>B148 * EXP(Risk_Analysis!D149)</f>
        <v>1.1644919901666806</v>
      </c>
      <c r="C149" s="4">
        <f>C148 * EXP(Risk_Analysis!E149)</f>
        <v>1.0495112962666235</v>
      </c>
    </row>
    <row r="150" spans="1:3" x14ac:dyDescent="0.25">
      <c r="A150" s="1">
        <f>Risk_Analysis!A150</f>
        <v>44398</v>
      </c>
      <c r="B150" s="4">
        <f>B149 * EXP(Risk_Analysis!D150)</f>
        <v>1.1739200907691065</v>
      </c>
      <c r="C150" s="4">
        <f>C149 * EXP(Risk_Analysis!E150)</f>
        <v>1.0379746835443036</v>
      </c>
    </row>
    <row r="151" spans="1:3" x14ac:dyDescent="0.25">
      <c r="A151" s="1">
        <f>Risk_Analysis!A151</f>
        <v>44399</v>
      </c>
      <c r="B151" s="4">
        <f>B150 * EXP(Risk_Analysis!D151)</f>
        <v>1.1763784207256129</v>
      </c>
      <c r="C151" s="4">
        <f>C150 * EXP(Risk_Analysis!E151)</f>
        <v>1.0395769908668477</v>
      </c>
    </row>
    <row r="152" spans="1:3" x14ac:dyDescent="0.25">
      <c r="A152" s="1">
        <f>Risk_Analysis!A152</f>
        <v>44400</v>
      </c>
      <c r="B152" s="4">
        <f>B151 * EXP(Risk_Analysis!D152)</f>
        <v>1.1884809682037989</v>
      </c>
      <c r="C152" s="4">
        <f>C151 * EXP(Risk_Analysis!E152)</f>
        <v>1.0528761416439667</v>
      </c>
    </row>
    <row r="153" spans="1:3" x14ac:dyDescent="0.25">
      <c r="A153" s="1">
        <f>Risk_Analysis!A153</f>
        <v>44403</v>
      </c>
      <c r="B153" s="4">
        <f>B152 * EXP(Risk_Analysis!D153)</f>
        <v>1.1913985466137187</v>
      </c>
      <c r="C153" s="4">
        <f>C152 * EXP(Risk_Analysis!E153)</f>
        <v>1.0531966031084758</v>
      </c>
    </row>
    <row r="154" spans="1:3" x14ac:dyDescent="0.25">
      <c r="A154" s="1">
        <f>Risk_Analysis!A154</f>
        <v>44404</v>
      </c>
      <c r="B154" s="4">
        <f>B153 * EXP(Risk_Analysis!D154)</f>
        <v>1.185968609017479</v>
      </c>
      <c r="C154" s="4">
        <f>C153 * EXP(Risk_Analysis!E154)</f>
        <v>1.0713026758532282</v>
      </c>
    </row>
    <row r="155" spans="1:3" x14ac:dyDescent="0.25">
      <c r="A155" s="1">
        <f>Risk_Analysis!A155</f>
        <v>44405</v>
      </c>
      <c r="B155" s="4">
        <f>B154 * EXP(Risk_Analysis!D155)</f>
        <v>1.185482345949159</v>
      </c>
      <c r="C155" s="4">
        <f>C154 * EXP(Risk_Analysis!E155)</f>
        <v>1.0631309085082514</v>
      </c>
    </row>
    <row r="156" spans="1:3" x14ac:dyDescent="0.25">
      <c r="A156" s="1">
        <f>Risk_Analysis!A156</f>
        <v>44406</v>
      </c>
      <c r="B156" s="4">
        <f>B155 * EXP(Risk_Analysis!D156)</f>
        <v>1.1903990058621721</v>
      </c>
      <c r="C156" s="4">
        <f>C155 * EXP(Risk_Analysis!E156)</f>
        <v>1.0660150616888315</v>
      </c>
    </row>
    <row r="157" spans="1:3" x14ac:dyDescent="0.25">
      <c r="A157" s="1">
        <f>Risk_Analysis!A157</f>
        <v>44407</v>
      </c>
      <c r="B157" s="4">
        <f>B156 * EXP(Risk_Analysis!D157)</f>
        <v>1.1846178782721459</v>
      </c>
      <c r="C157" s="4">
        <f>C156 * EXP(Risk_Analysis!E157)</f>
        <v>1.0570421406825825</v>
      </c>
    </row>
    <row r="158" spans="1:3" x14ac:dyDescent="0.25">
      <c r="A158" s="1">
        <f>Risk_Analysis!A158</f>
        <v>44410</v>
      </c>
      <c r="B158" s="4">
        <f>B157 * EXP(Risk_Analysis!D158)</f>
        <v>1.1821325337007327</v>
      </c>
      <c r="C158" s="4">
        <f>C157 * EXP(Risk_Analysis!E158)</f>
        <v>1.0652139080275593</v>
      </c>
    </row>
    <row r="159" spans="1:3" x14ac:dyDescent="0.25">
      <c r="A159" s="1">
        <f>Risk_Analysis!A159</f>
        <v>44411</v>
      </c>
      <c r="B159" s="4">
        <f>B158 * EXP(Risk_Analysis!D159)</f>
        <v>1.1917497366075054</v>
      </c>
      <c r="C159" s="4">
        <f>C158 * EXP(Risk_Analysis!E159)</f>
        <v>1.0713026758532282</v>
      </c>
    </row>
    <row r="160" spans="1:3" x14ac:dyDescent="0.25">
      <c r="A160" s="1">
        <f>Risk_Analysis!A160</f>
        <v>44412</v>
      </c>
      <c r="B160" s="4">
        <f>B159 * EXP(Risk_Analysis!D160)</f>
        <v>1.1858875651727594</v>
      </c>
      <c r="C160" s="4">
        <f>C159 * EXP(Risk_Analysis!E160)</f>
        <v>1.0697003685306838</v>
      </c>
    </row>
    <row r="161" spans="1:3" x14ac:dyDescent="0.25">
      <c r="A161" s="1">
        <f>Risk_Analysis!A161</f>
        <v>44413</v>
      </c>
      <c r="B161" s="4">
        <f>B160 * EXP(Risk_Analysis!D161)</f>
        <v>1.1933976281168119</v>
      </c>
      <c r="C161" s="4">
        <f>C160 * EXP(Risk_Analysis!E161)</f>
        <v>1.0813972119852582</v>
      </c>
    </row>
    <row r="162" spans="1:3" x14ac:dyDescent="0.25">
      <c r="A162" s="1">
        <f>Risk_Analysis!A162</f>
        <v>44414</v>
      </c>
      <c r="B162" s="4">
        <f>B161 * EXP(Risk_Analysis!D162)</f>
        <v>1.1953696950049986</v>
      </c>
      <c r="C162" s="4">
        <f>C161 * EXP(Risk_Analysis!E162)</f>
        <v>1.0807562890562405</v>
      </c>
    </row>
    <row r="163" spans="1:3" x14ac:dyDescent="0.25">
      <c r="A163" s="1">
        <f>Risk_Analysis!A163</f>
        <v>44417</v>
      </c>
      <c r="B163" s="4">
        <f>B162 * EXP(Risk_Analysis!D163)</f>
        <v>1.1943971688683586</v>
      </c>
      <c r="C163" s="4">
        <f>C162 * EXP(Risk_Analysis!E163)</f>
        <v>1.0804358275917316</v>
      </c>
    </row>
    <row r="164" spans="1:3" x14ac:dyDescent="0.25">
      <c r="A164" s="1">
        <f>Risk_Analysis!A164</f>
        <v>44418</v>
      </c>
      <c r="B164" s="4">
        <f>B163 * EXP(Risk_Analysis!D164)</f>
        <v>1.1958829726882252</v>
      </c>
      <c r="C164" s="4">
        <f>C163 * EXP(Risk_Analysis!E164)</f>
        <v>1.0815574427175128</v>
      </c>
    </row>
    <row r="165" spans="1:3" x14ac:dyDescent="0.25">
      <c r="A165" s="1">
        <f>Risk_Analysis!A165</f>
        <v>44419</v>
      </c>
      <c r="B165" s="4">
        <f>B164 * EXP(Risk_Analysis!D165)</f>
        <v>1.198854580327958</v>
      </c>
      <c r="C165" s="4">
        <f>C164 * EXP(Risk_Analysis!E165)</f>
        <v>1.0916519788495427</v>
      </c>
    </row>
    <row r="166" spans="1:3" x14ac:dyDescent="0.25">
      <c r="A166" s="1">
        <f>Risk_Analysis!A166</f>
        <v>44420</v>
      </c>
      <c r="B166" s="4">
        <f>B165 * EXP(Risk_Analysis!D166)</f>
        <v>1.2024475241105443</v>
      </c>
      <c r="C166" s="4">
        <f>C165 * EXP(Risk_Analysis!E166)</f>
        <v>1.0927735939753238</v>
      </c>
    </row>
    <row r="167" spans="1:3" x14ac:dyDescent="0.25">
      <c r="A167" s="1">
        <f>Risk_Analysis!A167</f>
        <v>44421</v>
      </c>
      <c r="B167" s="4">
        <f>B166 * EXP(Risk_Analysis!D167)</f>
        <v>1.2046357079179841</v>
      </c>
      <c r="C167" s="4">
        <f>C166 * EXP(Risk_Analysis!E167)</f>
        <v>1.1004646691235374</v>
      </c>
    </row>
    <row r="168" spans="1:3" x14ac:dyDescent="0.25">
      <c r="A168" s="1">
        <f>Risk_Analysis!A168</f>
        <v>44424</v>
      </c>
      <c r="B168" s="4">
        <f>B167 * EXP(Risk_Analysis!D168)</f>
        <v>1.2074722424831841</v>
      </c>
      <c r="C168" s="4">
        <f>C167 * EXP(Risk_Analysis!E168)</f>
        <v>1.1071943598782239</v>
      </c>
    </row>
    <row r="169" spans="1:3" x14ac:dyDescent="0.25">
      <c r="A169" s="1">
        <f>Risk_Analysis!A169</f>
        <v>44425</v>
      </c>
      <c r="B169" s="4">
        <f>B168 * EXP(Risk_Analysis!D169)</f>
        <v>1.1995569603155314</v>
      </c>
      <c r="C169" s="4">
        <f>C168 * EXP(Risk_Analysis!E169)</f>
        <v>1.1078352828072418</v>
      </c>
    </row>
    <row r="170" spans="1:3" x14ac:dyDescent="0.25">
      <c r="A170" s="1">
        <f>Risk_Analysis!A170</f>
        <v>44426</v>
      </c>
      <c r="B170" s="4">
        <f>B169 * EXP(Risk_Analysis!D170)</f>
        <v>1.1864278574708924</v>
      </c>
      <c r="C170" s="4">
        <f>C169 * EXP(Risk_Analysis!E170)</f>
        <v>1.1022272071783361</v>
      </c>
    </row>
    <row r="171" spans="1:3" x14ac:dyDescent="0.25">
      <c r="A171" s="1">
        <f>Risk_Analysis!A171</f>
        <v>44427</v>
      </c>
      <c r="B171" s="4">
        <f>B170 * EXP(Risk_Analysis!D171)</f>
        <v>1.1882648512845455</v>
      </c>
      <c r="C171" s="4">
        <f>C170 * EXP(Risk_Analysis!E171)</f>
        <v>1.1067136676814604</v>
      </c>
    </row>
    <row r="172" spans="1:3" x14ac:dyDescent="0.25">
      <c r="A172" s="1">
        <f>Risk_Analysis!A172</f>
        <v>44428</v>
      </c>
      <c r="B172" s="4">
        <f>B171 * EXP(Risk_Analysis!D172)</f>
        <v>1.1977199665018781</v>
      </c>
      <c r="C172" s="4">
        <f>C171 * EXP(Risk_Analysis!E172)</f>
        <v>1.1204935106553431</v>
      </c>
    </row>
    <row r="173" spans="1:3" x14ac:dyDescent="0.25">
      <c r="A173" s="1">
        <f>Risk_Analysis!A173</f>
        <v>44431</v>
      </c>
      <c r="B173" s="4">
        <f>B172 * EXP(Risk_Analysis!D173)</f>
        <v>1.2082556663154773</v>
      </c>
      <c r="C173" s="4">
        <f>C172 * EXP(Risk_Analysis!E173)</f>
        <v>1.1060727447524428</v>
      </c>
    </row>
    <row r="174" spans="1:3" x14ac:dyDescent="0.25">
      <c r="A174" s="1">
        <f>Risk_Analysis!A174</f>
        <v>44432</v>
      </c>
      <c r="B174" s="4">
        <f>B173 * EXP(Risk_Analysis!D174)</f>
        <v>1.2101737039738505</v>
      </c>
      <c r="C174" s="4">
        <f>C173 * EXP(Risk_Analysis!E174)</f>
        <v>1.0988623618009925</v>
      </c>
    </row>
    <row r="175" spans="1:3" x14ac:dyDescent="0.25">
      <c r="A175" s="1">
        <f>Risk_Analysis!A175</f>
        <v>44433</v>
      </c>
      <c r="B175" s="4">
        <f>B174 * EXP(Risk_Analysis!D175)</f>
        <v>1.212713077775077</v>
      </c>
      <c r="C175" s="4">
        <f>C174 * EXP(Risk_Analysis!E175)</f>
        <v>1.1009453613203002</v>
      </c>
    </row>
    <row r="176" spans="1:3" x14ac:dyDescent="0.25">
      <c r="A176" s="1">
        <f>Risk_Analysis!A176</f>
        <v>44434</v>
      </c>
      <c r="B176" s="4">
        <f>B175 * EXP(Risk_Analysis!D176)</f>
        <v>1.2055542048248107</v>
      </c>
      <c r="C176" s="4">
        <f>C175 * EXP(Risk_Analysis!E176)</f>
        <v>1.0982214388719747</v>
      </c>
    </row>
    <row r="177" spans="1:3" x14ac:dyDescent="0.25">
      <c r="A177" s="1">
        <f>Risk_Analysis!A177</f>
        <v>44435</v>
      </c>
      <c r="B177" s="4">
        <f>B176 * EXP(Risk_Analysis!D177)</f>
        <v>1.2163330361725697</v>
      </c>
      <c r="C177" s="4">
        <f>C176 * EXP(Risk_Analysis!E177)</f>
        <v>1.0979009774074655</v>
      </c>
    </row>
    <row r="178" spans="1:3" x14ac:dyDescent="0.25">
      <c r="A178" s="1">
        <f>Risk_Analysis!A178</f>
        <v>44438</v>
      </c>
      <c r="B178" s="4">
        <f>B177 * EXP(Risk_Analysis!D178)</f>
        <v>1.2216819299240893</v>
      </c>
      <c r="C178" s="4">
        <f>C177 * EXP(Risk_Analysis!E178)</f>
        <v>1.0995032847300101</v>
      </c>
    </row>
    <row r="179" spans="1:3" x14ac:dyDescent="0.25">
      <c r="A179" s="1">
        <f>Risk_Analysis!A179</f>
        <v>44439</v>
      </c>
      <c r="B179" s="4">
        <f>B178 * EXP(Risk_Analysis!D179)</f>
        <v>1.2198719507253428</v>
      </c>
      <c r="C179" s="4">
        <f>C178 * EXP(Risk_Analysis!E179)</f>
        <v>1.0982214388719747</v>
      </c>
    </row>
    <row r="180" spans="1:3" x14ac:dyDescent="0.25">
      <c r="A180" s="1">
        <f>Risk_Analysis!A180</f>
        <v>44440</v>
      </c>
      <c r="B180" s="4">
        <f>B179 * EXP(Risk_Analysis!D180)</f>
        <v>1.220520301483103</v>
      </c>
      <c r="C180" s="4">
        <f>C179 * EXP(Risk_Analysis!E180)</f>
        <v>1.1126422047748747</v>
      </c>
    </row>
    <row r="181" spans="1:3" x14ac:dyDescent="0.25">
      <c r="A181" s="1">
        <f>Risk_Analysis!A181</f>
        <v>44441</v>
      </c>
      <c r="B181" s="4">
        <f>B180 * EXP(Risk_Analysis!D181)</f>
        <v>1.2242753329551295</v>
      </c>
      <c r="C181" s="4">
        <f>C180 * EXP(Risk_Analysis!E181)</f>
        <v>1.1227367409069049</v>
      </c>
    </row>
    <row r="182" spans="1:3" x14ac:dyDescent="0.25">
      <c r="A182" s="1">
        <f>Risk_Analysis!A182</f>
        <v>44442</v>
      </c>
      <c r="B182" s="4">
        <f>B181 * EXP(Risk_Analysis!D182)</f>
        <v>1.223978172191156</v>
      </c>
      <c r="C182" s="4">
        <f>C181 * EXP(Risk_Analysis!E182)</f>
        <v>1.1134433584361469</v>
      </c>
    </row>
    <row r="183" spans="1:3" x14ac:dyDescent="0.25">
      <c r="A183" s="1">
        <f>Risk_Analysis!A183</f>
        <v>44446</v>
      </c>
      <c r="B183" s="4">
        <f>B182 * EXP(Risk_Analysis!D183)</f>
        <v>1.2196018045762764</v>
      </c>
      <c r="C183" s="4">
        <f>C182 * EXP(Risk_Analysis!E183)</f>
        <v>1.0987021310687377</v>
      </c>
    </row>
    <row r="184" spans="1:3" x14ac:dyDescent="0.25">
      <c r="A184" s="1">
        <f>Risk_Analysis!A184</f>
        <v>44447</v>
      </c>
      <c r="B184" s="4">
        <f>B183 * EXP(Risk_Analysis!D184)</f>
        <v>1.21811600075641</v>
      </c>
      <c r="C184" s="4">
        <f>C183 * EXP(Risk_Analysis!E184)</f>
        <v>1.1184105111360347</v>
      </c>
    </row>
    <row r="185" spans="1:3" x14ac:dyDescent="0.25">
      <c r="A185" s="1">
        <f>Risk_Analysis!A185</f>
        <v>44448</v>
      </c>
      <c r="B185" s="4">
        <f>B184 * EXP(Risk_Analysis!D185)</f>
        <v>1.2129021800794237</v>
      </c>
      <c r="C185" s="4">
        <f>C184 * EXP(Risk_Analysis!E185)</f>
        <v>1.1123217433103658</v>
      </c>
    </row>
    <row r="186" spans="1:3" x14ac:dyDescent="0.25">
      <c r="A186" s="1">
        <f>Risk_Analysis!A186</f>
        <v>44449</v>
      </c>
      <c r="B186" s="4">
        <f>B185 * EXP(Risk_Analysis!D186)</f>
        <v>1.2033390064024645</v>
      </c>
      <c r="C186" s="4">
        <f>C185 * EXP(Risk_Analysis!E186)</f>
        <v>1.0967793622816846</v>
      </c>
    </row>
    <row r="187" spans="1:3" x14ac:dyDescent="0.25">
      <c r="A187" s="1">
        <f>Risk_Analysis!A187</f>
        <v>44452</v>
      </c>
      <c r="B187" s="4">
        <f>B186 * EXP(Risk_Analysis!D187)</f>
        <v>1.2064186725018242</v>
      </c>
      <c r="C187" s="4">
        <f>C186 * EXP(Risk_Analysis!E187)</f>
        <v>1.0948565934946313</v>
      </c>
    </row>
    <row r="188" spans="1:3" x14ac:dyDescent="0.25">
      <c r="A188" s="1">
        <f>Risk_Analysis!A188</f>
        <v>44453</v>
      </c>
      <c r="B188" s="4">
        <f>B187 * EXP(Risk_Analysis!D188)</f>
        <v>1.1999081503093181</v>
      </c>
      <c r="C188" s="4">
        <f>C187 * EXP(Risk_Analysis!E188)</f>
        <v>1.091171286652779</v>
      </c>
    </row>
    <row r="189" spans="1:3" x14ac:dyDescent="0.25">
      <c r="A189" s="1">
        <f>Risk_Analysis!A189</f>
        <v>44454</v>
      </c>
      <c r="B189" s="4">
        <f>B188 * EXP(Risk_Analysis!D189)</f>
        <v>1.2099305724396905</v>
      </c>
      <c r="C189" s="4">
        <f>C188 * EXP(Risk_Analysis!E189)</f>
        <v>1.0897292100624891</v>
      </c>
    </row>
    <row r="190" spans="1:3" x14ac:dyDescent="0.25">
      <c r="A190" s="1">
        <f>Risk_Analysis!A190</f>
        <v>44455</v>
      </c>
      <c r="B190" s="4">
        <f>B189 * EXP(Risk_Analysis!D190)</f>
        <v>1.2080125347813173</v>
      </c>
      <c r="C190" s="4">
        <f>C189 * EXP(Risk_Analysis!E190)</f>
        <v>1.0805960583239855</v>
      </c>
    </row>
    <row r="191" spans="1:3" x14ac:dyDescent="0.25">
      <c r="A191" s="1">
        <f>Risk_Analysis!A191</f>
        <v>44456</v>
      </c>
      <c r="B191" s="4">
        <f>B190 * EXP(Risk_Analysis!D191)</f>
        <v>1.1924251019801717</v>
      </c>
      <c r="C191" s="4">
        <f>C190 * EXP(Risk_Analysis!E191)</f>
        <v>1.0639320621695232</v>
      </c>
    </row>
    <row r="192" spans="1:3" x14ac:dyDescent="0.25">
      <c r="A192" s="1">
        <f>Risk_Analysis!A192</f>
        <v>44459</v>
      </c>
      <c r="B192" s="4">
        <f>B191 * EXP(Risk_Analysis!D192)</f>
        <v>1.1725423454088668</v>
      </c>
      <c r="C192" s="4">
        <f>C191 * EXP(Risk_Analysis!E192)</f>
        <v>1.0539977567697474</v>
      </c>
    </row>
    <row r="193" spans="1:3" x14ac:dyDescent="0.25">
      <c r="A193" s="1">
        <f>Risk_Analysis!A193</f>
        <v>44460</v>
      </c>
      <c r="B193" s="4">
        <f>B192 * EXP(Risk_Analysis!D193)</f>
        <v>1.1714347461976935</v>
      </c>
      <c r="C193" s="4">
        <f>C192 * EXP(Risk_Analysis!E193)</f>
        <v>1.0511136035891673</v>
      </c>
    </row>
    <row r="194" spans="1:3" x14ac:dyDescent="0.25">
      <c r="A194" s="1">
        <f>Risk_Analysis!A194</f>
        <v>44461</v>
      </c>
      <c r="B194" s="4">
        <f>B193 * EXP(Risk_Analysis!D194)</f>
        <v>1.1828619283032127</v>
      </c>
      <c r="C194" s="4">
        <f>C193 * EXP(Risk_Analysis!E194)</f>
        <v>1.0504726806601496</v>
      </c>
    </row>
    <row r="195" spans="1:3" x14ac:dyDescent="0.25">
      <c r="A195" s="1">
        <f>Risk_Analysis!A195</f>
        <v>44462</v>
      </c>
      <c r="B195" s="4">
        <f>B194 * EXP(Risk_Analysis!D195)</f>
        <v>1.1972337034335583</v>
      </c>
      <c r="C195" s="4">
        <f>C194 * EXP(Risk_Analysis!E195)</f>
        <v>1.0448646050312438</v>
      </c>
    </row>
    <row r="196" spans="1:3" x14ac:dyDescent="0.25">
      <c r="A196" s="1">
        <f>Risk_Analysis!A196</f>
        <v>44463</v>
      </c>
      <c r="B196" s="4">
        <f>B195 * EXP(Risk_Analysis!D196)</f>
        <v>1.1992057703217447</v>
      </c>
      <c r="C196" s="4">
        <f>C195 * EXP(Risk_Analysis!E196)</f>
        <v>1.0437429899054627</v>
      </c>
    </row>
    <row r="197" spans="1:3" x14ac:dyDescent="0.25">
      <c r="A197" s="1">
        <f>Risk_Analysis!A197</f>
        <v>44466</v>
      </c>
      <c r="B197" s="4">
        <f>B196 * EXP(Risk_Analysis!D197)</f>
        <v>1.1957749142285983</v>
      </c>
      <c r="C197" s="4">
        <f>C196 * EXP(Risk_Analysis!E197)</f>
        <v>1.0314052235218703</v>
      </c>
    </row>
    <row r="198" spans="1:3" x14ac:dyDescent="0.25">
      <c r="A198" s="1">
        <f>Risk_Analysis!A198</f>
        <v>44467</v>
      </c>
      <c r="B198" s="4">
        <f>B197 * EXP(Risk_Analysis!D198)</f>
        <v>1.1716778777318537</v>
      </c>
      <c r="C198" s="4">
        <f>C197 * EXP(Risk_Analysis!E198)</f>
        <v>1.01842653420926</v>
      </c>
    </row>
    <row r="199" spans="1:3" x14ac:dyDescent="0.25">
      <c r="A199" s="1">
        <f>Risk_Analysis!A199</f>
        <v>44468</v>
      </c>
      <c r="B199" s="4">
        <f>B198 * EXP(Risk_Analysis!D199)</f>
        <v>1.1736499446200401</v>
      </c>
      <c r="C199" s="4">
        <f>C198 * EXP(Risk_Analysis!E199)</f>
        <v>1.031725684986379</v>
      </c>
    </row>
    <row r="200" spans="1:3" x14ac:dyDescent="0.25">
      <c r="A200" s="1">
        <f>Risk_Analysis!A200</f>
        <v>44469</v>
      </c>
      <c r="B200" s="4">
        <f>B199 * EXP(Risk_Analysis!D200)</f>
        <v>1.1593051841046014</v>
      </c>
      <c r="C200" s="4">
        <f>C199 * EXP(Risk_Analysis!E200)</f>
        <v>1.0235539176414024</v>
      </c>
    </row>
    <row r="201" spans="1:3" x14ac:dyDescent="0.25">
      <c r="A201" s="1">
        <f>Risk_Analysis!A201</f>
        <v>44470</v>
      </c>
      <c r="B201" s="4">
        <f>B200 * EXP(Risk_Analysis!D201)</f>
        <v>1.1730826377070003</v>
      </c>
      <c r="C201" s="4">
        <f>C200 * EXP(Risk_Analysis!E201)</f>
        <v>1.0235539176414024</v>
      </c>
    </row>
    <row r="202" spans="1:3" x14ac:dyDescent="0.25">
      <c r="A202" s="1">
        <f>Risk_Analysis!A202</f>
        <v>44473</v>
      </c>
      <c r="B202" s="4">
        <f>B201 * EXP(Risk_Analysis!D202)</f>
        <v>1.1579544533592681</v>
      </c>
      <c r="C202" s="4">
        <f>C201 * EXP(Risk_Analysis!E202)</f>
        <v>1.0376542220797935</v>
      </c>
    </row>
    <row r="203" spans="1:3" x14ac:dyDescent="0.25">
      <c r="A203" s="1">
        <f>Risk_Analysis!A203</f>
        <v>44474</v>
      </c>
      <c r="B203" s="4">
        <f>B202 * EXP(Risk_Analysis!D203)</f>
        <v>1.1700029716076406</v>
      </c>
      <c r="C203" s="4">
        <f>C202 * EXP(Risk_Analysis!E203)</f>
        <v>1.0350905303637221</v>
      </c>
    </row>
    <row r="204" spans="1:3" x14ac:dyDescent="0.25">
      <c r="A204" s="1">
        <f>Risk_Analysis!A204</f>
        <v>44475</v>
      </c>
      <c r="B204" s="4">
        <f>B203 * EXP(Risk_Analysis!D204)</f>
        <v>1.1748656022908401</v>
      </c>
      <c r="C204" s="4">
        <f>C203 * EXP(Risk_Analysis!E204)</f>
        <v>1.0511136035891666</v>
      </c>
    </row>
    <row r="205" spans="1:3" x14ac:dyDescent="0.25">
      <c r="A205" s="1">
        <f>Risk_Analysis!A205</f>
        <v>44476</v>
      </c>
      <c r="B205" s="4">
        <f>B204 * EXP(Risk_Analysis!D205)</f>
        <v>1.1850230974957461</v>
      </c>
      <c r="C205" s="4">
        <f>C204 * EXP(Risk_Analysis!E205)</f>
        <v>1.045505527960261</v>
      </c>
    </row>
    <row r="206" spans="1:3" x14ac:dyDescent="0.25">
      <c r="A206" s="1">
        <f>Risk_Analysis!A206</f>
        <v>44477</v>
      </c>
      <c r="B206" s="4">
        <f>B205 * EXP(Risk_Analysis!D206)</f>
        <v>1.1828619283032129</v>
      </c>
      <c r="C206" s="4">
        <f>C205 * EXP(Risk_Analysis!E206)</f>
        <v>1.0378144528120474</v>
      </c>
    </row>
    <row r="207" spans="1:3" x14ac:dyDescent="0.25">
      <c r="A207" s="1">
        <f>Risk_Analysis!A207</f>
        <v>44480</v>
      </c>
      <c r="B207" s="4">
        <f>B206 * EXP(Risk_Analysis!D207)</f>
        <v>1.1742982953778003</v>
      </c>
      <c r="C207" s="4">
        <f>C206 * EXP(Risk_Analysis!E207)</f>
        <v>1.0237141483736563</v>
      </c>
    </row>
    <row r="208" spans="1:3" x14ac:dyDescent="0.25">
      <c r="A208" s="1">
        <f>Risk_Analysis!A208</f>
        <v>44481</v>
      </c>
      <c r="B208" s="4">
        <f>B207 * EXP(Risk_Analysis!D208)</f>
        <v>1.1714077315827873</v>
      </c>
      <c r="C208" s="4">
        <f>C207 * EXP(Risk_Analysis!E208)</f>
        <v>1.0306040698605972</v>
      </c>
    </row>
    <row r="209" spans="1:3" x14ac:dyDescent="0.25">
      <c r="A209" s="1">
        <f>Risk_Analysis!A209</f>
        <v>44482</v>
      </c>
      <c r="B209" s="4">
        <f>B208 * EXP(Risk_Analysis!D209)</f>
        <v>1.175622011508227</v>
      </c>
      <c r="C209" s="4">
        <f>C208 * EXP(Risk_Analysis!E209)</f>
        <v>1.0426213747796806</v>
      </c>
    </row>
    <row r="210" spans="1:3" x14ac:dyDescent="0.25">
      <c r="A210" s="1">
        <f>Risk_Analysis!A210</f>
        <v>44483</v>
      </c>
      <c r="B210" s="4">
        <f>B209 * EXP(Risk_Analysis!D210)</f>
        <v>1.1953967096199054</v>
      </c>
      <c r="C210" s="4">
        <f>C209 * EXP(Risk_Analysis!E210)</f>
        <v>1.0554398333600363</v>
      </c>
    </row>
    <row r="211" spans="1:3" x14ac:dyDescent="0.25">
      <c r="A211" s="1">
        <f>Risk_Analysis!A211</f>
        <v>44484</v>
      </c>
      <c r="B211" s="4">
        <f>B210 * EXP(Risk_Analysis!D211)</f>
        <v>1.2045006348434515</v>
      </c>
      <c r="C211" s="4">
        <f>C210 * EXP(Risk_Analysis!E211)</f>
        <v>1.0523954494472019</v>
      </c>
    </row>
    <row r="212" spans="1:3" x14ac:dyDescent="0.25">
      <c r="A212" s="1">
        <f>Risk_Analysis!A212</f>
        <v>44487</v>
      </c>
      <c r="B212" s="4">
        <f>B211 * EXP(Risk_Analysis!D212)</f>
        <v>1.2080665640111312</v>
      </c>
      <c r="C212" s="4">
        <f>C211 * EXP(Risk_Analysis!E212)</f>
        <v>1.0423009133151717</v>
      </c>
    </row>
    <row r="213" spans="1:3" x14ac:dyDescent="0.25">
      <c r="A213" s="1">
        <f>Risk_Analysis!A213</f>
        <v>44488</v>
      </c>
      <c r="B213" s="4">
        <f>B212 * EXP(Risk_Analysis!D213)</f>
        <v>1.2173866061539305</v>
      </c>
      <c r="C213" s="4">
        <f>C212 * EXP(Risk_Analysis!E213)</f>
        <v>1.0554398333600366</v>
      </c>
    </row>
    <row r="214" spans="1:3" x14ac:dyDescent="0.25">
      <c r="A214" s="1">
        <f>Risk_Analysis!A214</f>
        <v>44489</v>
      </c>
      <c r="B214" s="4">
        <f>B213 * EXP(Risk_Analysis!D214)</f>
        <v>1.2221681929924102</v>
      </c>
      <c r="C214" s="4">
        <f>C213 * EXP(Risk_Analysis!E214)</f>
        <v>1.0721038295144989</v>
      </c>
    </row>
    <row r="215" spans="1:3" x14ac:dyDescent="0.25">
      <c r="A215" s="1">
        <f>Risk_Analysis!A215</f>
        <v>44490</v>
      </c>
      <c r="B215" s="4">
        <f>B214 * EXP(Risk_Analysis!D215)</f>
        <v>1.2253559175513966</v>
      </c>
      <c r="C215" s="4">
        <f>C214 * EXP(Risk_Analysis!E215)</f>
        <v>1.0721038295144989</v>
      </c>
    </row>
    <row r="216" spans="1:3" x14ac:dyDescent="0.25">
      <c r="A216" s="1">
        <f>Risk_Analysis!A216</f>
        <v>44491</v>
      </c>
      <c r="B216" s="4">
        <f>B215 * EXP(Risk_Analysis!D216)</f>
        <v>1.2240862306507836</v>
      </c>
      <c r="C216" s="4">
        <f>C215 * EXP(Risk_Analysis!E216)</f>
        <v>1.0775516744111502</v>
      </c>
    </row>
    <row r="217" spans="1:3" x14ac:dyDescent="0.25">
      <c r="A217" s="1">
        <f>Risk_Analysis!A217</f>
        <v>44494</v>
      </c>
      <c r="B217" s="4">
        <f>B216 * EXP(Risk_Analysis!D217)</f>
        <v>1.230650782073103</v>
      </c>
      <c r="C217" s="4">
        <f>C216 * EXP(Risk_Analysis!E217)</f>
        <v>1.0729049831757711</v>
      </c>
    </row>
    <row r="218" spans="1:3" x14ac:dyDescent="0.25">
      <c r="A218" s="1">
        <f>Risk_Analysis!A218</f>
        <v>44495</v>
      </c>
      <c r="B218" s="4">
        <f>B217 * EXP(Risk_Analysis!D218)</f>
        <v>1.2317583812842761</v>
      </c>
      <c r="C218" s="4">
        <f>C217 * EXP(Risk_Analysis!E218)</f>
        <v>1.0786732895369311</v>
      </c>
    </row>
    <row r="219" spans="1:3" x14ac:dyDescent="0.25">
      <c r="A219" s="1">
        <f>Risk_Analysis!A219</f>
        <v>44496</v>
      </c>
      <c r="B219" s="4">
        <f>B218 * EXP(Risk_Analysis!D219)</f>
        <v>1.2263014290731298</v>
      </c>
      <c r="C219" s="4">
        <f>C218 * EXP(Risk_Analysis!E219)</f>
        <v>1.0714629065854813</v>
      </c>
    </row>
    <row r="220" spans="1:3" x14ac:dyDescent="0.25">
      <c r="A220" s="1">
        <f>Risk_Analysis!A220</f>
        <v>44497</v>
      </c>
      <c r="B220" s="4">
        <f>B219 * EXP(Risk_Analysis!D220)</f>
        <v>1.2381338304022489</v>
      </c>
      <c r="C220" s="4">
        <f>C219 * EXP(Risk_Analysis!E220)</f>
        <v>1.078513058804677</v>
      </c>
    </row>
    <row r="221" spans="1:3" x14ac:dyDescent="0.25">
      <c r="A221" s="1">
        <f>Risk_Analysis!A221</f>
        <v>44498</v>
      </c>
      <c r="B221" s="4">
        <f>B220 * EXP(Risk_Analysis!D221)</f>
        <v>1.2406461895885688</v>
      </c>
      <c r="C221" s="4">
        <f>C220 * EXP(Risk_Analysis!E221)</f>
        <v>1.0721038295144989</v>
      </c>
    </row>
    <row r="222" spans="1:3" x14ac:dyDescent="0.25">
      <c r="A222" s="1">
        <f>Risk_Analysis!A222</f>
        <v>44501</v>
      </c>
      <c r="B222" s="4">
        <f>B221 * EXP(Risk_Analysis!D222)</f>
        <v>1.2427803441661953</v>
      </c>
      <c r="C222" s="4">
        <f>C221 * EXP(Risk_Analysis!E222)</f>
        <v>1.0759493670886058</v>
      </c>
    </row>
    <row r="223" spans="1:3" x14ac:dyDescent="0.25">
      <c r="A223" s="1">
        <f>Risk_Analysis!A223</f>
        <v>44502</v>
      </c>
      <c r="B223" s="4">
        <f>B222 * EXP(Risk_Analysis!D223)</f>
        <v>1.2478050625388348</v>
      </c>
      <c r="C223" s="4">
        <f>C222 * EXP(Risk_Analysis!E223)</f>
        <v>1.0769107514821323</v>
      </c>
    </row>
    <row r="224" spans="1:3" x14ac:dyDescent="0.25">
      <c r="A224" s="1">
        <f>Risk_Analysis!A224</f>
        <v>44503</v>
      </c>
      <c r="B224" s="4">
        <f>B223 * EXP(Risk_Analysis!D224)</f>
        <v>1.2554231839425145</v>
      </c>
      <c r="C224" s="4">
        <f>C223 * EXP(Risk_Analysis!E224)</f>
        <v>1.0729049831757711</v>
      </c>
    </row>
    <row r="225" spans="1:3" x14ac:dyDescent="0.25">
      <c r="A225" s="1">
        <f>Risk_Analysis!A225</f>
        <v>44504</v>
      </c>
      <c r="B225" s="4">
        <f>B224 * EXP(Risk_Analysis!D225)</f>
        <v>1.261339384607074</v>
      </c>
      <c r="C225" s="4">
        <f>C224 * EXP(Risk_Analysis!E225)</f>
        <v>1.0669764460823568</v>
      </c>
    </row>
    <row r="226" spans="1:3" x14ac:dyDescent="0.25">
      <c r="A226" s="1">
        <f>Risk_Analysis!A226</f>
        <v>44505</v>
      </c>
      <c r="B226" s="4">
        <f>B225 * EXP(Risk_Analysis!D226)</f>
        <v>1.2657157522219533</v>
      </c>
      <c r="C226" s="4">
        <f>C225 * EXP(Risk_Analysis!E226)</f>
        <v>1.0770709822143867</v>
      </c>
    </row>
    <row r="227" spans="1:3" x14ac:dyDescent="0.25">
      <c r="A227" s="1">
        <f>Risk_Analysis!A227</f>
        <v>44508</v>
      </c>
      <c r="B227" s="4">
        <f>B226 * EXP(Risk_Analysis!D227)</f>
        <v>1.2667963368182198</v>
      </c>
      <c r="C227" s="4">
        <f>C226 * EXP(Risk_Analysis!E227)</f>
        <v>1.061047908988942</v>
      </c>
    </row>
    <row r="228" spans="1:3" x14ac:dyDescent="0.25">
      <c r="A228" s="1">
        <f>Risk_Analysis!A228</f>
        <v>44509</v>
      </c>
      <c r="B228" s="4">
        <f>B227 * EXP(Risk_Analysis!D228)</f>
        <v>1.2626090715076868</v>
      </c>
      <c r="C228" s="4">
        <f>C227 * EXP(Risk_Analysis!E228)</f>
        <v>1.066495753885593</v>
      </c>
    </row>
    <row r="229" spans="1:3" x14ac:dyDescent="0.25">
      <c r="A229" s="1">
        <f>Risk_Analysis!A229</f>
        <v>44510</v>
      </c>
      <c r="B229" s="4">
        <f>B228 * EXP(Risk_Analysis!D229)</f>
        <v>1.252451576302781</v>
      </c>
      <c r="C229" s="4">
        <f>C228 * EXP(Risk_Analysis!E229)</f>
        <v>1.0751482134273329</v>
      </c>
    </row>
    <row r="230" spans="1:3" x14ac:dyDescent="0.25">
      <c r="A230" s="1">
        <f>Risk_Analysis!A230</f>
        <v>44511</v>
      </c>
      <c r="B230" s="4">
        <f>B229 * EXP(Risk_Analysis!D230)</f>
        <v>1.252856795526381</v>
      </c>
      <c r="C230" s="4">
        <f>C229 * EXP(Risk_Analysis!E230)</f>
        <v>1.0685787534049007</v>
      </c>
    </row>
    <row r="231" spans="1:3" x14ac:dyDescent="0.25">
      <c r="A231" s="1">
        <f>Risk_Analysis!A231</f>
        <v>44512</v>
      </c>
      <c r="B231" s="4">
        <f>B230 * EXP(Risk_Analysis!D231)</f>
        <v>1.2623119107437135</v>
      </c>
      <c r="C231" s="4">
        <f>C230 * EXP(Risk_Analysis!E231)</f>
        <v>1.0679378304758831</v>
      </c>
    </row>
    <row r="232" spans="1:3" x14ac:dyDescent="0.25">
      <c r="A232" s="1">
        <f>Risk_Analysis!A232</f>
        <v>44515</v>
      </c>
      <c r="B232" s="4">
        <f>B231 * EXP(Risk_Analysis!D232)</f>
        <v>1.2627441445822203</v>
      </c>
      <c r="C232" s="4">
        <f>C231 * EXP(Risk_Analysis!E232)</f>
        <v>1.0820381349142743</v>
      </c>
    </row>
    <row r="233" spans="1:3" x14ac:dyDescent="0.25">
      <c r="A233" s="1">
        <f>Risk_Analysis!A233</f>
        <v>44516</v>
      </c>
      <c r="B233" s="4">
        <f>B232 * EXP(Risk_Analysis!D233)</f>
        <v>1.267741848339953</v>
      </c>
      <c r="C233" s="4">
        <f>C232 * EXP(Risk_Analysis!E233)</f>
        <v>1.0769107514821319</v>
      </c>
    </row>
    <row r="234" spans="1:3" x14ac:dyDescent="0.25">
      <c r="A234" s="1">
        <f>Risk_Analysis!A234</f>
        <v>44517</v>
      </c>
      <c r="B234" s="4">
        <f>B233 * EXP(Risk_Analysis!D234)</f>
        <v>1.2646621822405932</v>
      </c>
      <c r="C234" s="4">
        <f>C233 * EXP(Risk_Analysis!E234)</f>
        <v>1.0778721358756587</v>
      </c>
    </row>
    <row r="235" spans="1:3" x14ac:dyDescent="0.25">
      <c r="A235" s="1">
        <f>Risk_Analysis!A235</f>
        <v>44518</v>
      </c>
      <c r="B235" s="4">
        <f>B234 * EXP(Risk_Analysis!D235)</f>
        <v>1.268957506010753</v>
      </c>
      <c r="C235" s="4">
        <f>C234 * EXP(Risk_Analysis!E235)</f>
        <v>1.0722640602467532</v>
      </c>
    </row>
    <row r="236" spans="1:3" x14ac:dyDescent="0.25">
      <c r="A236" s="1">
        <f>Risk_Analysis!A236</f>
        <v>44519</v>
      </c>
      <c r="B236" s="4">
        <f>B235 * EXP(Risk_Analysis!D236)</f>
        <v>1.2666882783585931</v>
      </c>
      <c r="C236" s="4">
        <f>C235 * EXP(Risk_Analysis!E236)</f>
        <v>1.0783528280724222</v>
      </c>
    </row>
    <row r="237" spans="1:3" x14ac:dyDescent="0.25">
      <c r="A237" s="1">
        <f>Risk_Analysis!A237</f>
        <v>44522</v>
      </c>
      <c r="B237" s="4">
        <f>B236 * EXP(Risk_Analysis!D237)</f>
        <v>1.2631223491909134</v>
      </c>
      <c r="C237" s="4">
        <f>C236 * EXP(Risk_Analysis!E237)</f>
        <v>1.0849222880948544</v>
      </c>
    </row>
    <row r="238" spans="1:3" x14ac:dyDescent="0.25">
      <c r="A238" s="1">
        <f>Risk_Analysis!A238</f>
        <v>44523</v>
      </c>
      <c r="B238" s="4">
        <f>B237 * EXP(Risk_Analysis!D238)</f>
        <v>1.2647972553151265</v>
      </c>
      <c r="C238" s="4">
        <f>C237 * EXP(Risk_Analysis!E238)</f>
        <v>1.0860439032206355</v>
      </c>
    </row>
    <row r="239" spans="1:3" x14ac:dyDescent="0.25">
      <c r="A239" s="1">
        <f>Risk_Analysis!A239</f>
        <v>44524</v>
      </c>
      <c r="B239" s="4">
        <f>B238 * EXP(Risk_Analysis!D239)</f>
        <v>1.2681740821784595</v>
      </c>
      <c r="C239" s="4">
        <f>C238 * EXP(Risk_Analysis!E239)</f>
        <v>1.0866848261496531</v>
      </c>
    </row>
    <row r="240" spans="1:3" x14ac:dyDescent="0.25">
      <c r="A240" s="1">
        <f>Risk_Analysis!A240</f>
        <v>44526</v>
      </c>
      <c r="B240" s="4">
        <f>B239 * EXP(Risk_Analysis!D240)</f>
        <v>1.2398897803711819</v>
      </c>
      <c r="C240" s="4">
        <f>C239 * EXP(Risk_Analysis!E240)</f>
        <v>1.0697003685306821</v>
      </c>
    </row>
    <row r="241" spans="1:3" x14ac:dyDescent="0.25">
      <c r="A241" s="1">
        <f>Risk_Analysis!A241</f>
        <v>44529</v>
      </c>
      <c r="B241" s="4">
        <f>B240 * EXP(Risk_Analysis!D241)</f>
        <v>1.2550990085636342</v>
      </c>
      <c r="C241" s="4">
        <f>C240 * EXP(Risk_Analysis!E241)</f>
        <v>1.085563211023872</v>
      </c>
    </row>
    <row r="242" spans="1:3" x14ac:dyDescent="0.25">
      <c r="A242" s="1">
        <f>Risk_Analysis!A242</f>
        <v>44530</v>
      </c>
      <c r="B242" s="4">
        <f>B241 * EXP(Risk_Analysis!D242)</f>
        <v>1.2306777966880094</v>
      </c>
      <c r="C242" s="4">
        <f>C241 * EXP(Risk_Analysis!E242)</f>
        <v>1.0538375260374917</v>
      </c>
    </row>
    <row r="243" spans="1:3" x14ac:dyDescent="0.25">
      <c r="A243" s="1">
        <f>Risk_Analysis!A243</f>
        <v>44531</v>
      </c>
      <c r="B243" s="4">
        <f>B242 * EXP(Risk_Analysis!D243)</f>
        <v>1.2170084015452372</v>
      </c>
      <c r="C243" s="4">
        <f>C242 * EXP(Risk_Analysis!E243)</f>
        <v>1.0557602948245453</v>
      </c>
    </row>
    <row r="244" spans="1:3" x14ac:dyDescent="0.25">
      <c r="A244" s="1">
        <f>Risk_Analysis!A244</f>
        <v>44532</v>
      </c>
      <c r="B244" s="4">
        <f>B243 * EXP(Risk_Analysis!D244)</f>
        <v>1.2356484858308354</v>
      </c>
      <c r="C244" s="4">
        <f>C243 * EXP(Risk_Analysis!E244)</f>
        <v>1.0692196763339188</v>
      </c>
    </row>
    <row r="245" spans="1:3" x14ac:dyDescent="0.25">
      <c r="A245" s="1">
        <f>Risk_Analysis!A245</f>
        <v>44533</v>
      </c>
      <c r="B245" s="4">
        <f>B244 * EXP(Risk_Analysis!D245)</f>
        <v>1.224896669097983</v>
      </c>
      <c r="C245" s="4">
        <f>C244 * EXP(Risk_Analysis!E245)</f>
        <v>1.0799551353949668</v>
      </c>
    </row>
    <row r="246" spans="1:3" x14ac:dyDescent="0.25">
      <c r="A246" s="1">
        <f>Risk_Analysis!A246</f>
        <v>44536</v>
      </c>
      <c r="B246" s="4">
        <f>B245 * EXP(Risk_Analysis!D246)</f>
        <v>1.2394035173028619</v>
      </c>
      <c r="C246" s="4">
        <f>C245 * EXP(Risk_Analysis!E246)</f>
        <v>1.0964589008171748</v>
      </c>
    </row>
    <row r="247" spans="1:3" x14ac:dyDescent="0.25">
      <c r="A247" s="1">
        <f>Risk_Analysis!A247</f>
        <v>44537</v>
      </c>
      <c r="B247" s="4">
        <f>B246 * EXP(Risk_Analysis!D247)</f>
        <v>1.2650403868492865</v>
      </c>
      <c r="C247" s="4">
        <f>C246 * EXP(Risk_Analysis!E247)</f>
        <v>1.1046306681621514</v>
      </c>
    </row>
    <row r="248" spans="1:3" x14ac:dyDescent="0.25">
      <c r="A248" s="1">
        <f>Risk_Analysis!A248</f>
        <v>44538</v>
      </c>
      <c r="B248" s="4">
        <f>B247 * EXP(Risk_Analysis!D248)</f>
        <v>1.2683901990977131</v>
      </c>
      <c r="C248" s="4">
        <f>C247 * EXP(Risk_Analysis!E248)</f>
        <v>1.1035090530363705</v>
      </c>
    </row>
    <row r="249" spans="1:3" x14ac:dyDescent="0.25">
      <c r="A249" s="1">
        <f>Risk_Analysis!A249</f>
        <v>44539</v>
      </c>
      <c r="B249" s="4">
        <f>B248 * EXP(Risk_Analysis!D249)</f>
        <v>1.2598265661723005</v>
      </c>
      <c r="C249" s="4">
        <f>C248 * EXP(Risk_Analysis!E249)</f>
        <v>1.1020669764460804</v>
      </c>
    </row>
    <row r="250" spans="1:3" x14ac:dyDescent="0.25">
      <c r="A250" s="1">
        <f>Risk_Analysis!A250</f>
        <v>44540</v>
      </c>
      <c r="B250" s="4">
        <f>B249 * EXP(Risk_Analysis!D250)</f>
        <v>1.2716859821163262</v>
      </c>
      <c r="C250" s="4">
        <f>C249 * EXP(Risk_Analysis!E250)</f>
        <v>1.107995513539495</v>
      </c>
    </row>
    <row r="251" spans="1:3" x14ac:dyDescent="0.25">
      <c r="A251" s="1">
        <f>Risk_Analysis!A251</f>
        <v>44543</v>
      </c>
      <c r="B251" s="4">
        <f>B250 * EXP(Risk_Analysis!D251)</f>
        <v>1.2604208877002472</v>
      </c>
      <c r="C251" s="4">
        <f>C250 * EXP(Risk_Analysis!E251)</f>
        <v>1.1216151257811227</v>
      </c>
    </row>
    <row r="252" spans="1:3" x14ac:dyDescent="0.25">
      <c r="A252" s="1">
        <f>Risk_Analysis!A252</f>
        <v>44544</v>
      </c>
      <c r="B252" s="4">
        <f>B251 * EXP(Risk_Analysis!D252)</f>
        <v>1.2517491963152079</v>
      </c>
      <c r="C252" s="4">
        <f>C251 * EXP(Risk_Analysis!E252)</f>
        <v>1.1148854350264359</v>
      </c>
    </row>
    <row r="253" spans="1:3" x14ac:dyDescent="0.25">
      <c r="A253" s="1">
        <f>Risk_Analysis!A253</f>
        <v>44545</v>
      </c>
      <c r="B253" s="4">
        <f>B252 * EXP(Risk_Analysis!D253)</f>
        <v>1.2713077775076329</v>
      </c>
      <c r="C253" s="4">
        <f>C252 * EXP(Risk_Analysis!E253)</f>
        <v>1.1331517385034426</v>
      </c>
    </row>
    <row r="254" spans="1:3" x14ac:dyDescent="0.25">
      <c r="A254" s="1">
        <f>Risk_Analysis!A254</f>
        <v>44546</v>
      </c>
      <c r="B254" s="4">
        <f>B253 * EXP(Risk_Analysis!D254)</f>
        <v>1.2600967123213671</v>
      </c>
      <c r="C254" s="4">
        <f>C253 * EXP(Risk_Analysis!E254)</f>
        <v>1.1389200448646026</v>
      </c>
    </row>
    <row r="255" spans="1:3" x14ac:dyDescent="0.25">
      <c r="A255" s="1">
        <f>Risk_Analysis!A255</f>
        <v>44547</v>
      </c>
      <c r="B255" s="4">
        <f>B254 * EXP(Risk_Analysis!D255)</f>
        <v>1.2423210957127819</v>
      </c>
      <c r="C255" s="4">
        <f>C254 * EXP(Risk_Analysis!E255)</f>
        <v>1.121775356513377</v>
      </c>
    </row>
    <row r="256" spans="1:3" x14ac:dyDescent="0.25">
      <c r="A256" s="1">
        <f>Risk_Analysis!A256</f>
        <v>44550</v>
      </c>
      <c r="B256" s="4">
        <f>B255 * EXP(Risk_Analysis!D256)</f>
        <v>1.2291109490234229</v>
      </c>
      <c r="C256" s="4">
        <f>C255 * EXP(Risk_Analysis!E256)</f>
        <v>1.1140842813651635</v>
      </c>
    </row>
    <row r="257" spans="1:3" x14ac:dyDescent="0.25">
      <c r="A257" s="1">
        <f>Risk_Analysis!A257</f>
        <v>44551</v>
      </c>
      <c r="B257" s="4">
        <f>B256 * EXP(Risk_Analysis!D257)</f>
        <v>1.2509387578680078</v>
      </c>
      <c r="C257" s="4">
        <f>C256 * EXP(Risk_Analysis!E257)</f>
        <v>1.1124819740426191</v>
      </c>
    </row>
    <row r="258" spans="1:3" x14ac:dyDescent="0.25">
      <c r="A258" s="1">
        <f>Risk_Analysis!A258</f>
        <v>44552</v>
      </c>
      <c r="B258" s="4">
        <f>B257 * EXP(Risk_Analysis!D258)</f>
        <v>1.2634465245697932</v>
      </c>
      <c r="C258" s="4">
        <f>C257 * EXP(Risk_Analysis!E258)</f>
        <v>1.1172888960102525</v>
      </c>
    </row>
    <row r="259" spans="1:3" x14ac:dyDescent="0.25">
      <c r="A259" s="1">
        <f>Risk_Analysis!A259</f>
        <v>44553</v>
      </c>
      <c r="B259" s="4">
        <f>B258 * EXP(Risk_Analysis!D259)</f>
        <v>1.2713077775076327</v>
      </c>
      <c r="C259" s="4">
        <f>C258 * EXP(Risk_Analysis!E259)</f>
        <v>1.1171286652779979</v>
      </c>
    </row>
    <row r="260" spans="1:3" x14ac:dyDescent="0.25">
      <c r="A260" s="1">
        <f>Risk_Analysis!A260</f>
        <v>44557</v>
      </c>
      <c r="B260" s="4">
        <f>B259 * EXP(Risk_Analysis!D260)</f>
        <v>1.289299511035471</v>
      </c>
      <c r="C260" s="4">
        <f>C259 * EXP(Risk_Analysis!E260)</f>
        <v>1.1225765101746492</v>
      </c>
    </row>
    <row r="261" spans="1:3" x14ac:dyDescent="0.25">
      <c r="A261" s="1">
        <f>Risk_Analysis!A261</f>
        <v>44558</v>
      </c>
      <c r="B261" s="4">
        <f>B260 * EXP(Risk_Analysis!D261)</f>
        <v>1.2882459410541112</v>
      </c>
      <c r="C261" s="4">
        <f>C260 * EXP(Risk_Analysis!E261)</f>
        <v>1.1326710463066794</v>
      </c>
    </row>
    <row r="262" spans="1:3" x14ac:dyDescent="0.25">
      <c r="A262" s="1">
        <f>Risk_Analysis!A262</f>
        <v>44559</v>
      </c>
      <c r="B262" s="4">
        <f>B261 * EXP(Risk_Analysis!D262)</f>
        <v>1.2898938325634177</v>
      </c>
      <c r="C262" s="4">
        <f>C261 * EXP(Risk_Analysis!E262)</f>
        <v>1.1387598141323483</v>
      </c>
    </row>
    <row r="263" spans="1:3" x14ac:dyDescent="0.25">
      <c r="A263" s="1">
        <f>Risk_Analysis!A263</f>
        <v>44560</v>
      </c>
      <c r="B263" s="4">
        <f>B262 * EXP(Risk_Analysis!D263)</f>
        <v>1.286327903395738</v>
      </c>
      <c r="C263" s="4">
        <f>C262 * EXP(Risk_Analysis!E263)</f>
        <v>1.1429258131709641</v>
      </c>
    </row>
    <row r="264" spans="1:3" x14ac:dyDescent="0.25">
      <c r="A264" s="1">
        <f>Risk_Analysis!A264</f>
        <v>44561</v>
      </c>
      <c r="B264" s="4">
        <f>B263 * EXP(Risk_Analysis!D264)</f>
        <v>1.2830861496069381</v>
      </c>
      <c r="C264" s="4">
        <f>C263 * EXP(Risk_Analysis!E264)</f>
        <v>1.1469315814773251</v>
      </c>
    </row>
    <row r="265" spans="1:3" x14ac:dyDescent="0.25">
      <c r="A265" s="1">
        <f>Risk_Analysis!A265</f>
        <v>44564</v>
      </c>
      <c r="B265" s="4">
        <f>B264 * EXP(Risk_Analysis!D265)</f>
        <v>1.2905151687062708</v>
      </c>
      <c r="C265" s="4">
        <f>C264 * EXP(Risk_Analysis!E265)</f>
        <v>1.1355551994872595</v>
      </c>
    </row>
    <row r="266" spans="1:3" x14ac:dyDescent="0.25">
      <c r="A266" s="1">
        <f>Risk_Analysis!A266</f>
        <v>44565</v>
      </c>
      <c r="B266" s="4">
        <f>B265 * EXP(Risk_Analysis!D266)</f>
        <v>1.2900829348677643</v>
      </c>
      <c r="C266" s="4">
        <f>C265 * EXP(Risk_Analysis!E266)</f>
        <v>1.1320301233776617</v>
      </c>
    </row>
    <row r="267" spans="1:3" x14ac:dyDescent="0.25">
      <c r="A267" s="1">
        <f>Risk_Analysis!A267</f>
        <v>44566</v>
      </c>
      <c r="B267" s="4">
        <f>B266 * EXP(Risk_Analysis!D267)</f>
        <v>1.2653105329983529</v>
      </c>
      <c r="C267" s="4">
        <f>C266 * EXP(Risk_Analysis!E267)</f>
        <v>1.1313892004486439</v>
      </c>
    </row>
    <row r="268" spans="1:3" x14ac:dyDescent="0.25">
      <c r="A268" s="1">
        <f>Risk_Analysis!A268</f>
        <v>44567</v>
      </c>
      <c r="B268" s="4">
        <f>B267 * EXP(Risk_Analysis!D268)</f>
        <v>1.2641218899424598</v>
      </c>
      <c r="C268" s="4">
        <f>C267 * EXP(Risk_Analysis!E268)</f>
        <v>1.1196923569940691</v>
      </c>
    </row>
    <row r="269" spans="1:3" x14ac:dyDescent="0.25">
      <c r="A269" s="1">
        <f>Risk_Analysis!A269</f>
        <v>44568</v>
      </c>
      <c r="B269" s="4">
        <f>B268 * EXP(Risk_Analysis!D269)</f>
        <v>1.2591241861847269</v>
      </c>
      <c r="C269" s="4">
        <f>C268 * EXP(Risk_Analysis!E269)</f>
        <v>1.1281845858035546</v>
      </c>
    </row>
    <row r="270" spans="1:3" x14ac:dyDescent="0.25">
      <c r="A270" s="1">
        <f>Risk_Analysis!A270</f>
        <v>44571</v>
      </c>
      <c r="B270" s="4">
        <f>B269 * EXP(Risk_Analysis!D270)</f>
        <v>1.2575573385201404</v>
      </c>
      <c r="C270" s="4">
        <f>C269 * EXP(Risk_Analysis!E270)</f>
        <v>1.1208139721198502</v>
      </c>
    </row>
    <row r="271" spans="1:3" x14ac:dyDescent="0.25">
      <c r="A271" s="1">
        <f>Risk_Analysis!A271</f>
        <v>44572</v>
      </c>
      <c r="B271" s="4">
        <f>B270 * EXP(Risk_Analysis!D271)</f>
        <v>1.2690115352405662</v>
      </c>
      <c r="C271" s="4">
        <f>C270 * EXP(Risk_Analysis!E271)</f>
        <v>1.1107194359878199</v>
      </c>
    </row>
    <row r="272" spans="1:3" x14ac:dyDescent="0.25">
      <c r="A272" s="1">
        <f>Risk_Analysis!A272</f>
        <v>44573</v>
      </c>
      <c r="B272" s="4">
        <f>B271 * EXP(Risk_Analysis!D272)</f>
        <v>1.2724423913337126</v>
      </c>
      <c r="C272" s="4">
        <f>C271 * EXP(Risk_Analysis!E272)</f>
        <v>1.114244512097418</v>
      </c>
    </row>
    <row r="273" spans="1:3" x14ac:dyDescent="0.25">
      <c r="A273" s="1">
        <f>Risk_Analysis!A273</f>
        <v>44574</v>
      </c>
      <c r="B273" s="4">
        <f>B272 * EXP(Risk_Analysis!D273)</f>
        <v>1.2549099062592872</v>
      </c>
      <c r="C273" s="4">
        <f>C272 * EXP(Risk_Analysis!E273)</f>
        <v>1.1196923569940691</v>
      </c>
    </row>
    <row r="274" spans="1:3" x14ac:dyDescent="0.25">
      <c r="A274" s="1">
        <f>Risk_Analysis!A274</f>
        <v>44575</v>
      </c>
      <c r="B274" s="4">
        <f>B273 * EXP(Risk_Analysis!D274)</f>
        <v>1.2554231839425141</v>
      </c>
      <c r="C274" s="4">
        <f>C273 * EXP(Risk_Analysis!E274)</f>
        <v>1.1120012818458558</v>
      </c>
    </row>
    <row r="275" spans="1:3" x14ac:dyDescent="0.25">
      <c r="A275" s="1">
        <f>Risk_Analysis!A275</f>
        <v>44579</v>
      </c>
      <c r="B275" s="4">
        <f>B274 * EXP(Risk_Analysis!D275)</f>
        <v>1.233190155874329</v>
      </c>
      <c r="C275" s="4">
        <f>C274 * EXP(Risk_Analysis!E275)</f>
        <v>1.0987021310687366</v>
      </c>
    </row>
    <row r="276" spans="1:3" x14ac:dyDescent="0.25">
      <c r="A276" s="1">
        <f>Risk_Analysis!A276</f>
        <v>44580</v>
      </c>
      <c r="B276" s="4">
        <f>B275 * EXP(Risk_Analysis!D276)</f>
        <v>1.2203852284085699</v>
      </c>
      <c r="C276" s="4">
        <f>C275 * EXP(Risk_Analysis!E276)</f>
        <v>1.1036692837686246</v>
      </c>
    </row>
    <row r="277" spans="1:3" x14ac:dyDescent="0.25">
      <c r="A277" s="1">
        <f>Risk_Analysis!A277</f>
        <v>44581</v>
      </c>
      <c r="B277" s="4">
        <f>B276 * EXP(Risk_Analysis!D277)</f>
        <v>1.2068779209552376</v>
      </c>
      <c r="C277" s="4">
        <f>C276 * EXP(Risk_Analysis!E277)</f>
        <v>1.1051113603589147</v>
      </c>
    </row>
    <row r="278" spans="1:3" x14ac:dyDescent="0.25">
      <c r="A278" s="1">
        <f>Risk_Analysis!A278</f>
        <v>44582</v>
      </c>
      <c r="B278" s="4">
        <f>B277 * EXP(Risk_Analysis!D278)</f>
        <v>1.1831861036820928</v>
      </c>
      <c r="C278" s="4">
        <f>C277 * EXP(Risk_Analysis!E278)</f>
        <v>1.103028360839607</v>
      </c>
    </row>
    <row r="279" spans="1:3" x14ac:dyDescent="0.25">
      <c r="A279" s="1">
        <f>Risk_Analysis!A279</f>
        <v>44585</v>
      </c>
      <c r="B279" s="4">
        <f>B278 * EXP(Risk_Analysis!D279)</f>
        <v>1.1882108220547323</v>
      </c>
      <c r="C279" s="4">
        <f>C278 * EXP(Risk_Analysis!E279)</f>
        <v>1.0924531325108136</v>
      </c>
    </row>
    <row r="280" spans="1:3" x14ac:dyDescent="0.25">
      <c r="A280" s="1">
        <f>Risk_Analysis!A280</f>
        <v>44586</v>
      </c>
      <c r="B280" s="4">
        <f>B279 * EXP(Risk_Analysis!D280)</f>
        <v>1.1737039738498536</v>
      </c>
      <c r="C280" s="4">
        <f>C279 * EXP(Risk_Analysis!E280)</f>
        <v>1.0753084441595877</v>
      </c>
    </row>
    <row r="281" spans="1:3" x14ac:dyDescent="0.25">
      <c r="A281" s="1">
        <f>Risk_Analysis!A281</f>
        <v>44587</v>
      </c>
      <c r="B281" s="4">
        <f>B280 * EXP(Risk_Analysis!D281)</f>
        <v>1.1707593808250272</v>
      </c>
      <c r="C281" s="4">
        <f>C280 * EXP(Risk_Analysis!E281)</f>
        <v>1.0664957538855933</v>
      </c>
    </row>
    <row r="282" spans="1:3" x14ac:dyDescent="0.25">
      <c r="A282" s="1">
        <f>Risk_Analysis!A282</f>
        <v>44588</v>
      </c>
      <c r="B282" s="4">
        <f>B281 * EXP(Risk_Analysis!D282)</f>
        <v>1.164978253235001</v>
      </c>
      <c r="C282" s="4">
        <f>C281 * EXP(Risk_Analysis!E282)</f>
        <v>1.0759493670886056</v>
      </c>
    </row>
    <row r="283" spans="1:3" x14ac:dyDescent="0.25">
      <c r="A283" s="1">
        <f>Risk_Analysis!A283</f>
        <v>44589</v>
      </c>
      <c r="B283" s="4">
        <f>B282 * EXP(Risk_Analysis!D283)</f>
        <v>1.1939109058000386</v>
      </c>
      <c r="C283" s="4">
        <f>C282 * EXP(Risk_Analysis!E283)</f>
        <v>1.0889280564012156</v>
      </c>
    </row>
    <row r="284" spans="1:3" x14ac:dyDescent="0.25">
      <c r="A284" s="1">
        <f>Risk_Analysis!A284</f>
        <v>44592</v>
      </c>
      <c r="B284" s="4">
        <f>B283 * EXP(Risk_Analysis!D284)</f>
        <v>1.2154145392657436</v>
      </c>
      <c r="C284" s="4">
        <f>C283 * EXP(Risk_Analysis!E284)</f>
        <v>1.1095978208620392</v>
      </c>
    </row>
    <row r="285" spans="1:3" x14ac:dyDescent="0.25">
      <c r="A285" s="1">
        <f>Risk_Analysis!A285</f>
        <v>44593</v>
      </c>
      <c r="B285" s="4">
        <f>B284 * EXP(Risk_Analysis!D285)</f>
        <v>1.2236269821973695</v>
      </c>
      <c r="C285" s="4">
        <f>C284 * EXP(Risk_Analysis!E285)</f>
        <v>1.0948565934946302</v>
      </c>
    </row>
    <row r="286" spans="1:3" x14ac:dyDescent="0.25">
      <c r="A286" s="1">
        <f>Risk_Analysis!A286</f>
        <v>44594</v>
      </c>
      <c r="B286" s="4">
        <f>B285 * EXP(Risk_Analysis!D286)</f>
        <v>1.2355134127563021</v>
      </c>
      <c r="C286" s="4">
        <f>C285 * EXP(Risk_Analysis!E286)</f>
        <v>1.1110398974523292</v>
      </c>
    </row>
    <row r="287" spans="1:3" x14ac:dyDescent="0.25">
      <c r="A287" s="1">
        <f>Risk_Analysis!A287</f>
        <v>44595</v>
      </c>
      <c r="B287" s="4">
        <f>B286 * EXP(Risk_Analysis!D287)</f>
        <v>1.2064727017316377</v>
      </c>
      <c r="C287" s="4">
        <f>C286 * EXP(Risk_Analysis!E287)</f>
        <v>1.1060727447524414</v>
      </c>
    </row>
    <row r="288" spans="1:3" x14ac:dyDescent="0.25">
      <c r="A288" s="1">
        <f>Risk_Analysis!A288</f>
        <v>44596</v>
      </c>
      <c r="B288" s="4">
        <f>B287 * EXP(Risk_Analysis!D288)</f>
        <v>1.2121457708620371</v>
      </c>
      <c r="C288" s="4">
        <f>C287 * EXP(Risk_Analysis!E288)</f>
        <v>1.097260054478447</v>
      </c>
    </row>
    <row r="289" spans="1:3" x14ac:dyDescent="0.25">
      <c r="A289" s="1">
        <f>Risk_Analysis!A289</f>
        <v>44599</v>
      </c>
      <c r="B289" s="4">
        <f>B288 * EXP(Risk_Analysis!D289)</f>
        <v>1.2082556663154775</v>
      </c>
      <c r="C289" s="4">
        <f>C288 * EXP(Risk_Analysis!E289)</f>
        <v>1.0956577471559024</v>
      </c>
    </row>
    <row r="290" spans="1:3" x14ac:dyDescent="0.25">
      <c r="A290" s="1">
        <f>Risk_Analysis!A290</f>
        <v>44600</v>
      </c>
      <c r="B290" s="4">
        <f>B289 * EXP(Risk_Analysis!D290)</f>
        <v>1.2181970446011301</v>
      </c>
      <c r="C290" s="4">
        <f>C289 * EXP(Risk_Analysis!E290)</f>
        <v>1.0964589008171748</v>
      </c>
    </row>
    <row r="291" spans="1:3" x14ac:dyDescent="0.25">
      <c r="A291" s="1">
        <f>Risk_Analysis!A291</f>
        <v>44601</v>
      </c>
      <c r="B291" s="4">
        <f>B290 * EXP(Risk_Analysis!D291)</f>
        <v>1.2360266904395287</v>
      </c>
      <c r="C291" s="4">
        <f>C290 * EXP(Risk_Analysis!E291)</f>
        <v>1.1012658227848082</v>
      </c>
    </row>
    <row r="292" spans="1:3" x14ac:dyDescent="0.25">
      <c r="A292" s="1">
        <f>Risk_Analysis!A292</f>
        <v>44602</v>
      </c>
      <c r="B292" s="4">
        <f>B291 * EXP(Risk_Analysis!D292)</f>
        <v>1.2138206769862503</v>
      </c>
      <c r="C292" s="4">
        <f>C291 * EXP(Risk_Analysis!E292)</f>
        <v>1.0733856753725344</v>
      </c>
    </row>
    <row r="293" spans="1:3" x14ac:dyDescent="0.25">
      <c r="A293" s="1">
        <f>Risk_Analysis!A293</f>
        <v>44603</v>
      </c>
      <c r="B293" s="4">
        <f>B292 * EXP(Risk_Analysis!D293)</f>
        <v>1.1898857281789454</v>
      </c>
      <c r="C293" s="4">
        <f>C292 * EXP(Risk_Analysis!E293)</f>
        <v>1.0740265983015522</v>
      </c>
    </row>
    <row r="294" spans="1:3" x14ac:dyDescent="0.25">
      <c r="A294" s="1">
        <f>Risk_Analysis!A294</f>
        <v>44606</v>
      </c>
      <c r="B294" s="4">
        <f>B293 * EXP(Risk_Analysis!D294)</f>
        <v>1.1859956236323856</v>
      </c>
      <c r="C294" s="4">
        <f>C293 * EXP(Risk_Analysis!E294)</f>
        <v>1.0648934465630486</v>
      </c>
    </row>
    <row r="295" spans="1:3" x14ac:dyDescent="0.25">
      <c r="A295" s="1">
        <f>Risk_Analysis!A295</f>
        <v>44607</v>
      </c>
      <c r="B295" s="4">
        <f>B294 * EXP(Risk_Analysis!D295)</f>
        <v>1.2051219709863041</v>
      </c>
      <c r="C295" s="4">
        <f>C294 * EXP(Risk_Analysis!E295)</f>
        <v>1.0599262938631611</v>
      </c>
    </row>
    <row r="296" spans="1:3" x14ac:dyDescent="0.25">
      <c r="A296" s="1">
        <f>Risk_Analysis!A296</f>
        <v>44608</v>
      </c>
      <c r="B296" s="4">
        <f>B295 * EXP(Risk_Analysis!D296)</f>
        <v>1.2064727017316375</v>
      </c>
      <c r="C296" s="4">
        <f>C295 * EXP(Risk_Analysis!E296)</f>
        <v>1.0623297548469777</v>
      </c>
    </row>
    <row r="297" spans="1:3" x14ac:dyDescent="0.25">
      <c r="A297" s="1">
        <f>Risk_Analysis!A297</f>
        <v>44609</v>
      </c>
      <c r="B297" s="4">
        <f>B296 * EXP(Risk_Analysis!D297)</f>
        <v>1.1807007591106795</v>
      </c>
      <c r="C297" s="4">
        <f>C296 * EXP(Risk_Analysis!E297)</f>
        <v>1.0629706777759955</v>
      </c>
    </row>
    <row r="298" spans="1:3" x14ac:dyDescent="0.25">
      <c r="A298" s="1">
        <f>Risk_Analysis!A298</f>
        <v>44610</v>
      </c>
      <c r="B298" s="4">
        <f>B297 * EXP(Risk_Analysis!D298)</f>
        <v>1.1730556230920934</v>
      </c>
      <c r="C298" s="4">
        <f>C297 * EXP(Risk_Analysis!E298)</f>
        <v>1.0610479089889422</v>
      </c>
    </row>
    <row r="299" spans="1:3" x14ac:dyDescent="0.25">
      <c r="A299" s="1">
        <f>Risk_Analysis!A299</f>
        <v>44614</v>
      </c>
      <c r="B299" s="4">
        <f>B298 * EXP(Risk_Analysis!D299)</f>
        <v>1.1604668125455877</v>
      </c>
      <c r="C299" s="4">
        <f>C298 * EXP(Risk_Analysis!E299)</f>
        <v>1.0599262938631611</v>
      </c>
    </row>
    <row r="300" spans="1:3" x14ac:dyDescent="0.25">
      <c r="A300" s="1">
        <f>Risk_Analysis!A300</f>
        <v>44615</v>
      </c>
      <c r="B300" s="4">
        <f>B299 * EXP(Risk_Analysis!D300)</f>
        <v>1.1398816759867094</v>
      </c>
      <c r="C300" s="4">
        <f>C299 * EXP(Risk_Analysis!E300)</f>
        <v>1.041980451850663</v>
      </c>
    </row>
    <row r="301" spans="1:3" x14ac:dyDescent="0.25">
      <c r="A301" s="1">
        <f>Risk_Analysis!A301</f>
        <v>44616</v>
      </c>
      <c r="B301" s="4">
        <f>B300 * EXP(Risk_Analysis!D301)</f>
        <v>1.1570359564524415</v>
      </c>
      <c r="C301" s="4">
        <f>C300 * EXP(Risk_Analysis!E301)</f>
        <v>1.0503124499278942</v>
      </c>
    </row>
    <row r="302" spans="1:3" x14ac:dyDescent="0.25">
      <c r="A302" s="1">
        <f>Risk_Analysis!A302</f>
        <v>44617</v>
      </c>
      <c r="B302" s="4">
        <f>B301 * EXP(Risk_Analysis!D302)</f>
        <v>1.1825647675392394</v>
      </c>
      <c r="C302" s="4">
        <f>C301 * EXP(Risk_Analysis!E302)</f>
        <v>1.0828392885755467</v>
      </c>
    </row>
    <row r="303" spans="1:3" x14ac:dyDescent="0.25">
      <c r="A303" s="1">
        <f>Risk_Analysis!A303</f>
        <v>44620</v>
      </c>
      <c r="B303" s="4">
        <f>B302 * EXP(Risk_Analysis!D303)</f>
        <v>1.179539130669693</v>
      </c>
      <c r="C303" s="4">
        <f>C302 * EXP(Risk_Analysis!E303)</f>
        <v>1.0884473642044523</v>
      </c>
    </row>
    <row r="304" spans="1:3" x14ac:dyDescent="0.25">
      <c r="A304" s="1">
        <f>Risk_Analysis!A304</f>
        <v>44621</v>
      </c>
      <c r="B304" s="4">
        <f>B303 * EXP(Risk_Analysis!D304)</f>
        <v>1.1615744117567612</v>
      </c>
      <c r="C304" s="4">
        <f>C303 * EXP(Risk_Analysis!E304)</f>
        <v>1.07899375100144</v>
      </c>
    </row>
    <row r="305" spans="1:3" x14ac:dyDescent="0.25">
      <c r="A305" s="1">
        <f>Risk_Analysis!A305</f>
        <v>44622</v>
      </c>
      <c r="B305" s="4">
        <f>B304 * EXP(Risk_Analysis!D305)</f>
        <v>1.1829429721479328</v>
      </c>
      <c r="C305" s="4">
        <f>C304 * EXP(Risk_Analysis!E305)</f>
        <v>1.0921326710463046</v>
      </c>
    </row>
    <row r="306" spans="1:3" x14ac:dyDescent="0.25">
      <c r="A306" s="1">
        <f>Risk_Analysis!A306</f>
        <v>44623</v>
      </c>
      <c r="B306" s="4">
        <f>B305 * EXP(Risk_Analysis!D306)</f>
        <v>1.1770537860982799</v>
      </c>
      <c r="C306" s="4">
        <f>C305 * EXP(Risk_Analysis!E306)</f>
        <v>1.1113603589168382</v>
      </c>
    </row>
    <row r="307" spans="1:3" x14ac:dyDescent="0.25">
      <c r="A307" s="1">
        <f>Risk_Analysis!A307</f>
        <v>44624</v>
      </c>
      <c r="B307" s="4">
        <f>B306 * EXP(Risk_Analysis!D307)</f>
        <v>1.1674906124213209</v>
      </c>
      <c r="C307" s="4">
        <f>C306 * EXP(Risk_Analysis!E307)</f>
        <v>1.1358756609517684</v>
      </c>
    </row>
    <row r="308" spans="1:3" x14ac:dyDescent="0.25">
      <c r="A308" s="1">
        <f>Risk_Analysis!A308</f>
        <v>44627</v>
      </c>
      <c r="B308" s="4">
        <f>B307 * EXP(Risk_Analysis!D308)</f>
        <v>1.1330739930302303</v>
      </c>
      <c r="C308" s="4">
        <f>C307 * EXP(Risk_Analysis!E308)</f>
        <v>1.1506168883191776</v>
      </c>
    </row>
    <row r="309" spans="1:3" x14ac:dyDescent="0.25">
      <c r="A309" s="1">
        <f>Risk_Analysis!A309</f>
        <v>44628</v>
      </c>
      <c r="B309" s="4">
        <f>B308 * EXP(Risk_Analysis!D309)</f>
        <v>1.124483345489911</v>
      </c>
      <c r="C309" s="4">
        <f>C308 * EXP(Risk_Analysis!E309)</f>
        <v>1.1328312770389342</v>
      </c>
    </row>
    <row r="310" spans="1:3" x14ac:dyDescent="0.25">
      <c r="A310" s="1">
        <f>Risk_Analysis!A310</f>
        <v>44629</v>
      </c>
      <c r="B310" s="4">
        <f>B309 * EXP(Risk_Analysis!D310)</f>
        <v>1.1546316557257488</v>
      </c>
      <c r="C310" s="4">
        <f>C309 * EXP(Risk_Analysis!E310)</f>
        <v>1.1248197404262119</v>
      </c>
    </row>
    <row r="311" spans="1:3" x14ac:dyDescent="0.25">
      <c r="A311" s="1">
        <f>Risk_Analysis!A311</f>
        <v>44630</v>
      </c>
      <c r="B311" s="4">
        <f>B310 * EXP(Risk_Analysis!D311)</f>
        <v>1.1494178350487625</v>
      </c>
      <c r="C311" s="4">
        <f>C310 * EXP(Risk_Analysis!E311)</f>
        <v>1.1323505848421709</v>
      </c>
    </row>
    <row r="312" spans="1:3" x14ac:dyDescent="0.25">
      <c r="A312" s="1">
        <f>Risk_Analysis!A312</f>
        <v>44631</v>
      </c>
      <c r="B312" s="4">
        <f>B311 * EXP(Risk_Analysis!D312)</f>
        <v>1.1348029283842569</v>
      </c>
      <c r="C312" s="4">
        <f>C311 * EXP(Risk_Analysis!E312)</f>
        <v>1.1285050472680642</v>
      </c>
    </row>
    <row r="313" spans="1:3" x14ac:dyDescent="0.25">
      <c r="A313" s="1">
        <f>Risk_Analysis!A313</f>
        <v>44634</v>
      </c>
      <c r="B313" s="4">
        <f>B312 * EXP(Risk_Analysis!D313)</f>
        <v>1.1265094416079109</v>
      </c>
      <c r="C313" s="4">
        <f>C312 * EXP(Risk_Analysis!E313)</f>
        <v>1.1272232014100285</v>
      </c>
    </row>
    <row r="314" spans="1:3" x14ac:dyDescent="0.25">
      <c r="A314" s="1">
        <f>Risk_Analysis!A314</f>
        <v>44635</v>
      </c>
      <c r="B314" s="4">
        <f>B313 * EXP(Risk_Analysis!D314)</f>
        <v>1.1512818434773222</v>
      </c>
      <c r="C314" s="4">
        <f>C313 * EXP(Risk_Analysis!E314)</f>
        <v>1.1416439673129288</v>
      </c>
    </row>
    <row r="315" spans="1:3" x14ac:dyDescent="0.25">
      <c r="A315" s="1">
        <f>Risk_Analysis!A315</f>
        <v>44636</v>
      </c>
      <c r="B315" s="4">
        <f>B314 * EXP(Risk_Analysis!D315)</f>
        <v>1.1768106545641204</v>
      </c>
      <c r="C315" s="4">
        <f>C314 * EXP(Risk_Analysis!E315)</f>
        <v>1.1395609677936211</v>
      </c>
    </row>
    <row r="316" spans="1:3" x14ac:dyDescent="0.25">
      <c r="A316" s="1">
        <f>Risk_Analysis!A316</f>
        <v>44637</v>
      </c>
      <c r="B316" s="4">
        <f>B315 * EXP(Risk_Analysis!D316)</f>
        <v>1.1915336196882527</v>
      </c>
      <c r="C316" s="4">
        <f>C315 * EXP(Risk_Analysis!E316)</f>
        <v>1.1443678897612544</v>
      </c>
    </row>
    <row r="317" spans="1:3" x14ac:dyDescent="0.25">
      <c r="A317" s="1">
        <f>Risk_Analysis!A317</f>
        <v>44638</v>
      </c>
      <c r="B317" s="4">
        <f>B316 * EXP(Risk_Analysis!D317)</f>
        <v>1.2008536618310519</v>
      </c>
      <c r="C317" s="4">
        <f>C316 * EXP(Risk_Analysis!E317)</f>
        <v>1.1345938150937331</v>
      </c>
    </row>
    <row r="318" spans="1:3" x14ac:dyDescent="0.25">
      <c r="A318" s="1">
        <f>Risk_Analysis!A318</f>
        <v>44641</v>
      </c>
      <c r="B318" s="4">
        <f>B317 * EXP(Risk_Analysis!D318)</f>
        <v>1.2005024718372652</v>
      </c>
      <c r="C318" s="4">
        <f>C317 * EXP(Risk_Analysis!E318)</f>
        <v>1.1345938150937331</v>
      </c>
    </row>
    <row r="319" spans="1:3" x14ac:dyDescent="0.25">
      <c r="A319" s="1">
        <f>Risk_Analysis!A319</f>
        <v>44642</v>
      </c>
      <c r="B319" s="4">
        <f>B318 * EXP(Risk_Analysis!D319)</f>
        <v>1.214550071588731</v>
      </c>
      <c r="C319" s="4">
        <f>C318 * EXP(Risk_Analysis!E319)</f>
        <v>1.1361961224162775</v>
      </c>
    </row>
    <row r="320" spans="1:3" x14ac:dyDescent="0.25">
      <c r="A320" s="1">
        <f>Risk_Analysis!A320</f>
        <v>44643</v>
      </c>
      <c r="B320" s="4">
        <f>B319 * EXP(Risk_Analysis!D320)</f>
        <v>1.1989086095577723</v>
      </c>
      <c r="C320" s="4">
        <f>C319 * EXP(Risk_Analysis!E320)</f>
        <v>1.1377984297388222</v>
      </c>
    </row>
    <row r="321" spans="1:3" x14ac:dyDescent="0.25">
      <c r="A321" s="1">
        <f>Risk_Analysis!A321</f>
        <v>44644</v>
      </c>
      <c r="B321" s="4">
        <f>B320 * EXP(Risk_Analysis!D321)</f>
        <v>1.2169813869303308</v>
      </c>
      <c r="C321" s="4">
        <f>C320 * EXP(Risk_Analysis!E321)</f>
        <v>1.1494952731933965</v>
      </c>
    </row>
    <row r="322" spans="1:3" x14ac:dyDescent="0.25">
      <c r="A322" s="1">
        <f>Risk_Analysis!A322</f>
        <v>44645</v>
      </c>
      <c r="B322" s="4">
        <f>B321 * EXP(Risk_Analysis!D322)</f>
        <v>1.2229246022097968</v>
      </c>
      <c r="C322" s="4">
        <f>C321 * EXP(Risk_Analysis!E322)</f>
        <v>1.1661592693478591</v>
      </c>
    </row>
    <row r="323" spans="1:3" x14ac:dyDescent="0.25">
      <c r="A323" s="1">
        <f>Risk_Analysis!A323</f>
        <v>44648</v>
      </c>
      <c r="B323" s="4">
        <f>B322 * EXP(Risk_Analysis!D323)</f>
        <v>1.231623308209743</v>
      </c>
      <c r="C323" s="4">
        <f>C322 * EXP(Risk_Analysis!E323)</f>
        <v>1.173690113763818</v>
      </c>
    </row>
    <row r="324" spans="1:3" x14ac:dyDescent="0.25">
      <c r="A324" s="1">
        <f>Risk_Analysis!A324</f>
        <v>44649</v>
      </c>
      <c r="B324" s="4">
        <f>B323 * EXP(Risk_Analysis!D324)</f>
        <v>1.2468595510171019</v>
      </c>
      <c r="C324" s="4">
        <f>C323 * EXP(Risk_Analysis!E324)</f>
        <v>1.1845858035571204</v>
      </c>
    </row>
    <row r="325" spans="1:3" x14ac:dyDescent="0.25">
      <c r="A325" s="1">
        <f>Risk_Analysis!A325</f>
        <v>44650</v>
      </c>
      <c r="B325" s="4">
        <f>B324 * EXP(Risk_Analysis!D325)</f>
        <v>1.2391603857687026</v>
      </c>
      <c r="C325" s="4">
        <f>C324 * EXP(Risk_Analysis!E325)</f>
        <v>1.1943598782246416</v>
      </c>
    </row>
    <row r="326" spans="1:3" x14ac:dyDescent="0.25">
      <c r="A326" s="1">
        <f>Risk_Analysis!A326</f>
        <v>44651</v>
      </c>
      <c r="B326" s="4">
        <f>B325 * EXP(Risk_Analysis!D326)</f>
        <v>1.2200880676445973</v>
      </c>
      <c r="C326" s="4">
        <f>C325 * EXP(Risk_Analysis!E326)</f>
        <v>1.1930780323666059</v>
      </c>
    </row>
    <row r="327" spans="1:3" x14ac:dyDescent="0.25">
      <c r="A327" s="1">
        <f>Risk_Analysis!A327</f>
        <v>44652</v>
      </c>
      <c r="B327" s="4">
        <f>B326 * EXP(Risk_Analysis!D327)</f>
        <v>1.2235459383526504</v>
      </c>
      <c r="C327" s="4">
        <f>C326 * EXP(Risk_Analysis!E327)</f>
        <v>1.2097420285210685</v>
      </c>
    </row>
    <row r="328" spans="1:3" x14ac:dyDescent="0.25">
      <c r="A328" s="1">
        <f>Risk_Analysis!A328</f>
        <v>44655</v>
      </c>
      <c r="B328" s="4">
        <f>B327 * EXP(Risk_Analysis!D328)</f>
        <v>1.2340276089364361</v>
      </c>
      <c r="C328" s="4">
        <f>C327 * EXP(Risk_Analysis!E328)</f>
        <v>1.2004486460503105</v>
      </c>
    </row>
    <row r="329" spans="1:3" x14ac:dyDescent="0.25">
      <c r="A329" s="1">
        <f>Risk_Analysis!A329</f>
        <v>44656</v>
      </c>
      <c r="B329" s="4">
        <f>B328 * EXP(Risk_Analysis!D329)</f>
        <v>1.2184401761352905</v>
      </c>
      <c r="C329" s="4">
        <f>C328 * EXP(Risk_Analysis!E329)</f>
        <v>1.2079794904662693</v>
      </c>
    </row>
    <row r="330" spans="1:3" x14ac:dyDescent="0.25">
      <c r="A330" s="1">
        <f>Risk_Analysis!A330</f>
        <v>44657</v>
      </c>
      <c r="B330" s="4">
        <f>B329 * EXP(Risk_Analysis!D330)</f>
        <v>1.206256584812385</v>
      </c>
      <c r="C330" s="4">
        <f>C329 * EXP(Risk_Analysis!E330)</f>
        <v>1.2320141003044363</v>
      </c>
    </row>
    <row r="331" spans="1:3" x14ac:dyDescent="0.25">
      <c r="A331" s="1">
        <f>Risk_Analysis!A331</f>
        <v>44658</v>
      </c>
      <c r="B331" s="4">
        <f>B330 * EXP(Risk_Analysis!D331)</f>
        <v>1.2123348731663846</v>
      </c>
      <c r="C331" s="4">
        <f>C330 * EXP(Risk_Analysis!E331)</f>
        <v>1.2289697163916018</v>
      </c>
    </row>
    <row r="332" spans="1:3" x14ac:dyDescent="0.25">
      <c r="A332" s="1">
        <f>Risk_Analysis!A332</f>
        <v>44659</v>
      </c>
      <c r="B332" s="4">
        <f>B331 * EXP(Risk_Analysis!D332)</f>
        <v>1.2090931193775849</v>
      </c>
      <c r="C332" s="4">
        <f>C331 * EXP(Risk_Analysis!E332)</f>
        <v>1.2331357154302174</v>
      </c>
    </row>
    <row r="333" spans="1:3" x14ac:dyDescent="0.25">
      <c r="A333" s="1">
        <f>Risk_Analysis!A333</f>
        <v>44662</v>
      </c>
      <c r="B333" s="4">
        <f>B332 * EXP(Risk_Analysis!D333)</f>
        <v>1.1884269389739865</v>
      </c>
      <c r="C333" s="4">
        <f>C332 * EXP(Risk_Analysis!E333)</f>
        <v>1.2163114885435007</v>
      </c>
    </row>
    <row r="334" spans="1:3" x14ac:dyDescent="0.25">
      <c r="A334" s="1">
        <f>Risk_Analysis!A334</f>
        <v>44663</v>
      </c>
      <c r="B334" s="4">
        <f>B333 * EXP(Risk_Analysis!D334)</f>
        <v>1.1840235567442001</v>
      </c>
      <c r="C334" s="4">
        <f>C333 * EXP(Risk_Analysis!E334)</f>
        <v>1.2209581797788798</v>
      </c>
    </row>
    <row r="335" spans="1:3" x14ac:dyDescent="0.25">
      <c r="A335" s="1">
        <f>Risk_Analysis!A335</f>
        <v>44664</v>
      </c>
      <c r="B335" s="4">
        <f>B334 * EXP(Risk_Analysis!D335)</f>
        <v>1.1975848934273456</v>
      </c>
      <c r="C335" s="4">
        <f>C334 * EXP(Risk_Analysis!E335)</f>
        <v>1.2185547187950629</v>
      </c>
    </row>
    <row r="336" spans="1:3" x14ac:dyDescent="0.25">
      <c r="A336" s="1">
        <f>Risk_Analysis!A336</f>
        <v>44665</v>
      </c>
      <c r="B336" s="4">
        <f>B335 * EXP(Risk_Analysis!D336)</f>
        <v>1.1826728259988668</v>
      </c>
      <c r="C336" s="4">
        <f>C335 * EXP(Risk_Analysis!E336)</f>
        <v>1.2191956417240808</v>
      </c>
    </row>
    <row r="337" spans="1:3" x14ac:dyDescent="0.25">
      <c r="A337" s="1">
        <f>Risk_Analysis!A337</f>
        <v>44669</v>
      </c>
      <c r="B337" s="4">
        <f>B336 * EXP(Risk_Analysis!D337)</f>
        <v>1.1831590890671868</v>
      </c>
      <c r="C337" s="4">
        <f>C336 * EXP(Risk_Analysis!E337)</f>
        <v>1.2126261817016486</v>
      </c>
    </row>
    <row r="338" spans="1:3" x14ac:dyDescent="0.25">
      <c r="A338" s="1">
        <f>Risk_Analysis!A338</f>
        <v>44670</v>
      </c>
      <c r="B338" s="4">
        <f>B337 * EXP(Risk_Analysis!D338)</f>
        <v>1.2022584218061987</v>
      </c>
      <c r="C338" s="4">
        <f>C337 * EXP(Risk_Analysis!E338)</f>
        <v>1.2204774875821163</v>
      </c>
    </row>
    <row r="339" spans="1:3" x14ac:dyDescent="0.25">
      <c r="A339" s="1">
        <f>Risk_Analysis!A339</f>
        <v>44671</v>
      </c>
      <c r="B339" s="4">
        <f>B338 * EXP(Risk_Analysis!D339)</f>
        <v>1.2013669395142785</v>
      </c>
      <c r="C339" s="4">
        <f>C338 * EXP(Risk_Analysis!E339)</f>
        <v>1.2304117929818921</v>
      </c>
    </row>
    <row r="340" spans="1:3" x14ac:dyDescent="0.25">
      <c r="A340" s="1">
        <f>Risk_Analysis!A340</f>
        <v>44672</v>
      </c>
      <c r="B340" s="4">
        <f>B339 * EXP(Risk_Analysis!D340)</f>
        <v>1.1834022206013466</v>
      </c>
      <c r="C340" s="4">
        <f>C339 * EXP(Risk_Analysis!E340)</f>
        <v>1.2100624899855772</v>
      </c>
    </row>
    <row r="341" spans="1:3" x14ac:dyDescent="0.25">
      <c r="A341" s="1">
        <f>Risk_Analysis!A341</f>
        <v>44673</v>
      </c>
      <c r="B341" s="4">
        <f>B340 * EXP(Risk_Analysis!D341)</f>
        <v>1.150930653483536</v>
      </c>
      <c r="C341" s="4">
        <f>C340 * EXP(Risk_Analysis!E341)</f>
        <v>1.1897131869892628</v>
      </c>
    </row>
    <row r="342" spans="1:3" x14ac:dyDescent="0.25">
      <c r="A342" s="1">
        <f>Risk_Analysis!A342</f>
        <v>44676</v>
      </c>
      <c r="B342" s="4">
        <f>B341 * EXP(Risk_Analysis!D342)</f>
        <v>1.157603263365482</v>
      </c>
      <c r="C342" s="4">
        <f>C341 * EXP(Risk_Analysis!E342)</f>
        <v>1.1815414196442859</v>
      </c>
    </row>
    <row r="343" spans="1:3" x14ac:dyDescent="0.25">
      <c r="A343" s="1">
        <f>Risk_Analysis!A343</f>
        <v>44677</v>
      </c>
      <c r="B343" s="4">
        <f>B342 * EXP(Risk_Analysis!D343)</f>
        <v>1.1240781262663115</v>
      </c>
      <c r="C343" s="4">
        <f>C342 * EXP(Risk_Analysis!E343)</f>
        <v>1.169684345457457</v>
      </c>
    </row>
    <row r="344" spans="1:3" x14ac:dyDescent="0.25">
      <c r="A344" s="1">
        <f>Risk_Analysis!A344</f>
        <v>44678</v>
      </c>
      <c r="B344" s="4">
        <f>B343 * EXP(Risk_Analysis!D344)</f>
        <v>1.1272388362103911</v>
      </c>
      <c r="C344" s="4">
        <f>C343 * EXP(Risk_Analysis!E344)</f>
        <v>1.1640762698285514</v>
      </c>
    </row>
    <row r="345" spans="1:3" x14ac:dyDescent="0.25">
      <c r="A345" s="1">
        <f>Risk_Analysis!A345</f>
        <v>44679</v>
      </c>
      <c r="B345" s="4">
        <f>B344 * EXP(Risk_Analysis!D345)</f>
        <v>1.1557122403220157</v>
      </c>
      <c r="C345" s="4">
        <f>C344 * EXP(Risk_Analysis!E345)</f>
        <v>1.1770549591411614</v>
      </c>
    </row>
    <row r="346" spans="1:3" x14ac:dyDescent="0.25">
      <c r="A346" s="1">
        <f>Risk_Analysis!A346</f>
        <v>44680</v>
      </c>
      <c r="B346" s="4">
        <f>B345 * EXP(Risk_Analysis!D346)</f>
        <v>1.113002134154579</v>
      </c>
      <c r="C346" s="4">
        <f>C345 * EXP(Risk_Analysis!E346)</f>
        <v>1.1418041980451834</v>
      </c>
    </row>
    <row r="347" spans="1:3" x14ac:dyDescent="0.25">
      <c r="A347" s="1">
        <f>Risk_Analysis!A347</f>
        <v>44683</v>
      </c>
      <c r="B347" s="4">
        <f>B346 * EXP(Risk_Analysis!D347)</f>
        <v>1.119701758651432</v>
      </c>
      <c r="C347" s="4">
        <f>C346 * EXP(Risk_Analysis!E347)</f>
        <v>1.1301073545906088</v>
      </c>
    </row>
    <row r="348" spans="1:3" x14ac:dyDescent="0.25">
      <c r="A348" s="1">
        <f>Risk_Analysis!A348</f>
        <v>44684</v>
      </c>
      <c r="B348" s="4">
        <f>B347 * EXP(Risk_Analysis!D348)</f>
        <v>1.1248345354836982</v>
      </c>
      <c r="C348" s="4">
        <f>C347 * EXP(Risk_Analysis!E348)</f>
        <v>1.1344335843614788</v>
      </c>
    </row>
    <row r="349" spans="1:3" x14ac:dyDescent="0.25">
      <c r="A349" s="1">
        <f>Risk_Analysis!A349</f>
        <v>44685</v>
      </c>
      <c r="B349" s="4">
        <f>B348 * EXP(Risk_Analysis!D349)</f>
        <v>1.1590890671853489</v>
      </c>
      <c r="C349" s="4">
        <f>C348 * EXP(Risk_Analysis!E349)</f>
        <v>1.1597500400576812</v>
      </c>
    </row>
    <row r="350" spans="1:3" x14ac:dyDescent="0.25">
      <c r="A350" s="1">
        <f>Risk_Analysis!A350</f>
        <v>44686</v>
      </c>
      <c r="B350" s="4">
        <f>B349 * EXP(Risk_Analysis!D350)</f>
        <v>1.1178917794526855</v>
      </c>
      <c r="C350" s="4">
        <f>C349 * EXP(Risk_Analysis!E350)</f>
        <v>1.1478929658708523</v>
      </c>
    </row>
    <row r="351" spans="1:3" x14ac:dyDescent="0.25">
      <c r="A351" s="1">
        <f>Risk_Analysis!A351</f>
        <v>44687</v>
      </c>
      <c r="B351" s="4">
        <f>B350 * EXP(Risk_Analysis!D351)</f>
        <v>1.1112191695707392</v>
      </c>
      <c r="C351" s="4">
        <f>C350 * EXP(Risk_Analysis!E351)</f>
        <v>1.1570261176093557</v>
      </c>
    </row>
    <row r="352" spans="1:3" x14ac:dyDescent="0.25">
      <c r="A352" s="1">
        <f>Risk_Analysis!A352</f>
        <v>44690</v>
      </c>
      <c r="B352" s="4">
        <f>B351 * EXP(Risk_Analysis!D352)</f>
        <v>1.075640921738662</v>
      </c>
      <c r="C352" s="4">
        <f>C351 * EXP(Risk_Analysis!E352)</f>
        <v>1.1483736580676156</v>
      </c>
    </row>
    <row r="353" spans="1:3" x14ac:dyDescent="0.25">
      <c r="A353" s="1">
        <f>Risk_Analysis!A353</f>
        <v>44691</v>
      </c>
      <c r="B353" s="4">
        <f>B352 * EXP(Risk_Analysis!D353)</f>
        <v>1.078126266310075</v>
      </c>
      <c r="C353" s="4">
        <f>C352 * EXP(Risk_Analysis!E353)</f>
        <v>1.1344335843614786</v>
      </c>
    </row>
    <row r="354" spans="1:3" x14ac:dyDescent="0.25">
      <c r="A354" s="1">
        <f>Risk_Analysis!A354</f>
        <v>44692</v>
      </c>
      <c r="B354" s="4">
        <f>B353 * EXP(Risk_Analysis!D354)</f>
        <v>1.0609990004592498</v>
      </c>
      <c r="C354" s="4">
        <f>C353 * EXP(Risk_Analysis!E354)</f>
        <v>1.1426053517064554</v>
      </c>
    </row>
    <row r="355" spans="1:3" x14ac:dyDescent="0.25">
      <c r="A355" s="1">
        <f>Risk_Analysis!A355</f>
        <v>44693</v>
      </c>
      <c r="B355" s="4">
        <f>B354 * EXP(Risk_Analysis!D355)</f>
        <v>1.0598914012480765</v>
      </c>
      <c r="C355" s="4">
        <f>C354 * EXP(Risk_Analysis!E355)</f>
        <v>1.1310687389841354</v>
      </c>
    </row>
    <row r="356" spans="1:3" x14ac:dyDescent="0.25">
      <c r="A356" s="1">
        <f>Risk_Analysis!A356</f>
        <v>44694</v>
      </c>
      <c r="B356" s="4">
        <f>B355 * EXP(Risk_Analysis!D356)</f>
        <v>1.0852311100305279</v>
      </c>
      <c r="C356" s="4">
        <f>C355 * EXP(Risk_Analysis!E356)</f>
        <v>1.1445281204935089</v>
      </c>
    </row>
    <row r="357" spans="1:3" x14ac:dyDescent="0.25">
      <c r="A357" s="1">
        <f>Risk_Analysis!A357</f>
        <v>44697</v>
      </c>
      <c r="B357" s="4">
        <f>B356 * EXP(Risk_Analysis!D357)</f>
        <v>1.0808277278007414</v>
      </c>
      <c r="C357" s="4">
        <f>C356 * EXP(Risk_Analysis!E357)</f>
        <v>1.1480531966031067</v>
      </c>
    </row>
    <row r="358" spans="1:3" x14ac:dyDescent="0.25">
      <c r="A358" s="1">
        <f>Risk_Analysis!A358</f>
        <v>44698</v>
      </c>
      <c r="B358" s="4">
        <f>B357 * EXP(Risk_Analysis!D358)</f>
        <v>1.1030607558689265</v>
      </c>
      <c r="C358" s="4">
        <f>C357 * EXP(Risk_Analysis!E358)</f>
        <v>1.1599102707899356</v>
      </c>
    </row>
    <row r="359" spans="1:3" x14ac:dyDescent="0.25">
      <c r="A359" s="1">
        <f>Risk_Analysis!A359</f>
        <v>44699</v>
      </c>
      <c r="B359" s="4">
        <f>B358 * EXP(Risk_Analysis!D359)</f>
        <v>1.0585946997325568</v>
      </c>
      <c r="C359" s="4">
        <f>C358 * EXP(Risk_Analysis!E359)</f>
        <v>1.1486941195321243</v>
      </c>
    </row>
    <row r="360" spans="1:3" x14ac:dyDescent="0.25">
      <c r="A360" s="1">
        <f>Risk_Analysis!A360</f>
        <v>44700</v>
      </c>
      <c r="B360" s="4">
        <f>B359 * EXP(Risk_Analysis!D360)</f>
        <v>1.0521111921549573</v>
      </c>
      <c r="C360" s="4">
        <f>C359 * EXP(Risk_Analysis!E360)</f>
        <v>1.1462906585483077</v>
      </c>
    </row>
    <row r="361" spans="1:3" x14ac:dyDescent="0.25">
      <c r="A361" s="1">
        <f>Risk_Analysis!A361</f>
        <v>44701</v>
      </c>
      <c r="B361" s="4">
        <f>B360 * EXP(Risk_Analysis!D361)</f>
        <v>1.0525704406083707</v>
      </c>
      <c r="C361" s="4">
        <f>C360 * EXP(Risk_Analysis!E361)</f>
        <v>1.1494952731933965</v>
      </c>
    </row>
    <row r="362" spans="1:3" x14ac:dyDescent="0.25">
      <c r="A362" s="1">
        <f>Risk_Analysis!A362</f>
        <v>44704</v>
      </c>
      <c r="B362" s="4">
        <f>B361 * EXP(Risk_Analysis!D362)</f>
        <v>1.0722640948753293</v>
      </c>
      <c r="C362" s="4">
        <f>C361 * EXP(Risk_Analysis!E362)</f>
        <v>1.163275116167279</v>
      </c>
    </row>
    <row r="363" spans="1:3" x14ac:dyDescent="0.25">
      <c r="A363" s="1">
        <f>Risk_Analysis!A363</f>
        <v>44705</v>
      </c>
      <c r="B363" s="4">
        <f>B362 * EXP(Risk_Analysis!D363)</f>
        <v>1.0640786665586099</v>
      </c>
      <c r="C363" s="4">
        <f>C362 * EXP(Risk_Analysis!E363)</f>
        <v>1.1865085723441737</v>
      </c>
    </row>
    <row r="364" spans="1:3" x14ac:dyDescent="0.25">
      <c r="A364" s="1">
        <f>Risk_Analysis!A364</f>
        <v>44706</v>
      </c>
      <c r="B364" s="4">
        <f>B363 * EXP(Risk_Analysis!D364)</f>
        <v>1.0734797525461293</v>
      </c>
      <c r="C364" s="4">
        <f>C363 * EXP(Risk_Analysis!E364)</f>
        <v>1.1857074186829015</v>
      </c>
    </row>
    <row r="365" spans="1:3" x14ac:dyDescent="0.25">
      <c r="A365" s="1">
        <f>Risk_Analysis!A365</f>
        <v>44707</v>
      </c>
      <c r="B365" s="4">
        <f>B364 * EXP(Risk_Analysis!D365)</f>
        <v>1.0949293567820211</v>
      </c>
      <c r="C365" s="4">
        <f>C364 * EXP(Risk_Analysis!E365)</f>
        <v>1.1890722640602447</v>
      </c>
    </row>
    <row r="366" spans="1:3" x14ac:dyDescent="0.25">
      <c r="A366" s="1">
        <f>Risk_Analysis!A366</f>
        <v>44708</v>
      </c>
      <c r="B366" s="4">
        <f>B365 * EXP(Risk_Analysis!D366)</f>
        <v>1.1218088986141523</v>
      </c>
      <c r="C366" s="4">
        <f>C365 * EXP(Risk_Analysis!E366)</f>
        <v>1.2076590290017606</v>
      </c>
    </row>
    <row r="367" spans="1:3" x14ac:dyDescent="0.25">
      <c r="A367" s="1">
        <f>Risk_Analysis!A367</f>
        <v>44712</v>
      </c>
      <c r="B367" s="4">
        <f>B366 * EXP(Risk_Analysis!D367)</f>
        <v>1.1155144933408996</v>
      </c>
      <c r="C367" s="4">
        <f>C366 * EXP(Risk_Analysis!E367)</f>
        <v>1.190995032847298</v>
      </c>
    </row>
    <row r="368" spans="1:3" x14ac:dyDescent="0.25">
      <c r="A368" s="1">
        <f>Risk_Analysis!A368</f>
        <v>44713</v>
      </c>
      <c r="B368" s="4">
        <f>B367 * EXP(Risk_Analysis!D368)</f>
        <v>1.1064916119620736</v>
      </c>
      <c r="C368" s="4">
        <f>C367 * EXP(Risk_Analysis!E368)</f>
        <v>1.1890722640602447</v>
      </c>
    </row>
    <row r="369" spans="1:3" x14ac:dyDescent="0.25">
      <c r="A369" s="1">
        <f>Risk_Analysis!A369</f>
        <v>44714</v>
      </c>
      <c r="B369" s="4">
        <f>B368 * EXP(Risk_Analysis!D369)</f>
        <v>1.1275630115892719</v>
      </c>
      <c r="C369" s="4">
        <f>C368 * EXP(Risk_Analysis!E369)</f>
        <v>1.1970838006729669</v>
      </c>
    </row>
    <row r="370" spans="1:3" x14ac:dyDescent="0.25">
      <c r="A370" s="1">
        <f>Risk_Analysis!A370</f>
        <v>44715</v>
      </c>
      <c r="B370" s="4">
        <f>B369 * EXP(Risk_Analysis!D370)</f>
        <v>1.1090580003782067</v>
      </c>
      <c r="C370" s="4">
        <f>C369 * EXP(Risk_Analysis!E370)</f>
        <v>1.1913154943118069</v>
      </c>
    </row>
    <row r="371" spans="1:3" x14ac:dyDescent="0.25">
      <c r="A371" s="1">
        <f>Risk_Analysis!A371</f>
        <v>44718</v>
      </c>
      <c r="B371" s="4">
        <f>B370 * EXP(Risk_Analysis!D371)</f>
        <v>1.1124348272415399</v>
      </c>
      <c r="C371" s="4">
        <f>C370 * EXP(Risk_Analysis!E371)</f>
        <v>1.1966031084762039</v>
      </c>
    </row>
    <row r="372" spans="1:3" x14ac:dyDescent="0.25">
      <c r="A372" s="1">
        <f>Risk_Analysis!A372</f>
        <v>44719</v>
      </c>
      <c r="B372" s="4">
        <f>B371 * EXP(Risk_Analysis!D372)</f>
        <v>1.1231056001296722</v>
      </c>
      <c r="C372" s="4">
        <f>C371 * EXP(Risk_Analysis!E372)</f>
        <v>1.2038134914276537</v>
      </c>
    </row>
    <row r="373" spans="1:3" x14ac:dyDescent="0.25">
      <c r="A373" s="1">
        <f>Risk_Analysis!A373</f>
        <v>44720</v>
      </c>
      <c r="B373" s="4">
        <f>B372 * EXP(Risk_Analysis!D373)</f>
        <v>1.11089499419186</v>
      </c>
      <c r="C373" s="4">
        <f>C372 * EXP(Risk_Analysis!E373)</f>
        <v>1.18025957378625</v>
      </c>
    </row>
    <row r="374" spans="1:3" x14ac:dyDescent="0.25">
      <c r="A374" s="1">
        <f>Risk_Analysis!A374</f>
        <v>44721</v>
      </c>
      <c r="B374" s="4">
        <f>B373 * EXP(Risk_Analysis!D374)</f>
        <v>1.0844747008131419</v>
      </c>
      <c r="C374" s="4">
        <f>C373 * EXP(Risk_Analysis!E374)</f>
        <v>1.1518987341772131</v>
      </c>
    </row>
    <row r="375" spans="1:3" x14ac:dyDescent="0.25">
      <c r="A375" s="1">
        <f>Risk_Analysis!A375</f>
        <v>44722</v>
      </c>
      <c r="B375" s="4">
        <f>B374 * EXP(Risk_Analysis!D375)</f>
        <v>1.0530296890617843</v>
      </c>
      <c r="C375" s="4">
        <f>C374 * EXP(Risk_Analysis!E375)</f>
        <v>1.1430860439032187</v>
      </c>
    </row>
    <row r="376" spans="1:3" x14ac:dyDescent="0.25">
      <c r="A376" s="1">
        <f>Risk_Analysis!A376</f>
        <v>44725</v>
      </c>
      <c r="B376" s="4">
        <f>B375 * EXP(Risk_Analysis!D376)</f>
        <v>1.0130480589999207</v>
      </c>
      <c r="C376" s="4">
        <f>C375 * EXP(Risk_Analysis!E376)</f>
        <v>1.0905303637237602</v>
      </c>
    </row>
    <row r="377" spans="1:3" x14ac:dyDescent="0.25">
      <c r="A377" s="1">
        <f>Risk_Analysis!A377</f>
        <v>44726</v>
      </c>
      <c r="B377" s="4">
        <f>B376 * EXP(Risk_Analysis!D377)</f>
        <v>1.0099954075154676</v>
      </c>
      <c r="C377" s="4">
        <f>C376 * EXP(Risk_Analysis!E377)</f>
        <v>1.0629706777759955</v>
      </c>
    </row>
    <row r="378" spans="1:3" x14ac:dyDescent="0.25">
      <c r="A378" s="1">
        <f>Risk_Analysis!A378</f>
        <v>44727</v>
      </c>
      <c r="B378" s="4">
        <f>B377 * EXP(Risk_Analysis!D378)</f>
        <v>1.0243941972607198</v>
      </c>
      <c r="C378" s="4">
        <f>C377 * EXP(Risk_Analysis!E378)</f>
        <v>1.0698605992629366</v>
      </c>
    </row>
    <row r="379" spans="1:3" x14ac:dyDescent="0.25">
      <c r="A379" s="1">
        <f>Risk_Analysis!A379</f>
        <v>44728</v>
      </c>
      <c r="B379" s="4">
        <f>B378 * EXP(Risk_Analysis!D379)</f>
        <v>0.99049085555285576</v>
      </c>
      <c r="C379" s="4">
        <f>C378 * EXP(Risk_Analysis!E379)</f>
        <v>1.0491908348021133</v>
      </c>
    </row>
    <row r="380" spans="1:3" x14ac:dyDescent="0.25">
      <c r="A380" s="1">
        <f>Risk_Analysis!A380</f>
        <v>44729</v>
      </c>
      <c r="B380" s="4">
        <f>B379 * EXP(Risk_Analysis!D380)</f>
        <v>0.98835670097522932</v>
      </c>
      <c r="C380" s="4">
        <f>C379 * EXP(Risk_Analysis!E380)</f>
        <v>1.0394167601345921</v>
      </c>
    </row>
    <row r="381" spans="1:3" x14ac:dyDescent="0.25">
      <c r="A381" s="1">
        <f>Risk_Analysis!A381</f>
        <v>44733</v>
      </c>
      <c r="B381" s="4">
        <f>B380 * EXP(Risk_Analysis!D381)</f>
        <v>1.0132371613042672</v>
      </c>
      <c r="C381" s="4">
        <f>C380 * EXP(Risk_Analysis!E381)</f>
        <v>1.0507931421246577</v>
      </c>
    </row>
    <row r="382" spans="1:3" x14ac:dyDescent="0.25">
      <c r="A382" s="1">
        <f>Risk_Analysis!A382</f>
        <v>44734</v>
      </c>
      <c r="B382" s="4">
        <f>B381 * EXP(Risk_Analysis!D382)</f>
        <v>1.0114001674906141</v>
      </c>
      <c r="C382" s="4">
        <f>C381 * EXP(Risk_Analysis!E382)</f>
        <v>1.0618490626502146</v>
      </c>
    </row>
    <row r="383" spans="1:3" x14ac:dyDescent="0.25">
      <c r="A383" s="1">
        <f>Risk_Analysis!A383</f>
        <v>44735</v>
      </c>
      <c r="B383" s="4">
        <f>B382 * EXP(Risk_Analysis!D383)</f>
        <v>1.0213145311613601</v>
      </c>
      <c r="C383" s="4">
        <f>C382 * EXP(Risk_Analysis!E383)</f>
        <v>1.0868450568819081</v>
      </c>
    </row>
    <row r="384" spans="1:3" x14ac:dyDescent="0.25">
      <c r="A384" s="1">
        <f>Risk_Analysis!A384</f>
        <v>44736</v>
      </c>
      <c r="B384" s="4">
        <f>B383 * EXP(Risk_Analysis!D384)</f>
        <v>1.0537860982791707</v>
      </c>
      <c r="C384" s="4">
        <f>C383 * EXP(Risk_Analysis!E384)</f>
        <v>1.1057522832879327</v>
      </c>
    </row>
    <row r="385" spans="1:3" x14ac:dyDescent="0.25">
      <c r="A385" s="1">
        <f>Risk_Analysis!A385</f>
        <v>44739</v>
      </c>
      <c r="B385" s="4">
        <f>B384 * EXP(Risk_Analysis!D385)</f>
        <v>1.0497609206580776</v>
      </c>
      <c r="C385" s="4">
        <f>C384 * EXP(Risk_Analysis!E385)</f>
        <v>1.1147252042941815</v>
      </c>
    </row>
    <row r="386" spans="1:3" x14ac:dyDescent="0.25">
      <c r="A386" s="1">
        <f>Risk_Analysis!A386</f>
        <v>44740</v>
      </c>
      <c r="B386" s="4">
        <f>B385 * EXP(Risk_Analysis!D386)</f>
        <v>1.028311316422186</v>
      </c>
      <c r="C386" s="4">
        <f>C385 * EXP(Risk_Analysis!E386)</f>
        <v>1.1105592052555662</v>
      </c>
    </row>
    <row r="387" spans="1:3" x14ac:dyDescent="0.25">
      <c r="A387" s="1">
        <f>Risk_Analysis!A387</f>
        <v>44741</v>
      </c>
      <c r="B387" s="4">
        <f>B386 * EXP(Risk_Analysis!D387)</f>
        <v>1.0274738633600793</v>
      </c>
      <c r="C387" s="4">
        <f>C386 * EXP(Risk_Analysis!E387)</f>
        <v>1.1113603589168384</v>
      </c>
    </row>
    <row r="388" spans="1:3" x14ac:dyDescent="0.25">
      <c r="A388" s="1">
        <f>Risk_Analysis!A388</f>
        <v>44742</v>
      </c>
      <c r="B388" s="4">
        <f>B387 * EXP(Risk_Analysis!D388)</f>
        <v>1.01912634735392</v>
      </c>
      <c r="C388" s="4">
        <f>C387 * EXP(Risk_Analysis!E388)</f>
        <v>1.1236981253004308</v>
      </c>
    </row>
    <row r="389" spans="1:3" x14ac:dyDescent="0.25">
      <c r="A389" s="1">
        <f>Risk_Analysis!A389</f>
        <v>44743</v>
      </c>
      <c r="B389" s="4">
        <f>B388 * EXP(Risk_Analysis!D389)</f>
        <v>1.0299051787016793</v>
      </c>
      <c r="C389" s="4">
        <f>C388 * EXP(Risk_Analysis!E389)</f>
        <v>1.1512578112481955</v>
      </c>
    </row>
    <row r="390" spans="1:3" x14ac:dyDescent="0.25">
      <c r="A390" s="1">
        <f>Risk_Analysis!A390</f>
        <v>44747</v>
      </c>
      <c r="B390" s="4">
        <f>B389 * EXP(Risk_Analysis!D390)</f>
        <v>1.0318502309749591</v>
      </c>
      <c r="C390" s="4">
        <f>C389 * EXP(Risk_Analysis!E390)</f>
        <v>1.1120012818458564</v>
      </c>
    </row>
    <row r="391" spans="1:3" x14ac:dyDescent="0.25">
      <c r="A391" s="1">
        <f>Risk_Analysis!A391</f>
        <v>44748</v>
      </c>
      <c r="B391" s="4">
        <f>B390 * EXP(Risk_Analysis!D391)</f>
        <v>1.0353351162979187</v>
      </c>
      <c r="C391" s="4">
        <f>C390 * EXP(Risk_Analysis!E391)</f>
        <v>1.1235378945681764</v>
      </c>
    </row>
    <row r="392" spans="1:3" x14ac:dyDescent="0.25">
      <c r="A392" s="1">
        <f>Risk_Analysis!A392</f>
        <v>44749</v>
      </c>
      <c r="B392" s="4">
        <f>B391 * EXP(Risk_Analysis!D392)</f>
        <v>1.0508415052543443</v>
      </c>
      <c r="C392" s="4">
        <f>C391 * EXP(Risk_Analysis!E392)</f>
        <v>1.1224162794423951</v>
      </c>
    </row>
    <row r="393" spans="1:3" x14ac:dyDescent="0.25">
      <c r="A393" s="1">
        <f>Risk_Analysis!A393</f>
        <v>44750</v>
      </c>
      <c r="B393" s="4">
        <f>B392 * EXP(Risk_Analysis!D393)</f>
        <v>1.049977037577331</v>
      </c>
      <c r="C393" s="4">
        <f>C392 * EXP(Risk_Analysis!E393)</f>
        <v>1.1187309726005428</v>
      </c>
    </row>
    <row r="394" spans="1:3" x14ac:dyDescent="0.25">
      <c r="A394" s="1">
        <f>Risk_Analysis!A394</f>
        <v>44753</v>
      </c>
      <c r="B394" s="4">
        <f>B393 * EXP(Risk_Analysis!D394)</f>
        <v>1.0379825485587719</v>
      </c>
      <c r="C394" s="4">
        <f>C393 * EXP(Risk_Analysis!E394)</f>
        <v>1.1257811248197385</v>
      </c>
    </row>
    <row r="395" spans="1:3" x14ac:dyDescent="0.25">
      <c r="A395" s="1">
        <f>Risk_Analysis!A395</f>
        <v>44754</v>
      </c>
      <c r="B395" s="4">
        <f>B394 * EXP(Risk_Analysis!D395)</f>
        <v>1.028797579490506</v>
      </c>
      <c r="C395" s="4">
        <f>C394 * EXP(Risk_Analysis!E395)</f>
        <v>1.1203332799230874</v>
      </c>
    </row>
    <row r="396" spans="1:3" x14ac:dyDescent="0.25">
      <c r="A396" s="1">
        <f>Risk_Analysis!A396</f>
        <v>44755</v>
      </c>
      <c r="B396" s="4">
        <f>B395 * EXP(Risk_Analysis!D396)</f>
        <v>1.0233946565091732</v>
      </c>
      <c r="C396" s="4">
        <f>C395 * EXP(Risk_Analysis!E396)</f>
        <v>1.1156865886877083</v>
      </c>
    </row>
    <row r="397" spans="1:3" x14ac:dyDescent="0.25">
      <c r="A397" s="1">
        <f>Risk_Analysis!A397</f>
        <v>44756</v>
      </c>
      <c r="B397" s="4">
        <f>B396 * EXP(Risk_Analysis!D397)</f>
        <v>1.0209093119377601</v>
      </c>
      <c r="C397" s="4">
        <f>C396 * EXP(Risk_Analysis!E397)</f>
        <v>1.1156865886877083</v>
      </c>
    </row>
    <row r="398" spans="1:3" x14ac:dyDescent="0.25">
      <c r="A398" s="1">
        <f>Risk_Analysis!A398</f>
        <v>44757</v>
      </c>
      <c r="B398" s="4">
        <f>B397 * EXP(Risk_Analysis!D398)</f>
        <v>1.0404138639003719</v>
      </c>
      <c r="C398" s="4">
        <f>C397 * EXP(Risk_Analysis!E398)</f>
        <v>1.1177695882070162</v>
      </c>
    </row>
    <row r="399" spans="1:3" x14ac:dyDescent="0.25">
      <c r="A399" s="1">
        <f>Risk_Analysis!A399</f>
        <v>44760</v>
      </c>
      <c r="B399" s="4">
        <f>B398 * EXP(Risk_Analysis!D399)</f>
        <v>1.0318232163600525</v>
      </c>
      <c r="C399" s="4">
        <f>C398 * EXP(Risk_Analysis!E399)</f>
        <v>1.102227207178335</v>
      </c>
    </row>
    <row r="400" spans="1:3" x14ac:dyDescent="0.25">
      <c r="A400" s="1">
        <f>Risk_Analysis!A400</f>
        <v>44761</v>
      </c>
      <c r="B400" s="4">
        <f>B399 * EXP(Risk_Analysis!D400)</f>
        <v>1.0597022989437301</v>
      </c>
      <c r="C400" s="4">
        <f>C399 * EXP(Risk_Analysis!E400)</f>
        <v>1.1092773593975305</v>
      </c>
    </row>
    <row r="401" spans="1:3" x14ac:dyDescent="0.25">
      <c r="A401" s="1">
        <f>Risk_Analysis!A401</f>
        <v>44762</v>
      </c>
      <c r="B401" s="4">
        <f>B400 * EXP(Risk_Analysis!D401)</f>
        <v>1.0664559526703963</v>
      </c>
      <c r="C401" s="4">
        <f>C400 * EXP(Risk_Analysis!E401)</f>
        <v>1.0945361320301215</v>
      </c>
    </row>
    <row r="402" spans="1:3" x14ac:dyDescent="0.25">
      <c r="A402" s="1">
        <f>Risk_Analysis!A402</f>
        <v>44763</v>
      </c>
      <c r="B402" s="4">
        <f>B401 * EXP(Risk_Analysis!D402)</f>
        <v>1.0773158278628756</v>
      </c>
      <c r="C402" s="4">
        <f>C401 * EXP(Risk_Analysis!E402)</f>
        <v>1.0974202852107013</v>
      </c>
    </row>
    <row r="403" spans="1:3" x14ac:dyDescent="0.25">
      <c r="A403" s="1">
        <f>Risk_Analysis!A403</f>
        <v>44764</v>
      </c>
      <c r="B403" s="4">
        <f>B402 * EXP(Risk_Analysis!D403)</f>
        <v>1.0673204203474096</v>
      </c>
      <c r="C403" s="4">
        <f>C402 * EXP(Risk_Analysis!E403)</f>
        <v>1.1124819740426195</v>
      </c>
    </row>
    <row r="404" spans="1:3" x14ac:dyDescent="0.25">
      <c r="A404" s="1">
        <f>Risk_Analysis!A404</f>
        <v>44767</v>
      </c>
      <c r="B404" s="4">
        <f>B403 * EXP(Risk_Analysis!D404)</f>
        <v>1.0686171218629295</v>
      </c>
      <c r="C404" s="4">
        <f>C403 * EXP(Risk_Analysis!E404)</f>
        <v>1.1264220477487561</v>
      </c>
    </row>
    <row r="405" spans="1:3" x14ac:dyDescent="0.25">
      <c r="A405" s="1">
        <f>Risk_Analysis!A405</f>
        <v>44768</v>
      </c>
      <c r="B405" s="4">
        <f>B404 * EXP(Risk_Analysis!D405)</f>
        <v>1.0559742820866105</v>
      </c>
      <c r="C405" s="4">
        <f>C404 * EXP(Risk_Analysis!E405)</f>
        <v>1.1331517385034429</v>
      </c>
    </row>
    <row r="406" spans="1:3" x14ac:dyDescent="0.25">
      <c r="A406" s="1">
        <f>Risk_Analysis!A406</f>
        <v>44769</v>
      </c>
      <c r="B406" s="4">
        <f>B405 * EXP(Risk_Analysis!D406)</f>
        <v>1.0833941162168752</v>
      </c>
      <c r="C406" s="4">
        <f>C405 * EXP(Risk_Analysis!E406)</f>
        <v>1.1341131228969696</v>
      </c>
    </row>
    <row r="407" spans="1:3" x14ac:dyDescent="0.25">
      <c r="A407" s="1">
        <f>Risk_Analysis!A407</f>
        <v>44770</v>
      </c>
      <c r="B407" s="4">
        <f>B406 * EXP(Risk_Analysis!D407)</f>
        <v>1.0969824675149273</v>
      </c>
      <c r="C407" s="4">
        <f>C406 * EXP(Risk_Analysis!E407)</f>
        <v>1.1748117288895987</v>
      </c>
    </row>
    <row r="408" spans="1:3" x14ac:dyDescent="0.25">
      <c r="A408" s="1">
        <f>Risk_Analysis!A408</f>
        <v>44771</v>
      </c>
      <c r="B408" s="4">
        <f>B407 * EXP(Risk_Analysis!D408)</f>
        <v>1.1129751195396727</v>
      </c>
      <c r="C408" s="4">
        <f>C407 * EXP(Risk_Analysis!E408)</f>
        <v>1.1849062650216289</v>
      </c>
    </row>
    <row r="409" spans="1:3" x14ac:dyDescent="0.25">
      <c r="A409" s="1">
        <f>Risk_Analysis!A409</f>
        <v>44774</v>
      </c>
      <c r="B409" s="4">
        <f>B408 * EXP(Risk_Analysis!D409)</f>
        <v>1.1096793365210595</v>
      </c>
      <c r="C409" s="4">
        <f>C408 * EXP(Risk_Analysis!E409)</f>
        <v>1.1861881108796644</v>
      </c>
    </row>
    <row r="410" spans="1:3" x14ac:dyDescent="0.25">
      <c r="A410" s="1">
        <f>Risk_Analysis!A410</f>
        <v>44775</v>
      </c>
      <c r="B410" s="4">
        <f>B409 * EXP(Risk_Analysis!D410)</f>
        <v>1.1023583758813535</v>
      </c>
      <c r="C410" s="4">
        <f>C409 * EXP(Risk_Analysis!E410)</f>
        <v>1.1837846498958475</v>
      </c>
    </row>
    <row r="411" spans="1:3" x14ac:dyDescent="0.25">
      <c r="A411" s="1">
        <f>Risk_Analysis!A411</f>
        <v>44776</v>
      </c>
      <c r="B411" s="4">
        <f>B410 * EXP(Risk_Analysis!D411)</f>
        <v>1.1196207148067121</v>
      </c>
      <c r="C411" s="4">
        <f>C410 * EXP(Risk_Analysis!E411)</f>
        <v>1.1911552635795524</v>
      </c>
    </row>
    <row r="412" spans="1:3" x14ac:dyDescent="0.25">
      <c r="A412" s="1">
        <f>Risk_Analysis!A412</f>
        <v>44777</v>
      </c>
      <c r="B412" s="4">
        <f>B411 * EXP(Risk_Analysis!D412)</f>
        <v>1.1188643055893255</v>
      </c>
      <c r="C412" s="4">
        <f>C411 * EXP(Risk_Analysis!E412)</f>
        <v>1.1937189552956236</v>
      </c>
    </row>
    <row r="413" spans="1:3" x14ac:dyDescent="0.25">
      <c r="A413" s="1">
        <f>Risk_Analysis!A413</f>
        <v>44778</v>
      </c>
      <c r="B413" s="4">
        <f>B412 * EXP(Risk_Analysis!D413)</f>
        <v>1.1169732825458589</v>
      </c>
      <c r="C413" s="4">
        <f>C412 * EXP(Risk_Analysis!E413)</f>
        <v>1.1893927255247536</v>
      </c>
    </row>
    <row r="414" spans="1:3" x14ac:dyDescent="0.25">
      <c r="A414" s="1">
        <f>Risk_Analysis!A414</f>
        <v>44781</v>
      </c>
      <c r="B414" s="4">
        <f>B413 * EXP(Risk_Analysis!D414)</f>
        <v>1.1156765810303391</v>
      </c>
      <c r="C414" s="4">
        <f>C413 * EXP(Risk_Analysis!E414)</f>
        <v>1.1911552635795526</v>
      </c>
    </row>
    <row r="415" spans="1:3" x14ac:dyDescent="0.25">
      <c r="A415" s="1">
        <f>Risk_Analysis!A415</f>
        <v>44782</v>
      </c>
      <c r="B415" s="4">
        <f>B414 * EXP(Risk_Analysis!D415)</f>
        <v>1.1112461841856462</v>
      </c>
      <c r="C415" s="4">
        <f>C414 * EXP(Risk_Analysis!E415)</f>
        <v>1.2044544143566716</v>
      </c>
    </row>
    <row r="416" spans="1:3" x14ac:dyDescent="0.25">
      <c r="A416" s="1">
        <f>Risk_Analysis!A416</f>
        <v>44783</v>
      </c>
      <c r="B416" s="4">
        <f>B415 * EXP(Risk_Analysis!D416)</f>
        <v>1.1345868114650042</v>
      </c>
      <c r="C416" s="4">
        <f>C415 * EXP(Risk_Analysis!E416)</f>
        <v>1.209742028521068</v>
      </c>
    </row>
    <row r="417" spans="1:3" x14ac:dyDescent="0.25">
      <c r="A417" s="1">
        <f>Risk_Analysis!A417</f>
        <v>44784</v>
      </c>
      <c r="B417" s="4">
        <f>B416 * EXP(Risk_Analysis!D417)</f>
        <v>1.1345868114650042</v>
      </c>
      <c r="C417" s="4">
        <f>C416 * EXP(Risk_Analysis!E417)</f>
        <v>1.2095817977888135</v>
      </c>
    </row>
    <row r="418" spans="1:3" x14ac:dyDescent="0.25">
      <c r="A418" s="1">
        <f>Risk_Analysis!A418</f>
        <v>44785</v>
      </c>
      <c r="B418" s="4">
        <f>B417 * EXP(Risk_Analysis!D418)</f>
        <v>1.1537942026636425</v>
      </c>
      <c r="C418" s="4">
        <f>C417 * EXP(Risk_Analysis!E418)</f>
        <v>1.2292901778561103</v>
      </c>
    </row>
    <row r="419" spans="1:3" x14ac:dyDescent="0.25">
      <c r="A419" s="1">
        <f>Risk_Analysis!A419</f>
        <v>44788</v>
      </c>
      <c r="B419" s="4">
        <f>B418 * EXP(Risk_Analysis!D419)</f>
        <v>1.1585487748872156</v>
      </c>
      <c r="C419" s="4">
        <f>C418 * EXP(Risk_Analysis!E419)</f>
        <v>1.2395449447203948</v>
      </c>
    </row>
    <row r="420" spans="1:3" x14ac:dyDescent="0.25">
      <c r="A420" s="1">
        <f>Risk_Analysis!A420</f>
        <v>44789</v>
      </c>
      <c r="B420" s="4">
        <f>B419 * EXP(Risk_Analysis!D420)</f>
        <v>1.1608180025393755</v>
      </c>
      <c r="C420" s="4">
        <f>C419 * EXP(Risk_Analysis!E420)</f>
        <v>1.2430700208299925</v>
      </c>
    </row>
    <row r="421" spans="1:3" x14ac:dyDescent="0.25">
      <c r="A421" s="1">
        <f>Risk_Analysis!A421</f>
        <v>44790</v>
      </c>
      <c r="B421" s="4">
        <f>B420 * EXP(Risk_Analysis!D421)</f>
        <v>1.1525785449928427</v>
      </c>
      <c r="C421" s="4">
        <f>C420 * EXP(Risk_Analysis!E421)</f>
        <v>1.2409870213106848</v>
      </c>
    </row>
    <row r="422" spans="1:3" x14ac:dyDescent="0.25">
      <c r="A422" s="1">
        <f>Risk_Analysis!A422</f>
        <v>44791</v>
      </c>
      <c r="B422" s="4">
        <f>B421 * EXP(Risk_Analysis!D422)</f>
        <v>1.1559283572412693</v>
      </c>
      <c r="C422" s="4">
        <f>C421 * EXP(Risk_Analysis!E422)</f>
        <v>1.2456337125460635</v>
      </c>
    </row>
    <row r="423" spans="1:3" x14ac:dyDescent="0.25">
      <c r="A423" s="1">
        <f>Risk_Analysis!A423</f>
        <v>44792</v>
      </c>
      <c r="B423" s="4">
        <f>B422 * EXP(Risk_Analysis!D423)</f>
        <v>1.1403949536699372</v>
      </c>
      <c r="C423" s="4">
        <f>C422 * EXP(Risk_Analysis!E423)</f>
        <v>1.2449927896170458</v>
      </c>
    </row>
    <row r="424" spans="1:3" x14ac:dyDescent="0.25">
      <c r="A424" s="1">
        <f>Risk_Analysis!A424</f>
        <v>44795</v>
      </c>
      <c r="B424" s="4">
        <f>B423 * EXP(Risk_Analysis!D424)</f>
        <v>1.1166491071669791</v>
      </c>
      <c r="C424" s="4">
        <f>C423 * EXP(Risk_Analysis!E424)</f>
        <v>1.2280083319980746</v>
      </c>
    </row>
    <row r="425" spans="1:3" x14ac:dyDescent="0.25">
      <c r="A425" s="1">
        <f>Risk_Analysis!A425</f>
        <v>44796</v>
      </c>
      <c r="B425" s="4">
        <f>B424 * EXP(Risk_Analysis!D425)</f>
        <v>1.1139476456763127</v>
      </c>
      <c r="C425" s="4">
        <f>C424 * EXP(Risk_Analysis!E425)</f>
        <v>1.2206377183143702</v>
      </c>
    </row>
    <row r="426" spans="1:3" x14ac:dyDescent="0.25">
      <c r="A426" s="1">
        <f>Risk_Analysis!A426</f>
        <v>44797</v>
      </c>
      <c r="B426" s="4">
        <f>B425 * EXP(Risk_Analysis!D426)</f>
        <v>1.1175135748439924</v>
      </c>
      <c r="C426" s="4">
        <f>C425 * EXP(Risk_Analysis!E426)</f>
        <v>1.2244832558884768</v>
      </c>
    </row>
    <row r="427" spans="1:3" x14ac:dyDescent="0.25">
      <c r="A427" s="1">
        <f>Risk_Analysis!A427</f>
        <v>44798</v>
      </c>
      <c r="B427" s="4">
        <f>B426 * EXP(Risk_Analysis!D427)</f>
        <v>1.1332901099494843</v>
      </c>
      <c r="C427" s="4">
        <f>C426 * EXP(Risk_Analysis!E427)</f>
        <v>1.2320141003044356</v>
      </c>
    </row>
    <row r="428" spans="1:3" x14ac:dyDescent="0.25">
      <c r="A428" s="1">
        <f>Risk_Analysis!A428</f>
        <v>44799</v>
      </c>
      <c r="B428" s="4">
        <f>B427 * EXP(Risk_Analysis!D428)</f>
        <v>1.0949293567820206</v>
      </c>
      <c r="C428" s="4">
        <f>C427 * EXP(Risk_Analysis!E428)</f>
        <v>1.2131068738984108</v>
      </c>
    </row>
    <row r="429" spans="1:3" x14ac:dyDescent="0.25">
      <c r="A429" s="1">
        <f>Risk_Analysis!A429</f>
        <v>44802</v>
      </c>
      <c r="B429" s="4">
        <f>B428 * EXP(Risk_Analysis!D429)</f>
        <v>1.0876894399870345</v>
      </c>
      <c r="C429" s="4">
        <f>C428 * EXP(Risk_Analysis!E429)</f>
        <v>1.2167921807402631</v>
      </c>
    </row>
    <row r="430" spans="1:3" x14ac:dyDescent="0.25">
      <c r="A430" s="1">
        <f>Risk_Analysis!A430</f>
        <v>44803</v>
      </c>
      <c r="B430" s="4">
        <f>B429 * EXP(Risk_Analysis!D430)</f>
        <v>1.0757489801982887</v>
      </c>
      <c r="C430" s="4">
        <f>C429 * EXP(Risk_Analysis!E430)</f>
        <v>1.1990065694600196</v>
      </c>
    </row>
    <row r="431" spans="1:3" x14ac:dyDescent="0.25">
      <c r="A431" s="1">
        <f>Risk_Analysis!A431</f>
        <v>44804</v>
      </c>
      <c r="B431" s="4">
        <f>B430 * EXP(Risk_Analysis!D431)</f>
        <v>1.0675635518815694</v>
      </c>
      <c r="C431" s="4">
        <f>C430 * EXP(Risk_Analysis!E431)</f>
        <v>1.1911552635795519</v>
      </c>
    </row>
    <row r="432" spans="1:3" x14ac:dyDescent="0.25">
      <c r="A432" s="1">
        <f>Risk_Analysis!A432</f>
        <v>44805</v>
      </c>
      <c r="B432" s="4">
        <f>B431 * EXP(Risk_Analysis!D432)</f>
        <v>1.0709133641299957</v>
      </c>
      <c r="C432" s="4">
        <f>C431 * EXP(Risk_Analysis!E432)</f>
        <v>1.2082999519307773</v>
      </c>
    </row>
    <row r="433" spans="1:3" x14ac:dyDescent="0.25">
      <c r="A433" s="1">
        <f>Risk_Analysis!A433</f>
        <v>44806</v>
      </c>
      <c r="B433" s="4">
        <f>B432 * EXP(Risk_Analysis!D433)</f>
        <v>1.0596212550990098</v>
      </c>
      <c r="C433" s="4">
        <f>C432 * EXP(Risk_Analysis!E433)</f>
        <v>1.1953212626181671</v>
      </c>
    </row>
    <row r="434" spans="1:3" x14ac:dyDescent="0.25">
      <c r="A434" s="1">
        <f>Risk_Analysis!A434</f>
        <v>44810</v>
      </c>
      <c r="B434" s="4">
        <f>B433 * EXP(Risk_Analysis!D434)</f>
        <v>1.0556230920928233</v>
      </c>
      <c r="C434" s="4">
        <f>C433 * EXP(Risk_Analysis!E434)</f>
        <v>1.1983656465310017</v>
      </c>
    </row>
    <row r="435" spans="1:3" x14ac:dyDescent="0.25">
      <c r="A435" s="1">
        <f>Risk_Analysis!A435</f>
        <v>44811</v>
      </c>
      <c r="B435" s="4">
        <f>B434 * EXP(Risk_Analysis!D435)</f>
        <v>1.0745873517573017</v>
      </c>
      <c r="C435" s="4">
        <f>C434 * EXP(Risk_Analysis!E435)</f>
        <v>1.235859637878542</v>
      </c>
    </row>
    <row r="436" spans="1:3" x14ac:dyDescent="0.25">
      <c r="A436" s="1">
        <f>Risk_Analysis!A436</f>
        <v>44812</v>
      </c>
      <c r="B436" s="4">
        <f>B435 * EXP(Risk_Analysis!D436)</f>
        <v>1.0816111516330345</v>
      </c>
      <c r="C436" s="4">
        <f>C435 * EXP(Risk_Analysis!E436)</f>
        <v>1.2348982534850153</v>
      </c>
    </row>
    <row r="437" spans="1:3" x14ac:dyDescent="0.25">
      <c r="A437" s="1">
        <f>Risk_Analysis!A437</f>
        <v>44813</v>
      </c>
      <c r="B437" s="4">
        <f>B436 * EXP(Risk_Analysis!D437)</f>
        <v>1.0984142421049801</v>
      </c>
      <c r="C437" s="4">
        <f>C436 * EXP(Risk_Analysis!E437)</f>
        <v>1.2398654061849033</v>
      </c>
    </row>
    <row r="438" spans="1:3" x14ac:dyDescent="0.25">
      <c r="A438" s="1">
        <f>Risk_Analysis!A438</f>
        <v>44816</v>
      </c>
      <c r="B438" s="4">
        <f>B437 * EXP(Risk_Analysis!D438)</f>
        <v>1.1102196288191926</v>
      </c>
      <c r="C438" s="4">
        <f>C437 * EXP(Risk_Analysis!E438)</f>
        <v>1.2517224803717324</v>
      </c>
    </row>
    <row r="439" spans="1:3" x14ac:dyDescent="0.25">
      <c r="A439" s="1">
        <f>Risk_Analysis!A439</f>
        <v>44817</v>
      </c>
      <c r="B439" s="4">
        <f>B438 * EXP(Risk_Analysis!D439)</f>
        <v>1.0619445119809829</v>
      </c>
      <c r="C439" s="4">
        <f>C438 * EXP(Risk_Analysis!E439)</f>
        <v>1.2183944880628077</v>
      </c>
    </row>
    <row r="440" spans="1:3" x14ac:dyDescent="0.25">
      <c r="A440" s="1">
        <f>Risk_Analysis!A440</f>
        <v>44818</v>
      </c>
      <c r="B440" s="4">
        <f>B439 * EXP(Risk_Analysis!D440)</f>
        <v>1.0659967042169827</v>
      </c>
      <c r="C440" s="4">
        <f>C439 * EXP(Risk_Analysis!E440)</f>
        <v>1.2283287934625831</v>
      </c>
    </row>
    <row r="441" spans="1:3" x14ac:dyDescent="0.25">
      <c r="A441" s="1">
        <f>Risk_Analysis!A441</f>
        <v>44819</v>
      </c>
      <c r="B441" s="4">
        <f>B440 * EXP(Risk_Analysis!D441)</f>
        <v>1.0538941567387969</v>
      </c>
      <c r="C441" s="4">
        <f>C440 * EXP(Risk_Analysis!E441)</f>
        <v>1.1977247236019839</v>
      </c>
    </row>
    <row r="442" spans="1:3" x14ac:dyDescent="0.25">
      <c r="A442" s="1">
        <f>Risk_Analysis!A442</f>
        <v>44820</v>
      </c>
      <c r="B442" s="4">
        <f>B441 * EXP(Risk_Analysis!D442)</f>
        <v>1.0415754923413578</v>
      </c>
      <c r="C442" s="4">
        <f>C441 * EXP(Risk_Analysis!E442)</f>
        <v>1.1932382630988594</v>
      </c>
    </row>
    <row r="443" spans="1:3" x14ac:dyDescent="0.25">
      <c r="A443" s="1">
        <f>Risk_Analysis!A443</f>
        <v>44823</v>
      </c>
      <c r="B443" s="4">
        <f>B442 * EXP(Risk_Analysis!D443)</f>
        <v>1.0496528621984504</v>
      </c>
      <c r="C443" s="4">
        <f>C442 * EXP(Risk_Analysis!E443)</f>
        <v>1.2010895689793273</v>
      </c>
    </row>
    <row r="444" spans="1:3" x14ac:dyDescent="0.25">
      <c r="A444" s="1">
        <f>Risk_Analysis!A444</f>
        <v>44824</v>
      </c>
      <c r="B444" s="4">
        <f>B443 * EXP(Risk_Analysis!D444)</f>
        <v>1.0376043439500779</v>
      </c>
      <c r="C444" s="4">
        <f>C443 * EXP(Risk_Analysis!E444)</f>
        <v>1.183624419163593</v>
      </c>
    </row>
    <row r="445" spans="1:3" x14ac:dyDescent="0.25">
      <c r="A445" s="1">
        <f>Risk_Analysis!A445</f>
        <v>44825</v>
      </c>
      <c r="B445" s="4">
        <f>B444 * EXP(Risk_Analysis!D445)</f>
        <v>1.0195045519626127</v>
      </c>
      <c r="C445" s="4">
        <f>C444 * EXP(Risk_Analysis!E445)</f>
        <v>1.1674411152058939</v>
      </c>
    </row>
    <row r="446" spans="1:3" x14ac:dyDescent="0.25">
      <c r="A446" s="1">
        <f>Risk_Analysis!A446</f>
        <v>44826</v>
      </c>
      <c r="B446" s="4">
        <f>B445 * EXP(Risk_Analysis!D446)</f>
        <v>1.0109409190372001</v>
      </c>
      <c r="C446" s="4">
        <f>C445 * EXP(Risk_Analysis!E446)</f>
        <v>1.1632751161672781</v>
      </c>
    </row>
    <row r="447" spans="1:3" x14ac:dyDescent="0.25">
      <c r="A447" s="1">
        <f>Risk_Analysis!A447</f>
        <v>44827</v>
      </c>
      <c r="B447" s="4">
        <f>B446 * EXP(Risk_Analysis!D447)</f>
        <v>0.99400275549072126</v>
      </c>
      <c r="C447" s="4">
        <f>C446 * EXP(Risk_Analysis!E447)</f>
        <v>1.1498157346579048</v>
      </c>
    </row>
    <row r="448" spans="1:3" x14ac:dyDescent="0.25">
      <c r="A448" s="1">
        <f>Risk_Analysis!A448</f>
        <v>44830</v>
      </c>
      <c r="B448" s="4">
        <f>B447 * EXP(Risk_Analysis!D448)</f>
        <v>0.9841694356646955</v>
      </c>
      <c r="C448" s="4">
        <f>C447 * EXP(Risk_Analysis!E448)</f>
        <v>1.1220958179778855</v>
      </c>
    </row>
    <row r="449" spans="1:3" x14ac:dyDescent="0.25">
      <c r="A449" s="1">
        <f>Risk_Analysis!A449</f>
        <v>44831</v>
      </c>
      <c r="B449" s="4">
        <f>B448 * EXP(Risk_Analysis!D449)</f>
        <v>0.98165707647837575</v>
      </c>
      <c r="C449" s="4">
        <f>C448 * EXP(Risk_Analysis!E449)</f>
        <v>1.1031885915718609</v>
      </c>
    </row>
    <row r="450" spans="1:3" x14ac:dyDescent="0.25">
      <c r="A450" s="1">
        <f>Risk_Analysis!A450</f>
        <v>44832</v>
      </c>
      <c r="B450" s="4">
        <f>B449 * EXP(Risk_Analysis!D450)</f>
        <v>1.0009725261366409</v>
      </c>
      <c r="C450" s="4">
        <f>C449 * EXP(Risk_Analysis!E450)</f>
        <v>1.1150456657586902</v>
      </c>
    </row>
    <row r="451" spans="1:3" x14ac:dyDescent="0.25">
      <c r="A451" s="1">
        <f>Risk_Analysis!A451</f>
        <v>44833</v>
      </c>
      <c r="B451" s="4">
        <f>B450 * EXP(Risk_Analysis!D451)</f>
        <v>0.98006321419888276</v>
      </c>
      <c r="C451" s="4">
        <f>C450 * EXP(Risk_Analysis!E451)</f>
        <v>1.0703412914596997</v>
      </c>
    </row>
    <row r="452" spans="1:3" x14ac:dyDescent="0.25">
      <c r="A452" s="1">
        <f>Risk_Analysis!A452</f>
        <v>44834</v>
      </c>
      <c r="B452" s="4">
        <f>B451 * EXP(Risk_Analysis!D452)</f>
        <v>0.96490801523624392</v>
      </c>
      <c r="C452" s="4">
        <f>C451 * EXP(Risk_Analysis!E452)</f>
        <v>1.0496715269988763</v>
      </c>
    </row>
    <row r="453" spans="1:3" x14ac:dyDescent="0.25">
      <c r="A453" s="1">
        <f>Risk_Analysis!A453</f>
        <v>44837</v>
      </c>
      <c r="B453" s="4">
        <f>B452 * EXP(Risk_Analysis!D453)</f>
        <v>0.99038279709322863</v>
      </c>
      <c r="C453" s="4">
        <f>C452 * EXP(Risk_Analysis!E453)</f>
        <v>1.0804358275917301</v>
      </c>
    </row>
    <row r="454" spans="1:3" x14ac:dyDescent="0.25">
      <c r="A454" s="1">
        <f>Risk_Analysis!A454</f>
        <v>44838</v>
      </c>
      <c r="B454" s="4">
        <f>B453 * EXP(Risk_Analysis!D454)</f>
        <v>1.0210713996271996</v>
      </c>
      <c r="C454" s="4">
        <f>C453 * EXP(Risk_Analysis!E454)</f>
        <v>1.1033488223041157</v>
      </c>
    </row>
    <row r="455" spans="1:3" x14ac:dyDescent="0.25">
      <c r="A455" s="1">
        <f>Risk_Analysis!A455</f>
        <v>44839</v>
      </c>
      <c r="B455" s="4">
        <f>B454 * EXP(Risk_Analysis!D455)</f>
        <v>1.0186941135154131</v>
      </c>
      <c r="C455" s="4">
        <f>C454 * EXP(Risk_Analysis!E455)</f>
        <v>1.0788335202691854</v>
      </c>
    </row>
    <row r="456" spans="1:3" x14ac:dyDescent="0.25">
      <c r="A456" s="1">
        <f>Risk_Analysis!A456</f>
        <v>44840</v>
      </c>
      <c r="B456" s="4">
        <f>B455 * EXP(Risk_Analysis!D456)</f>
        <v>1.0081854283167206</v>
      </c>
      <c r="C456" s="4">
        <f>C455 * EXP(Risk_Analysis!E456)</f>
        <v>1.0432622977086985</v>
      </c>
    </row>
    <row r="457" spans="1:3" x14ac:dyDescent="0.25">
      <c r="A457" s="1">
        <f>Risk_Analysis!A457</f>
        <v>44841</v>
      </c>
      <c r="B457" s="4">
        <f>B456 * EXP(Risk_Analysis!D457)</f>
        <v>0.98006321419888298</v>
      </c>
      <c r="C457" s="4">
        <f>C456 * EXP(Risk_Analysis!E457)</f>
        <v>1.0216311488543484</v>
      </c>
    </row>
    <row r="458" spans="1:3" x14ac:dyDescent="0.25">
      <c r="A458" s="1">
        <f>Risk_Analysis!A458</f>
        <v>44844</v>
      </c>
      <c r="B458" s="4">
        <f>B457 * EXP(Risk_Analysis!D458)</f>
        <v>0.97258016586973683</v>
      </c>
      <c r="C458" s="4">
        <f>C457 * EXP(Risk_Analysis!E458)</f>
        <v>1.0233936869091473</v>
      </c>
    </row>
    <row r="459" spans="1:3" x14ac:dyDescent="0.25">
      <c r="A459" s="1">
        <f>Risk_Analysis!A459</f>
        <v>44845</v>
      </c>
      <c r="B459" s="4">
        <f>B458 * EXP(Risk_Analysis!D459)</f>
        <v>0.96642083367101739</v>
      </c>
      <c r="C459" s="4">
        <f>C458 * EXP(Risk_Analysis!E459)</f>
        <v>1.0197083800672953</v>
      </c>
    </row>
    <row r="460" spans="1:3" x14ac:dyDescent="0.25">
      <c r="A460" s="1">
        <f>Risk_Analysis!A460</f>
        <v>44846</v>
      </c>
      <c r="B460" s="4">
        <f>B459 * EXP(Risk_Analysis!D460)</f>
        <v>0.96323310911203097</v>
      </c>
      <c r="C460" s="4">
        <f>C459 * EXP(Risk_Analysis!E460)</f>
        <v>0.98573946482935271</v>
      </c>
    </row>
    <row r="461" spans="1:3" x14ac:dyDescent="0.25">
      <c r="A461" s="1">
        <f>Risk_Analysis!A461</f>
        <v>44847</v>
      </c>
      <c r="B461" s="4">
        <f>B460 * EXP(Risk_Analysis!D461)</f>
        <v>0.98865386173920244</v>
      </c>
      <c r="C461" s="4">
        <f>C460 * EXP(Risk_Analysis!E461)</f>
        <v>1.0104149975965373</v>
      </c>
    </row>
    <row r="462" spans="1:3" x14ac:dyDescent="0.25">
      <c r="A462" s="1">
        <f>Risk_Analysis!A462</f>
        <v>44848</v>
      </c>
      <c r="B462" s="4">
        <f>B461 * EXP(Risk_Analysis!D462)</f>
        <v>0.96612367290704415</v>
      </c>
      <c r="C462" s="4">
        <f>C461 * EXP(Risk_Analysis!E462)</f>
        <v>0.99583400096138264</v>
      </c>
    </row>
    <row r="463" spans="1:3" x14ac:dyDescent="0.25">
      <c r="A463" s="1">
        <f>Risk_Analysis!A463</f>
        <v>44851</v>
      </c>
      <c r="B463" s="4">
        <f>B462 * EXP(Risk_Analysis!D463)</f>
        <v>0.99095010400626882</v>
      </c>
      <c r="C463" s="4">
        <f>C462 * EXP(Risk_Analysis!E463)</f>
        <v>1.0166639961544606</v>
      </c>
    </row>
    <row r="464" spans="1:3" x14ac:dyDescent="0.25">
      <c r="A464" s="1">
        <f>Risk_Analysis!A464</f>
        <v>44852</v>
      </c>
      <c r="B464" s="4">
        <f>B463 * EXP(Risk_Analysis!D464)</f>
        <v>1.0025934030310413</v>
      </c>
      <c r="C464" s="4">
        <f>C463 * EXP(Risk_Analysis!E464)</f>
        <v>1.0352507610959762</v>
      </c>
    </row>
    <row r="465" spans="1:3" x14ac:dyDescent="0.25">
      <c r="A465" s="1">
        <f>Risk_Analysis!A465</f>
        <v>44853</v>
      </c>
      <c r="B465" s="4">
        <f>B464 * EXP(Risk_Analysis!D465)</f>
        <v>0.99548855931058844</v>
      </c>
      <c r="C465" s="4">
        <f>C464 * EXP(Risk_Analysis!E465)</f>
        <v>1.0217913795866027</v>
      </c>
    </row>
    <row r="466" spans="1:3" x14ac:dyDescent="0.25">
      <c r="A466" s="1">
        <f>Risk_Analysis!A466</f>
        <v>44854</v>
      </c>
      <c r="B466" s="4">
        <f>B465 * EXP(Risk_Analysis!D466)</f>
        <v>0.9871410433044292</v>
      </c>
      <c r="C466" s="4">
        <f>C465 * EXP(Risk_Analysis!E466)</f>
        <v>0.99599423169363677</v>
      </c>
    </row>
    <row r="467" spans="1:3" x14ac:dyDescent="0.25">
      <c r="A467" s="1">
        <f>Risk_Analysis!A467</f>
        <v>44855</v>
      </c>
      <c r="B467" s="4">
        <f>B466 * EXP(Risk_Analysis!D467)</f>
        <v>1.0111300213415475</v>
      </c>
      <c r="C467" s="4">
        <f>C466 * EXP(Risk_Analysis!E467)</f>
        <v>1.0144207659028981</v>
      </c>
    </row>
    <row r="468" spans="1:3" x14ac:dyDescent="0.25">
      <c r="A468" s="1">
        <f>Risk_Analysis!A468</f>
        <v>44858</v>
      </c>
      <c r="B468" s="4">
        <f>B467 * EXP(Risk_Analysis!D468)</f>
        <v>1.0235027149687999</v>
      </c>
      <c r="C468" s="4">
        <f>C467 * EXP(Risk_Analysis!E468)</f>
        <v>1.0229129947123838</v>
      </c>
    </row>
    <row r="469" spans="1:3" x14ac:dyDescent="0.25">
      <c r="A469" s="1">
        <f>Risk_Analysis!A469</f>
        <v>44859</v>
      </c>
      <c r="B469" s="4">
        <f>B468 * EXP(Risk_Analysis!D469)</f>
        <v>1.0398465569873319</v>
      </c>
      <c r="C469" s="4">
        <f>C468 * EXP(Risk_Analysis!E469)</f>
        <v>1.0434225284409528</v>
      </c>
    </row>
    <row r="470" spans="1:3" x14ac:dyDescent="0.25">
      <c r="A470" s="1">
        <f>Risk_Analysis!A470</f>
        <v>44860</v>
      </c>
      <c r="B470" s="4">
        <f>B469 * EXP(Risk_Analysis!D470)</f>
        <v>1.032012318664399</v>
      </c>
      <c r="C470" s="4">
        <f>C469 * EXP(Risk_Analysis!E470)</f>
        <v>1.0429418362441896</v>
      </c>
    </row>
    <row r="471" spans="1:3" x14ac:dyDescent="0.25">
      <c r="A471" s="1">
        <f>Risk_Analysis!A471</f>
        <v>44861</v>
      </c>
      <c r="B471" s="4">
        <f>B470 * EXP(Risk_Analysis!D471)</f>
        <v>1.0265013372234395</v>
      </c>
      <c r="C471" s="4">
        <f>C470 * EXP(Risk_Analysis!E471)</f>
        <v>1.0512738343214207</v>
      </c>
    </row>
    <row r="472" spans="1:3" x14ac:dyDescent="0.25">
      <c r="A472" s="1">
        <f>Risk_Analysis!A472</f>
        <v>44862</v>
      </c>
      <c r="B472" s="4">
        <f>B471 * EXP(Risk_Analysis!D472)</f>
        <v>1.0509225490990641</v>
      </c>
      <c r="C472" s="4">
        <f>C471 * EXP(Risk_Analysis!E472)</f>
        <v>1.0801153661272211</v>
      </c>
    </row>
    <row r="473" spans="1:3" x14ac:dyDescent="0.25">
      <c r="A473" s="1">
        <f>Risk_Analysis!A473</f>
        <v>44865</v>
      </c>
      <c r="B473" s="4">
        <f>B472 * EXP(Risk_Analysis!D473)</f>
        <v>1.0433314423102913</v>
      </c>
      <c r="C473" s="4">
        <f>C472 * EXP(Risk_Analysis!E473)</f>
        <v>1.0700208299951912</v>
      </c>
    </row>
    <row r="474" spans="1:3" x14ac:dyDescent="0.25">
      <c r="A474" s="1">
        <f>Risk_Analysis!A474</f>
        <v>44866</v>
      </c>
      <c r="B474" s="4">
        <f>B473 * EXP(Risk_Analysis!D474)</f>
        <v>1.0387659723910649</v>
      </c>
      <c r="C474" s="4">
        <f>C473 * EXP(Risk_Analysis!E474)</f>
        <v>1.074186829033807</v>
      </c>
    </row>
    <row r="475" spans="1:3" x14ac:dyDescent="0.25">
      <c r="A475" s="1">
        <f>Risk_Analysis!A475</f>
        <v>44867</v>
      </c>
      <c r="B475" s="4">
        <f>B474 * EXP(Risk_Analysis!D475)</f>
        <v>1.0126968690061338</v>
      </c>
      <c r="C475" s="4">
        <f>C474 * EXP(Risk_Analysis!E475)</f>
        <v>1.0637718314372679</v>
      </c>
    </row>
    <row r="476" spans="1:3" x14ac:dyDescent="0.25">
      <c r="A476" s="1">
        <f>Risk_Analysis!A476</f>
        <v>44868</v>
      </c>
      <c r="B476" s="4">
        <f>B475 * EXP(Risk_Analysis!D476)</f>
        <v>1.0022692276521612</v>
      </c>
      <c r="C476" s="4">
        <f>C475 * EXP(Risk_Analysis!E476)</f>
        <v>1.068418522672647</v>
      </c>
    </row>
    <row r="477" spans="1:3" x14ac:dyDescent="0.25">
      <c r="A477" s="1">
        <f>Risk_Analysis!A477</f>
        <v>44869</v>
      </c>
      <c r="B477" s="4">
        <f>B476 * EXP(Risk_Analysis!D477)</f>
        <v>1.01669503201232</v>
      </c>
      <c r="C477" s="4">
        <f>C476 * EXP(Risk_Analysis!E477)</f>
        <v>1.0749879826950794</v>
      </c>
    </row>
    <row r="478" spans="1:3" x14ac:dyDescent="0.25">
      <c r="A478" s="1">
        <f>Risk_Analysis!A478</f>
        <v>44872</v>
      </c>
      <c r="B478" s="4">
        <f>B477 * EXP(Risk_Analysis!D478)</f>
        <v>1.0264202933787192</v>
      </c>
      <c r="C478" s="4">
        <f>C477 * EXP(Risk_Analysis!E478)</f>
        <v>1.0544784489665104</v>
      </c>
    </row>
    <row r="479" spans="1:3" x14ac:dyDescent="0.25">
      <c r="A479" s="1">
        <f>Risk_Analysis!A479</f>
        <v>44873</v>
      </c>
      <c r="B479" s="4">
        <f>B478 * EXP(Risk_Analysis!D479)</f>
        <v>1.0319582894345856</v>
      </c>
      <c r="C479" s="4">
        <f>C478 * EXP(Risk_Analysis!E479)</f>
        <v>1.0618490626502148</v>
      </c>
    </row>
    <row r="480" spans="1:3" x14ac:dyDescent="0.25">
      <c r="A480" s="1">
        <f>Risk_Analysis!A480</f>
        <v>44874</v>
      </c>
      <c r="B480" s="4">
        <f>B479 * EXP(Risk_Analysis!D480)</f>
        <v>1.0106977875030405</v>
      </c>
      <c r="C480" s="4">
        <f>C479 * EXP(Risk_Analysis!E480)</f>
        <v>1.0535170645729837</v>
      </c>
    </row>
    <row r="481" spans="1:3" x14ac:dyDescent="0.25">
      <c r="A481" s="1">
        <f>Risk_Analysis!A481</f>
        <v>44875</v>
      </c>
      <c r="B481" s="4">
        <f>B480 * EXP(Risk_Analysis!D481)</f>
        <v>1.0662398357511429</v>
      </c>
      <c r="C481" s="4">
        <f>C480 * EXP(Risk_Analysis!E481)</f>
        <v>1.1031885915718618</v>
      </c>
    </row>
    <row r="482" spans="1:3" x14ac:dyDescent="0.25">
      <c r="A482" s="1">
        <f>Risk_Analysis!A482</f>
        <v>44876</v>
      </c>
      <c r="B482" s="4">
        <f>B481 * EXP(Risk_Analysis!D482)</f>
        <v>1.0765594186454888</v>
      </c>
      <c r="C482" s="4">
        <f>C481 * EXP(Risk_Analysis!E482)</f>
        <v>1.0908508251882694</v>
      </c>
    </row>
    <row r="483" spans="1:3" x14ac:dyDescent="0.25">
      <c r="A483" s="1">
        <f>Risk_Analysis!A483</f>
        <v>44879</v>
      </c>
      <c r="B483" s="4">
        <f>B482 * EXP(Risk_Analysis!D483)</f>
        <v>1.0674014641921294</v>
      </c>
      <c r="C483" s="4">
        <f>C482 * EXP(Risk_Analysis!E483)</f>
        <v>1.0778721358756591</v>
      </c>
    </row>
    <row r="484" spans="1:3" x14ac:dyDescent="0.25">
      <c r="A484" s="1">
        <f>Risk_Analysis!A484</f>
        <v>44880</v>
      </c>
      <c r="B484" s="4">
        <f>B483 * EXP(Risk_Analysis!D484)</f>
        <v>1.0765053894156753</v>
      </c>
      <c r="C484" s="4">
        <f>C483 * EXP(Risk_Analysis!E484)</f>
        <v>1.0897292100624882</v>
      </c>
    </row>
    <row r="485" spans="1:3" x14ac:dyDescent="0.25">
      <c r="A485" s="1">
        <f>Risk_Analysis!A485</f>
        <v>44881</v>
      </c>
      <c r="B485" s="4">
        <f>B484 * EXP(Risk_Analysis!D485)</f>
        <v>1.0682929464840492</v>
      </c>
      <c r="C485" s="4">
        <f>C484 * EXP(Risk_Analysis!E485)</f>
        <v>1.0995032847300095</v>
      </c>
    </row>
    <row r="486" spans="1:3" x14ac:dyDescent="0.25">
      <c r="A486" s="1">
        <f>Risk_Analysis!A486</f>
        <v>44882</v>
      </c>
      <c r="B486" s="4">
        <f>B485 * EXP(Risk_Analysis!D486)</f>
        <v>1.0650241780803429</v>
      </c>
      <c r="C486" s="4">
        <f>C485 * EXP(Risk_Analysis!E486)</f>
        <v>1.0802755968594759</v>
      </c>
    </row>
    <row r="487" spans="1:3" x14ac:dyDescent="0.25">
      <c r="A487" s="1">
        <f>Risk_Analysis!A487</f>
        <v>44883</v>
      </c>
      <c r="B487" s="4">
        <f>B486 * EXP(Risk_Analysis!D487)</f>
        <v>1.0698597941486356</v>
      </c>
      <c r="C487" s="4">
        <f>C486 * EXP(Risk_Analysis!E487)</f>
        <v>1.1031885915718616</v>
      </c>
    </row>
    <row r="488" spans="1:3" x14ac:dyDescent="0.25">
      <c r="A488" s="1">
        <f>Risk_Analysis!A488</f>
        <v>44886</v>
      </c>
      <c r="B488" s="4">
        <f>B487 * EXP(Risk_Analysis!D488)</f>
        <v>1.0659696896020758</v>
      </c>
      <c r="C488" s="4">
        <f>C487 * EXP(Risk_Analysis!E488)</f>
        <v>1.1081557442717496</v>
      </c>
    </row>
    <row r="489" spans="1:3" x14ac:dyDescent="0.25">
      <c r="A489" s="1">
        <f>Risk_Analysis!A489</f>
        <v>44887</v>
      </c>
      <c r="B489" s="4">
        <f>B488 * EXP(Risk_Analysis!D489)</f>
        <v>1.0803144501175146</v>
      </c>
      <c r="C489" s="4">
        <f>C488 * EXP(Risk_Analysis!E489)</f>
        <v>1.1176093574747619</v>
      </c>
    </row>
    <row r="490" spans="1:3" x14ac:dyDescent="0.25">
      <c r="A490" s="1">
        <f>Risk_Analysis!A490</f>
        <v>44888</v>
      </c>
      <c r="B490" s="4">
        <f>B489 * EXP(Risk_Analysis!D490)</f>
        <v>1.087122133073994</v>
      </c>
      <c r="C490" s="4">
        <f>C489 * EXP(Risk_Analysis!E490)</f>
        <v>1.1301073545906086</v>
      </c>
    </row>
    <row r="491" spans="1:3" x14ac:dyDescent="0.25">
      <c r="A491" s="1">
        <f>Risk_Analysis!A491</f>
        <v>44890</v>
      </c>
      <c r="B491" s="4">
        <f>B490 * EXP(Risk_Analysis!D491)</f>
        <v>1.086879001539834</v>
      </c>
      <c r="C491" s="4">
        <f>C490 * EXP(Risk_Analysis!E491)</f>
        <v>1.136676814613041</v>
      </c>
    </row>
    <row r="492" spans="1:3" x14ac:dyDescent="0.25">
      <c r="A492" s="1">
        <f>Risk_Analysis!A492</f>
        <v>44893</v>
      </c>
      <c r="B492" s="4">
        <f>B491 * EXP(Risk_Analysis!D492)</f>
        <v>1.0695356187697553</v>
      </c>
      <c r="C492" s="4">
        <f>C491 * EXP(Risk_Analysis!E492)</f>
        <v>1.1249799711584665</v>
      </c>
    </row>
    <row r="493" spans="1:3" x14ac:dyDescent="0.25">
      <c r="A493" s="1">
        <f>Risk_Analysis!A493</f>
        <v>44894</v>
      </c>
      <c r="B493" s="4">
        <f>B492 * EXP(Risk_Analysis!D493)</f>
        <v>1.0676986249561022</v>
      </c>
      <c r="C493" s="4">
        <f>C492 * EXP(Risk_Analysis!E493)</f>
        <v>1.1166479730812353</v>
      </c>
    </row>
    <row r="494" spans="1:3" x14ac:dyDescent="0.25">
      <c r="A494" s="1">
        <f>Risk_Analysis!A494</f>
        <v>44895</v>
      </c>
      <c r="B494" s="4">
        <f>B493 * EXP(Risk_Analysis!D494)</f>
        <v>1.1013318205148996</v>
      </c>
      <c r="C494" s="4">
        <f>C493 * EXP(Risk_Analysis!E494)</f>
        <v>1.1445281204935089</v>
      </c>
    </row>
    <row r="495" spans="1:3" x14ac:dyDescent="0.25">
      <c r="A495" s="1">
        <f>Risk_Analysis!A495</f>
        <v>44896</v>
      </c>
      <c r="B495" s="4">
        <f>B494 * EXP(Risk_Analysis!D495)</f>
        <v>1.1005213820676998</v>
      </c>
      <c r="C495" s="4">
        <f>C494 * EXP(Risk_Analysis!E495)</f>
        <v>1.1435667360999822</v>
      </c>
    </row>
    <row r="496" spans="1:3" x14ac:dyDescent="0.25">
      <c r="A496" s="1">
        <f>Risk_Analysis!A496</f>
        <v>44897</v>
      </c>
      <c r="B496" s="4">
        <f>B495 * EXP(Risk_Analysis!D496)</f>
        <v>1.0992516951670865</v>
      </c>
      <c r="C496" s="4">
        <f>C495 * EXP(Risk_Analysis!E496)</f>
        <v>1.1381188912033309</v>
      </c>
    </row>
    <row r="497" spans="1:3" x14ac:dyDescent="0.25">
      <c r="A497" s="1">
        <f>Risk_Analysis!A497</f>
        <v>44900</v>
      </c>
      <c r="B497" s="4">
        <f>B496 * EXP(Risk_Analysis!D497)</f>
        <v>1.0794769970554079</v>
      </c>
      <c r="C497" s="4">
        <f>C496 * EXP(Risk_Analysis!E497)</f>
        <v>1.1317096619131528</v>
      </c>
    </row>
    <row r="498" spans="1:3" x14ac:dyDescent="0.25">
      <c r="A498" s="1">
        <f>Risk_Analysis!A498</f>
        <v>44901</v>
      </c>
      <c r="B498" s="4">
        <f>B497 * EXP(Risk_Analysis!D498)</f>
        <v>1.0639165788691691</v>
      </c>
      <c r="C498" s="4">
        <f>C497 * EXP(Risk_Analysis!E498)</f>
        <v>1.1387598141323485</v>
      </c>
    </row>
    <row r="499" spans="1:3" x14ac:dyDescent="0.25">
      <c r="A499" s="1">
        <f>Risk_Analysis!A499</f>
        <v>44902</v>
      </c>
      <c r="B499" s="4">
        <f>B498 * EXP(Risk_Analysis!D499)</f>
        <v>1.0621065996704226</v>
      </c>
      <c r="C499" s="4">
        <f>C498 * EXP(Risk_Analysis!E499)</f>
        <v>1.1334721999679518</v>
      </c>
    </row>
    <row r="500" spans="1:3" x14ac:dyDescent="0.25">
      <c r="A500" s="1">
        <f>Risk_Analysis!A500</f>
        <v>44903</v>
      </c>
      <c r="B500" s="4">
        <f>B499 * EXP(Risk_Analysis!D500)</f>
        <v>1.0704271010616753</v>
      </c>
      <c r="C500" s="4">
        <f>C499 * EXP(Risk_Analysis!E500)</f>
        <v>1.1408428136516564</v>
      </c>
    </row>
    <row r="501" spans="1:3" x14ac:dyDescent="0.25">
      <c r="A501" s="1">
        <f>Risk_Analysis!A501</f>
        <v>44904</v>
      </c>
      <c r="B501" s="4">
        <f>B500 * EXP(Risk_Analysis!D501)</f>
        <v>1.0624307750493025</v>
      </c>
      <c r="C501" s="4">
        <f>C500 * EXP(Risk_Analysis!E501)</f>
        <v>1.1349142765582418</v>
      </c>
    </row>
    <row r="502" spans="1:3" x14ac:dyDescent="0.25">
      <c r="A502" s="1">
        <f>Risk_Analysis!A502</f>
        <v>44907</v>
      </c>
      <c r="B502" s="4">
        <f>B501 * EXP(Risk_Analysis!D502)</f>
        <v>1.0777480617013813</v>
      </c>
      <c r="C502" s="4">
        <f>C501 * EXP(Risk_Analysis!E502)</f>
        <v>1.1608716551834621</v>
      </c>
    </row>
    <row r="503" spans="1:3" x14ac:dyDescent="0.25">
      <c r="A503" s="1">
        <f>Risk_Analysis!A503</f>
        <v>44908</v>
      </c>
      <c r="B503" s="4">
        <f>B502 * EXP(Risk_Analysis!D503)</f>
        <v>1.085906475403194</v>
      </c>
      <c r="C503" s="4">
        <f>C502 * EXP(Risk_Analysis!E503)</f>
        <v>1.1643967312930599</v>
      </c>
    </row>
    <row r="504" spans="1:3" x14ac:dyDescent="0.25">
      <c r="A504" s="1">
        <f>Risk_Analysis!A504</f>
        <v>44909</v>
      </c>
      <c r="B504" s="4">
        <f>B503 * EXP(Risk_Analysis!D504)</f>
        <v>1.0789637193721811</v>
      </c>
      <c r="C504" s="4">
        <f>C503 * EXP(Risk_Analysis!E504)</f>
        <v>1.1629546547027698</v>
      </c>
    </row>
    <row r="505" spans="1:3" x14ac:dyDescent="0.25">
      <c r="A505" s="1">
        <f>Risk_Analysis!A505</f>
        <v>44910</v>
      </c>
      <c r="B505" s="4">
        <f>B504 * EXP(Risk_Analysis!D505)</f>
        <v>1.0525704406083698</v>
      </c>
      <c r="C505" s="4">
        <f>C504 * EXP(Risk_Analysis!E505)</f>
        <v>1.1488543502643787</v>
      </c>
    </row>
    <row r="506" spans="1:3" x14ac:dyDescent="0.25">
      <c r="A506" s="1">
        <f>Risk_Analysis!A506</f>
        <v>44911</v>
      </c>
      <c r="B506" s="4">
        <f>B505 * EXP(Risk_Analysis!D506)</f>
        <v>1.0353891455277311</v>
      </c>
      <c r="C506" s="4">
        <f>C505 * EXP(Risk_Analysis!E506)</f>
        <v>1.1293062009293362</v>
      </c>
    </row>
    <row r="507" spans="1:3" x14ac:dyDescent="0.25">
      <c r="A507" s="1">
        <f>Risk_Analysis!A507</f>
        <v>44914</v>
      </c>
      <c r="B507" s="4">
        <f>B506 * EXP(Risk_Analysis!D507)</f>
        <v>1.0266093956830651</v>
      </c>
      <c r="C507" s="4">
        <f>C506 * EXP(Risk_Analysis!E507)</f>
        <v>1.1156865886877081</v>
      </c>
    </row>
    <row r="508" spans="1:3" x14ac:dyDescent="0.25">
      <c r="A508" s="1">
        <f>Risk_Analysis!A508</f>
        <v>44915</v>
      </c>
      <c r="B508" s="4">
        <f>B507 * EXP(Risk_Analysis!D508)</f>
        <v>1.0280141556582119</v>
      </c>
      <c r="C508" s="4">
        <f>C507 * EXP(Risk_Analysis!E508)</f>
        <v>1.116007050152217</v>
      </c>
    </row>
    <row r="509" spans="1:3" x14ac:dyDescent="0.25">
      <c r="A509" s="1">
        <f>Risk_Analysis!A509</f>
        <v>44916</v>
      </c>
      <c r="B509" s="4">
        <f>B508 * EXP(Risk_Analysis!D509)</f>
        <v>1.0433854715401041</v>
      </c>
      <c r="C509" s="4">
        <f>C508 * EXP(Risk_Analysis!E509)</f>
        <v>1.1315494311808982</v>
      </c>
    </row>
    <row r="510" spans="1:3" x14ac:dyDescent="0.25">
      <c r="A510" s="1">
        <f>Risk_Analysis!A510</f>
        <v>44917</v>
      </c>
      <c r="B510" s="4">
        <f>B509 * EXP(Risk_Analysis!D510)</f>
        <v>1.0285004187265321</v>
      </c>
      <c r="C510" s="4">
        <f>C509 * EXP(Risk_Analysis!E510)</f>
        <v>1.1246595096939569</v>
      </c>
    </row>
    <row r="511" spans="1:3" x14ac:dyDescent="0.25">
      <c r="A511" s="1">
        <f>Risk_Analysis!A511</f>
        <v>44918</v>
      </c>
      <c r="B511" s="4">
        <f>B510 * EXP(Risk_Analysis!D511)</f>
        <v>1.0344166193910915</v>
      </c>
      <c r="C511" s="4">
        <f>C510 * EXP(Risk_Analysis!E511)</f>
        <v>1.1361961224162771</v>
      </c>
    </row>
    <row r="512" spans="1:3" x14ac:dyDescent="0.25">
      <c r="A512" s="1">
        <f>Risk_Analysis!A512</f>
        <v>44922</v>
      </c>
      <c r="B512" s="4">
        <f>B511 * EXP(Risk_Analysis!D512)</f>
        <v>1.0303374125401852</v>
      </c>
      <c r="C512" s="4">
        <f>C511 * EXP(Risk_Analysis!E512)</f>
        <v>1.1432462746354728</v>
      </c>
    </row>
    <row r="513" spans="1:3" x14ac:dyDescent="0.25">
      <c r="A513" s="1">
        <f>Risk_Analysis!A513</f>
        <v>44923</v>
      </c>
      <c r="B513" s="4">
        <f>B512 * EXP(Risk_Analysis!D513)</f>
        <v>1.0175324850744263</v>
      </c>
      <c r="C513" s="4">
        <f>C512 * EXP(Risk_Analysis!E513)</f>
        <v>1.1323505848421704</v>
      </c>
    </row>
    <row r="514" spans="1:3" x14ac:dyDescent="0.25">
      <c r="A514" s="1">
        <f>Risk_Analysis!A514</f>
        <v>44924</v>
      </c>
      <c r="B514" s="4">
        <f>B513 * EXP(Risk_Analysis!D514)</f>
        <v>1.0358483939811447</v>
      </c>
      <c r="C514" s="4">
        <f>C513 * EXP(Risk_Analysis!E514)</f>
        <v>1.1405223521871473</v>
      </c>
    </row>
    <row r="515" spans="1:3" x14ac:dyDescent="0.25">
      <c r="A515" s="1">
        <f>Risk_Analysis!A515</f>
        <v>44925</v>
      </c>
      <c r="B515" s="4">
        <f>B514 * EXP(Risk_Analysis!D515)</f>
        <v>1.0331199178755717</v>
      </c>
      <c r="C515" s="4">
        <f>C514 * EXP(Risk_Analysis!E515)</f>
        <v>1.1296266623938449</v>
      </c>
    </row>
    <row r="516" spans="1:3" x14ac:dyDescent="0.25">
      <c r="A516" s="1">
        <f>Risk_Analysis!A516</f>
        <v>44929</v>
      </c>
      <c r="B516" s="4">
        <f>B515 * EXP(Risk_Analysis!D516)</f>
        <v>1.0287705648755987</v>
      </c>
      <c r="C516" s="4">
        <f>C515 * EXP(Risk_Analysis!E516)</f>
        <v>1.1296266623938449</v>
      </c>
    </row>
    <row r="517" spans="1:3" x14ac:dyDescent="0.25">
      <c r="A517" s="1">
        <f>Risk_Analysis!A517</f>
        <v>44930</v>
      </c>
      <c r="B517" s="4">
        <f>B516 * EXP(Risk_Analysis!D517)</f>
        <v>1.036712861658158</v>
      </c>
      <c r="C517" s="4">
        <f>C516 * EXP(Risk_Analysis!E517)</f>
        <v>1.1398814292581294</v>
      </c>
    </row>
    <row r="518" spans="1:3" x14ac:dyDescent="0.25">
      <c r="A518" s="1">
        <f>Risk_Analysis!A518</f>
        <v>44931</v>
      </c>
      <c r="B518" s="4">
        <f>B517 * EXP(Risk_Analysis!D518)</f>
        <v>1.0248804603290389</v>
      </c>
      <c r="C518" s="4">
        <f>C517 * EXP(Risk_Analysis!E518)</f>
        <v>1.1152058964909446</v>
      </c>
    </row>
    <row r="519" spans="1:3" x14ac:dyDescent="0.25">
      <c r="A519" s="1">
        <f>Risk_Analysis!A519</f>
        <v>44932</v>
      </c>
      <c r="B519" s="4">
        <f>B518 * EXP(Risk_Analysis!D519)</f>
        <v>1.048383175297837</v>
      </c>
      <c r="C519" s="4">
        <f>C518 * EXP(Risk_Analysis!E519)</f>
        <v>1.1376381990065672</v>
      </c>
    </row>
    <row r="520" spans="1:3" x14ac:dyDescent="0.25">
      <c r="A520" s="1">
        <f>Risk_Analysis!A520</f>
        <v>44935</v>
      </c>
      <c r="B520" s="4">
        <f>B519 * EXP(Risk_Analysis!D520)</f>
        <v>1.0477888537698905</v>
      </c>
      <c r="C520" s="4">
        <f>C519 * EXP(Risk_Analysis!E520)</f>
        <v>1.1453292741547805</v>
      </c>
    </row>
    <row r="521" spans="1:3" x14ac:dyDescent="0.25">
      <c r="A521" s="1">
        <f>Risk_Analysis!A521</f>
        <v>44936</v>
      </c>
      <c r="B521" s="4">
        <f>B520 * EXP(Risk_Analysis!D521)</f>
        <v>1.0551368290245033</v>
      </c>
      <c r="C521" s="4">
        <f>C520 * EXP(Risk_Analysis!E521)</f>
        <v>1.1456497356192894</v>
      </c>
    </row>
    <row r="522" spans="1:3" x14ac:dyDescent="0.25">
      <c r="A522" s="1">
        <f>Risk_Analysis!A522</f>
        <v>44937</v>
      </c>
      <c r="B522" s="4">
        <f>B521 * EXP(Risk_Analysis!D522)</f>
        <v>1.0684820487883957</v>
      </c>
      <c r="C522" s="4">
        <f>C521 * EXP(Risk_Analysis!E522)</f>
        <v>1.1549431180900471</v>
      </c>
    </row>
    <row r="523" spans="1:3" x14ac:dyDescent="0.25">
      <c r="A523" s="1">
        <f>Risk_Analysis!A523</f>
        <v>44938</v>
      </c>
      <c r="B523" s="4">
        <f>B522 * EXP(Risk_Analysis!D523)</f>
        <v>1.0723721533349555</v>
      </c>
      <c r="C523" s="4">
        <f>C522 * EXP(Risk_Analysis!E523)</f>
        <v>1.1470918122095792</v>
      </c>
    </row>
    <row r="524" spans="1:3" x14ac:dyDescent="0.25">
      <c r="A524" s="1">
        <f>Risk_Analysis!A524</f>
        <v>44939</v>
      </c>
      <c r="B524" s="4">
        <f>B523 * EXP(Risk_Analysis!D524)</f>
        <v>1.0765324040305819</v>
      </c>
      <c r="C524" s="4">
        <f>C523 * EXP(Risk_Analysis!E524)</f>
        <v>1.1429258131709636</v>
      </c>
    </row>
    <row r="525" spans="1:3" x14ac:dyDescent="0.25">
      <c r="A525" s="1">
        <f>Risk_Analysis!A525</f>
        <v>44943</v>
      </c>
      <c r="B525" s="4">
        <f>B524 * EXP(Risk_Analysis!D525)</f>
        <v>1.0745603371423953</v>
      </c>
      <c r="C525" s="4">
        <f>C524 * EXP(Risk_Analysis!E525)</f>
        <v>1.1413235058484192</v>
      </c>
    </row>
    <row r="526" spans="1:3" x14ac:dyDescent="0.25">
      <c r="A526" s="1">
        <f>Risk_Analysis!A526</f>
        <v>44944</v>
      </c>
      <c r="B526" s="4">
        <f>B525 * EXP(Risk_Analysis!D526)</f>
        <v>1.05759515898101</v>
      </c>
      <c r="C526" s="4">
        <f>C525 * EXP(Risk_Analysis!E526)</f>
        <v>1.1139240506329089</v>
      </c>
    </row>
    <row r="527" spans="1:3" x14ac:dyDescent="0.25">
      <c r="A527" s="1">
        <f>Risk_Analysis!A527</f>
        <v>44945</v>
      </c>
      <c r="B527" s="4">
        <f>B526 * EXP(Risk_Analysis!D527)</f>
        <v>1.0498959937326104</v>
      </c>
      <c r="C527" s="4">
        <f>C526 * EXP(Risk_Analysis!E527)</f>
        <v>1.1027078993750976</v>
      </c>
    </row>
    <row r="528" spans="1:3" x14ac:dyDescent="0.25">
      <c r="A528" s="1">
        <f>Risk_Analysis!A528</f>
        <v>44946</v>
      </c>
      <c r="B528" s="4">
        <f>B527 * EXP(Risk_Analysis!D528)</f>
        <v>1.0694545749250355</v>
      </c>
      <c r="C528" s="4">
        <f>C527 * EXP(Risk_Analysis!E528)</f>
        <v>1.10927735939753</v>
      </c>
    </row>
    <row r="529" spans="1:3" x14ac:dyDescent="0.25">
      <c r="A529" s="1">
        <f>Risk_Analysis!A529</f>
        <v>44949</v>
      </c>
      <c r="B529" s="4">
        <f>B528 * EXP(Risk_Analysis!D529)</f>
        <v>1.0822865170057012</v>
      </c>
      <c r="C529" s="4">
        <f>C528 * EXP(Risk_Analysis!E529)</f>
        <v>1.109597820862039</v>
      </c>
    </row>
    <row r="530" spans="1:3" x14ac:dyDescent="0.25">
      <c r="A530" s="1">
        <f>Risk_Analysis!A530</f>
        <v>44950</v>
      </c>
      <c r="B530" s="4">
        <f>B529 * EXP(Risk_Analysis!D530)</f>
        <v>1.0811248885647147</v>
      </c>
      <c r="C530" s="4">
        <f>C529 * EXP(Risk_Analysis!E530)</f>
        <v>1.1152058964909444</v>
      </c>
    </row>
    <row r="531" spans="1:3" x14ac:dyDescent="0.25">
      <c r="A531" s="1">
        <f>Risk_Analysis!A531</f>
        <v>44951</v>
      </c>
      <c r="B531" s="4">
        <f>B530 * EXP(Risk_Analysis!D531)</f>
        <v>1.0815301077883148</v>
      </c>
      <c r="C531" s="4">
        <f>C530 * EXP(Risk_Analysis!E531)</f>
        <v>1.1001442076590264</v>
      </c>
    </row>
    <row r="532" spans="1:3" x14ac:dyDescent="0.25">
      <c r="A532" s="1">
        <f>Risk_Analysis!A532</f>
        <v>44952</v>
      </c>
      <c r="B532" s="4">
        <f>B531 * EXP(Risk_Analysis!D532)</f>
        <v>1.0934165383472472</v>
      </c>
      <c r="C532" s="4">
        <f>C531 * EXP(Risk_Analysis!E532)</f>
        <v>1.1038295145008787</v>
      </c>
    </row>
    <row r="533" spans="1:3" x14ac:dyDescent="0.25">
      <c r="A533" s="1">
        <f>Risk_Analysis!A533</f>
        <v>44953</v>
      </c>
      <c r="B533" s="4">
        <f>B532 * EXP(Risk_Analysis!D533)</f>
        <v>1.0959288975335668</v>
      </c>
      <c r="C533" s="4">
        <f>C532 * EXP(Risk_Analysis!E533)</f>
        <v>1.1038295145008787</v>
      </c>
    </row>
    <row r="534" spans="1:3" x14ac:dyDescent="0.25">
      <c r="A534" s="1">
        <f>Risk_Analysis!A534</f>
        <v>44956</v>
      </c>
      <c r="B534" s="4">
        <f>B533 * EXP(Risk_Analysis!D534)</f>
        <v>1.0821784585460745</v>
      </c>
      <c r="C534" s="4">
        <f>C533 * EXP(Risk_Analysis!E534)</f>
        <v>1.0988623618009909</v>
      </c>
    </row>
    <row r="535" spans="1:3" x14ac:dyDescent="0.25">
      <c r="A535" s="1">
        <f>Risk_Analysis!A535</f>
        <v>44957</v>
      </c>
      <c r="B535" s="4">
        <f>B534 * EXP(Risk_Analysis!D535)</f>
        <v>1.0980900667261002</v>
      </c>
      <c r="C535" s="4">
        <f>C534 * EXP(Risk_Analysis!E535)</f>
        <v>1.1070341291459678</v>
      </c>
    </row>
    <row r="536" spans="1:3" x14ac:dyDescent="0.25">
      <c r="A536" s="1">
        <f>Risk_Analysis!A536</f>
        <v>44958</v>
      </c>
      <c r="B536" s="4">
        <f>B535 * EXP(Risk_Analysis!D536)</f>
        <v>1.1097603803657792</v>
      </c>
      <c r="C536" s="4">
        <f>C535 * EXP(Risk_Analysis!E536)</f>
        <v>1.1089568979330209</v>
      </c>
    </row>
    <row r="537" spans="1:3" x14ac:dyDescent="0.25">
      <c r="A537" s="1">
        <f>Risk_Analysis!A537</f>
        <v>44959</v>
      </c>
      <c r="B537" s="4">
        <f>B536 * EXP(Risk_Analysis!D537)</f>
        <v>1.1259151200799644</v>
      </c>
      <c r="C537" s="4">
        <f>C536 * EXP(Risk_Analysis!E537)</f>
        <v>1.1113603589168377</v>
      </c>
    </row>
    <row r="538" spans="1:3" x14ac:dyDescent="0.25">
      <c r="A538" s="1">
        <f>Risk_Analysis!A538</f>
        <v>44960</v>
      </c>
      <c r="B538" s="4">
        <f>B537 * EXP(Risk_Analysis!D538)</f>
        <v>1.1139476456763122</v>
      </c>
      <c r="C538" s="4">
        <f>C537 * EXP(Risk_Analysis!E538)</f>
        <v>1.0881269027399429</v>
      </c>
    </row>
    <row r="539" spans="1:3" x14ac:dyDescent="0.25">
      <c r="A539" s="1">
        <f>Risk_Analysis!A539</f>
        <v>44963</v>
      </c>
      <c r="B539" s="4">
        <f>B538 * EXP(Risk_Analysis!D539)</f>
        <v>1.1071399627198326</v>
      </c>
      <c r="C539" s="4">
        <f>C538 * EXP(Risk_Analysis!E539)</f>
        <v>1.0974202852107007</v>
      </c>
    </row>
    <row r="540" spans="1:3" x14ac:dyDescent="0.25">
      <c r="A540" s="1">
        <f>Risk_Analysis!A540</f>
        <v>44964</v>
      </c>
      <c r="B540" s="4">
        <f>B539 * EXP(Risk_Analysis!D540)</f>
        <v>1.1216197963098049</v>
      </c>
      <c r="C540" s="4">
        <f>C539 * EXP(Risk_Analysis!E540)</f>
        <v>1.0969395930139372</v>
      </c>
    </row>
    <row r="541" spans="1:3" x14ac:dyDescent="0.25">
      <c r="A541" s="1">
        <f>Risk_Analysis!A541</f>
        <v>44965</v>
      </c>
      <c r="B541" s="4">
        <f>B540 * EXP(Risk_Analysis!D541)</f>
        <v>1.109355161142179</v>
      </c>
      <c r="C541" s="4">
        <f>C540 * EXP(Risk_Analysis!E541)</f>
        <v>1.0785130588046761</v>
      </c>
    </row>
    <row r="542" spans="1:3" x14ac:dyDescent="0.25">
      <c r="A542" s="1">
        <f>Risk_Analysis!A542</f>
        <v>44966</v>
      </c>
      <c r="B542" s="4">
        <f>B541 * EXP(Risk_Analysis!D542)</f>
        <v>1.0997379582354065</v>
      </c>
      <c r="C542" s="4">
        <f>C541 * EXP(Risk_Analysis!E542)</f>
        <v>1.0637718314372671</v>
      </c>
    </row>
    <row r="543" spans="1:3" x14ac:dyDescent="0.25">
      <c r="A543" s="1">
        <f>Risk_Analysis!A543</f>
        <v>44967</v>
      </c>
      <c r="B543" s="4">
        <f>B542 * EXP(Risk_Analysis!D543)</f>
        <v>1.1023043466515399</v>
      </c>
      <c r="C543" s="4">
        <f>C542 * EXP(Risk_Analysis!E543)</f>
        <v>1.0849222880948539</v>
      </c>
    </row>
    <row r="544" spans="1:3" x14ac:dyDescent="0.25">
      <c r="A544" s="1">
        <f>Risk_Analysis!A544</f>
        <v>44970</v>
      </c>
      <c r="B544" s="4">
        <f>B543 * EXP(Risk_Analysis!D544)</f>
        <v>1.1152443471918321</v>
      </c>
      <c r="C544" s="4">
        <f>C543 * EXP(Risk_Analysis!E544)</f>
        <v>1.0914917481172863</v>
      </c>
    </row>
    <row r="545" spans="1:3" x14ac:dyDescent="0.25">
      <c r="A545" s="1">
        <f>Risk_Analysis!A545</f>
        <v>44971</v>
      </c>
      <c r="B545" s="4">
        <f>B544 * EXP(Risk_Analysis!D545)</f>
        <v>1.1147310695086055</v>
      </c>
      <c r="C545" s="4">
        <f>C544 * EXP(Risk_Analysis!E545)</f>
        <v>1.0868450568819072</v>
      </c>
    </row>
    <row r="546" spans="1:3" x14ac:dyDescent="0.25">
      <c r="A546" s="1">
        <f>Risk_Analysis!A546</f>
        <v>44972</v>
      </c>
      <c r="B546" s="4">
        <f>B545 * EXP(Risk_Analysis!D546)</f>
        <v>1.1183510279060984</v>
      </c>
      <c r="C546" s="4">
        <f>C545 * EXP(Risk_Analysis!E546)</f>
        <v>1.0938952091011027</v>
      </c>
    </row>
    <row r="547" spans="1:3" x14ac:dyDescent="0.25">
      <c r="A547" s="1">
        <f>Risk_Analysis!A547</f>
        <v>44973</v>
      </c>
      <c r="B547" s="4">
        <f>B546 * EXP(Risk_Analysis!D547)</f>
        <v>1.1029526974092996</v>
      </c>
      <c r="C547" s="4">
        <f>C546 * EXP(Risk_Analysis!E547)</f>
        <v>1.0855632110238715</v>
      </c>
    </row>
    <row r="548" spans="1:3" x14ac:dyDescent="0.25">
      <c r="A548" s="1">
        <f>Risk_Analysis!A548</f>
        <v>44974</v>
      </c>
      <c r="B548" s="4">
        <f>B547 * EXP(Risk_Analysis!D548)</f>
        <v>1.1001972066888199</v>
      </c>
      <c r="C548" s="4">
        <f>C547 * EXP(Risk_Analysis!E548)</f>
        <v>1.0972600544784461</v>
      </c>
    </row>
    <row r="549" spans="1:3" x14ac:dyDescent="0.25">
      <c r="A549" s="1">
        <f>Risk_Analysis!A549</f>
        <v>44978</v>
      </c>
      <c r="B549" s="4">
        <f>B548 * EXP(Risk_Analysis!D549)</f>
        <v>1.0781262663100748</v>
      </c>
      <c r="C549" s="4">
        <f>C548 * EXP(Risk_Analysis!E549)</f>
        <v>1.0767505207498771</v>
      </c>
    </row>
    <row r="550" spans="1:3" x14ac:dyDescent="0.25">
      <c r="A550" s="1">
        <f>Risk_Analysis!A550</f>
        <v>44979</v>
      </c>
      <c r="B550" s="4">
        <f>B549 * EXP(Risk_Analysis!D550)</f>
        <v>1.0766404624902084</v>
      </c>
      <c r="C550" s="4">
        <f>C549 * EXP(Risk_Analysis!E550)</f>
        <v>1.0725845217112613</v>
      </c>
    </row>
    <row r="551" spans="1:3" x14ac:dyDescent="0.25">
      <c r="A551" s="1">
        <f>Risk_Analysis!A551</f>
        <v>44980</v>
      </c>
      <c r="B551" s="4">
        <f>B550 * EXP(Risk_Analysis!D551)</f>
        <v>1.0823675608504213</v>
      </c>
      <c r="C551" s="4">
        <f>C550 * EXP(Risk_Analysis!E551)</f>
        <v>1.0669764460823559</v>
      </c>
    </row>
    <row r="552" spans="1:3" x14ac:dyDescent="0.25">
      <c r="A552" s="1">
        <f>Risk_Analysis!A552</f>
        <v>44981</v>
      </c>
      <c r="B552" s="4">
        <f>B551 * EXP(Risk_Analysis!D552)</f>
        <v>1.0708053056703688</v>
      </c>
      <c r="C552" s="4">
        <f>C551 * EXP(Risk_Analysis!E552)</f>
        <v>1.0672969075468648</v>
      </c>
    </row>
    <row r="553" spans="1:3" x14ac:dyDescent="0.25">
      <c r="A553" s="1">
        <f>Risk_Analysis!A553</f>
        <v>44984</v>
      </c>
      <c r="B553" s="4">
        <f>B552 * EXP(Risk_Analysis!D553)</f>
        <v>1.0744522786827686</v>
      </c>
      <c r="C553" s="4">
        <f>C552 * EXP(Risk_Analysis!E553)</f>
        <v>1.0600865245954147</v>
      </c>
    </row>
    <row r="554" spans="1:3" x14ac:dyDescent="0.25">
      <c r="A554" s="1">
        <f>Risk_Analysis!A554</f>
        <v>44985</v>
      </c>
      <c r="B554" s="4">
        <f>B553 * EXP(Risk_Analysis!D554)</f>
        <v>1.0704811302914887</v>
      </c>
      <c r="C554" s="4">
        <f>C553 * EXP(Risk_Analysis!E554)</f>
        <v>1.0414997596538991</v>
      </c>
    </row>
    <row r="555" spans="1:3" x14ac:dyDescent="0.25">
      <c r="A555" s="1">
        <f>Risk_Analysis!A555</f>
        <v>44986</v>
      </c>
      <c r="B555" s="4">
        <f>B554 * EXP(Risk_Analysis!D555)</f>
        <v>1.0663749088256758</v>
      </c>
      <c r="C555" s="4">
        <f>C554 * EXP(Risk_Analysis!E555)</f>
        <v>1.0243550713026734</v>
      </c>
    </row>
    <row r="556" spans="1:3" x14ac:dyDescent="0.25">
      <c r="A556" s="1">
        <f>Risk_Analysis!A556</f>
        <v>44987</v>
      </c>
      <c r="B556" s="4">
        <f>B555 * EXP(Risk_Analysis!D556)</f>
        <v>1.0746683956020218</v>
      </c>
      <c r="C556" s="4">
        <f>C555 * EXP(Risk_Analysis!E556)</f>
        <v>1.0437429899054613</v>
      </c>
    </row>
    <row r="557" spans="1:3" x14ac:dyDescent="0.25">
      <c r="A557" s="1">
        <f>Risk_Analysis!A557</f>
        <v>44988</v>
      </c>
      <c r="B557" s="4">
        <f>B556 * EXP(Risk_Analysis!D557)</f>
        <v>1.0919037199124737</v>
      </c>
      <c r="C557" s="4">
        <f>C556 * EXP(Risk_Analysis!E557)</f>
        <v>1.0615286011857048</v>
      </c>
    </row>
    <row r="558" spans="1:3" x14ac:dyDescent="0.25">
      <c r="A558" s="1">
        <f>Risk_Analysis!A558</f>
        <v>44991</v>
      </c>
      <c r="B558" s="4">
        <f>B557 * EXP(Risk_Analysis!D558)</f>
        <v>1.0926601291298603</v>
      </c>
      <c r="C558" s="4">
        <f>C557 * EXP(Risk_Analysis!E558)</f>
        <v>1.0666559846178469</v>
      </c>
    </row>
    <row r="559" spans="1:3" x14ac:dyDescent="0.25">
      <c r="A559" s="1">
        <f>Risk_Analysis!A559</f>
        <v>44992</v>
      </c>
      <c r="B559" s="4">
        <f>B558 * EXP(Risk_Analysis!D559)</f>
        <v>1.0759110678877282</v>
      </c>
      <c r="C559" s="4">
        <f>C558 * EXP(Risk_Analysis!E559)</f>
        <v>1.0491908348021126</v>
      </c>
    </row>
    <row r="560" spans="1:3" x14ac:dyDescent="0.25">
      <c r="A560" s="1">
        <f>Risk_Analysis!A560</f>
        <v>44993</v>
      </c>
      <c r="B560" s="4">
        <f>B559 * EXP(Risk_Analysis!D560)</f>
        <v>1.0776670178566616</v>
      </c>
      <c r="C560" s="4">
        <f>C559 * EXP(Risk_Analysis!E560)</f>
        <v>1.0572023714148349</v>
      </c>
    </row>
    <row r="561" spans="1:3" x14ac:dyDescent="0.25">
      <c r="A561" s="1">
        <f>Risk_Analysis!A561</f>
        <v>44994</v>
      </c>
      <c r="B561" s="4">
        <f>B560 * EXP(Risk_Analysis!D561)</f>
        <v>1.0577842612853565</v>
      </c>
      <c r="C561" s="4">
        <f>C560 * EXP(Risk_Analysis!E561)</f>
        <v>1.0487101426053491</v>
      </c>
    </row>
    <row r="562" spans="1:3" x14ac:dyDescent="0.25">
      <c r="A562" s="1">
        <f>Risk_Analysis!A562</f>
        <v>44995</v>
      </c>
      <c r="B562" s="4">
        <f>B561 * EXP(Risk_Analysis!D562)</f>
        <v>1.042521003863091</v>
      </c>
      <c r="C562" s="4">
        <f>C561 * EXP(Risk_Analysis!E562)</f>
        <v>1.0322063771831411</v>
      </c>
    </row>
    <row r="563" spans="1:3" x14ac:dyDescent="0.25">
      <c r="A563" s="1">
        <f>Risk_Analysis!A563</f>
        <v>44998</v>
      </c>
      <c r="B563" s="4">
        <f>B562 * EXP(Risk_Analysis!D563)</f>
        <v>1.0410352000432244</v>
      </c>
      <c r="C563" s="4">
        <f>C562 * EXP(Risk_Analysis!E563)</f>
        <v>1.048069219676331</v>
      </c>
    </row>
    <row r="564" spans="1:3" x14ac:dyDescent="0.25">
      <c r="A564" s="1">
        <f>Risk_Analysis!A564</f>
        <v>44999</v>
      </c>
      <c r="B564" s="4">
        <f>B563 * EXP(Risk_Analysis!D564)</f>
        <v>1.0582435097387697</v>
      </c>
      <c r="C564" s="4">
        <f>C563 * EXP(Risk_Analysis!E564)</f>
        <v>1.0618490626502135</v>
      </c>
    </row>
    <row r="565" spans="1:3" x14ac:dyDescent="0.25">
      <c r="A565" s="1">
        <f>Risk_Analysis!A565</f>
        <v>45000</v>
      </c>
      <c r="B565" s="4">
        <f>B564 * EXP(Risk_Analysis!D565)</f>
        <v>1.0516249290866369</v>
      </c>
      <c r="C565" s="4">
        <f>C564 * EXP(Risk_Analysis!E565)</f>
        <v>1.0762698285531138</v>
      </c>
    </row>
    <row r="566" spans="1:3" x14ac:dyDescent="0.25">
      <c r="A566" s="1">
        <f>Risk_Analysis!A566</f>
        <v>45001</v>
      </c>
      <c r="B566" s="4">
        <f>B565 * EXP(Risk_Analysis!D566)</f>
        <v>1.070075911067889</v>
      </c>
      <c r="C566" s="4">
        <f>C565 * EXP(Risk_Analysis!E566)</f>
        <v>1.0834802115045639</v>
      </c>
    </row>
    <row r="567" spans="1:3" x14ac:dyDescent="0.25">
      <c r="A567" s="1">
        <f>Risk_Analysis!A567</f>
        <v>45002</v>
      </c>
      <c r="B567" s="4">
        <f>B566 * EXP(Risk_Analysis!D567)</f>
        <v>1.0535429667450102</v>
      </c>
      <c r="C567" s="4">
        <f>C566 * EXP(Risk_Analysis!E567)</f>
        <v>1.0730652139080248</v>
      </c>
    </row>
    <row r="568" spans="1:3" x14ac:dyDescent="0.25">
      <c r="A568" s="1">
        <f>Risk_Analysis!A568</f>
        <v>45005</v>
      </c>
      <c r="B568" s="4">
        <f>B567 * EXP(Risk_Analysis!D568)</f>
        <v>1.0636734473350093</v>
      </c>
      <c r="C568" s="4">
        <f>C567 * EXP(Risk_Analysis!E568)</f>
        <v>1.0735459061047881</v>
      </c>
    </row>
    <row r="569" spans="1:3" x14ac:dyDescent="0.25">
      <c r="A569" s="1">
        <f>Risk_Analysis!A569</f>
        <v>45006</v>
      </c>
      <c r="B569" s="4">
        <f>B568 * EXP(Risk_Analysis!D569)</f>
        <v>1.077640003241755</v>
      </c>
      <c r="C569" s="4">
        <f>C568 * EXP(Risk_Analysis!E569)</f>
        <v>1.0519147572504379</v>
      </c>
    </row>
    <row r="570" spans="1:3" x14ac:dyDescent="0.25">
      <c r="A570" s="1">
        <f>Risk_Analysis!A570</f>
        <v>45007</v>
      </c>
      <c r="B570" s="4">
        <f>B569 * EXP(Risk_Analysis!D570)</f>
        <v>1.0592700651052231</v>
      </c>
      <c r="C570" s="4">
        <f>C569 * EXP(Risk_Analysis!E570)</f>
        <v>1.0312449927896143</v>
      </c>
    </row>
    <row r="571" spans="1:3" x14ac:dyDescent="0.25">
      <c r="A571" s="1">
        <f>Risk_Analysis!A571</f>
        <v>45008</v>
      </c>
      <c r="B571" s="4">
        <f>B570 * EXP(Risk_Analysis!D571)</f>
        <v>1.0621336142853295</v>
      </c>
      <c r="C571" s="4">
        <f>C570 * EXP(Risk_Analysis!E571)</f>
        <v>1.0206697644608209</v>
      </c>
    </row>
    <row r="572" spans="1:3" x14ac:dyDescent="0.25">
      <c r="A572" s="1">
        <f>Risk_Analysis!A572</f>
        <v>45009</v>
      </c>
      <c r="B572" s="4">
        <f>B571 * EXP(Risk_Analysis!D572)</f>
        <v>1.069103384931249</v>
      </c>
      <c r="C572" s="4">
        <f>C571 * EXP(Risk_Analysis!E572)</f>
        <v>1.0525556801794558</v>
      </c>
    </row>
    <row r="573" spans="1:3" x14ac:dyDescent="0.25">
      <c r="A573" s="1">
        <f>Risk_Analysis!A573</f>
        <v>45012</v>
      </c>
      <c r="B573" s="4">
        <f>B572 * EXP(Risk_Analysis!D573)</f>
        <v>1.071102466434342</v>
      </c>
      <c r="C573" s="4">
        <f>C572 * EXP(Risk_Analysis!E573)</f>
        <v>1.0538375260374913</v>
      </c>
    </row>
    <row r="574" spans="1:3" x14ac:dyDescent="0.25">
      <c r="A574" s="1">
        <f>Risk_Analysis!A574</f>
        <v>45013</v>
      </c>
      <c r="B574" s="4">
        <f>B573 * EXP(Risk_Analysis!D574)</f>
        <v>1.0686981657076489</v>
      </c>
      <c r="C574" s="4">
        <f>C573 * EXP(Risk_Analysis!E574)</f>
        <v>1.0567216792180714</v>
      </c>
    </row>
    <row r="575" spans="1:3" x14ac:dyDescent="0.25">
      <c r="A575" s="1">
        <f>Risk_Analysis!A575</f>
        <v>45014</v>
      </c>
      <c r="B575" s="4">
        <f>B574 * EXP(Risk_Analysis!D575)</f>
        <v>1.084231569278981</v>
      </c>
      <c r="C575" s="4">
        <f>C574 * EXP(Risk_Analysis!E575)</f>
        <v>1.0721038295144982</v>
      </c>
    </row>
    <row r="576" spans="1:3" x14ac:dyDescent="0.25">
      <c r="A576" s="1">
        <f>Risk_Analysis!A576</f>
        <v>45015</v>
      </c>
      <c r="B576" s="4">
        <f>B575 * EXP(Risk_Analysis!D576)</f>
        <v>1.090580003782047</v>
      </c>
      <c r="C576" s="4">
        <f>C575 * EXP(Risk_Analysis!E576)</f>
        <v>1.0767505207498773</v>
      </c>
    </row>
    <row r="577" spans="1:3" x14ac:dyDescent="0.25">
      <c r="A577" s="1">
        <f>Risk_Analysis!A577</f>
        <v>45016</v>
      </c>
      <c r="B577" s="4">
        <f>B576 * EXP(Risk_Analysis!D577)</f>
        <v>1.105951319663939</v>
      </c>
      <c r="C577" s="4">
        <f>C576 * EXP(Risk_Analysis!E577)</f>
        <v>1.0846018266303452</v>
      </c>
    </row>
    <row r="578" spans="1:3" x14ac:dyDescent="0.25">
      <c r="A578" s="1">
        <f>Risk_Analysis!A578</f>
        <v>45019</v>
      </c>
      <c r="B578" s="4">
        <f>B577 * EXP(Risk_Analysis!D578)</f>
        <v>1.1101655995893789</v>
      </c>
      <c r="C578" s="4">
        <f>C577 * EXP(Risk_Analysis!E578)</f>
        <v>1.0772312129466408</v>
      </c>
    </row>
    <row r="579" spans="1:3" x14ac:dyDescent="0.25">
      <c r="A579" s="1">
        <f>Risk_Analysis!A579</f>
        <v>45020</v>
      </c>
      <c r="B579" s="4">
        <f>B578 * EXP(Risk_Analysis!D579)</f>
        <v>1.1040062673906594</v>
      </c>
      <c r="C579" s="4">
        <f>C578 * EXP(Risk_Analysis!E579)</f>
        <v>1.0826790578432919</v>
      </c>
    </row>
    <row r="580" spans="1:3" x14ac:dyDescent="0.25">
      <c r="A580" s="1">
        <f>Risk_Analysis!A580</f>
        <v>45021</v>
      </c>
      <c r="B580" s="4">
        <f>B579 * EXP(Risk_Analysis!D580)</f>
        <v>1.1011157035956463</v>
      </c>
      <c r="C580" s="4">
        <f>C579 * EXP(Risk_Analysis!E580)</f>
        <v>1.1107194359878199</v>
      </c>
    </row>
    <row r="581" spans="1:3" x14ac:dyDescent="0.25">
      <c r="A581" s="1">
        <f>Risk_Analysis!A581</f>
        <v>45022</v>
      </c>
      <c r="B581" s="4">
        <f>B580 * EXP(Risk_Analysis!D581)</f>
        <v>1.1054110273658058</v>
      </c>
      <c r="C581" s="4">
        <f>C580 * EXP(Risk_Analysis!E581)</f>
        <v>1.118570741868288</v>
      </c>
    </row>
    <row r="582" spans="1:3" x14ac:dyDescent="0.25">
      <c r="A582" s="1">
        <f>Risk_Analysis!A582</f>
        <v>45026</v>
      </c>
      <c r="B582" s="4">
        <f>B581 * EXP(Risk_Analysis!D582)</f>
        <v>1.1065456411918857</v>
      </c>
      <c r="C582" s="4">
        <f>C581 * EXP(Risk_Analysis!E582)</f>
        <v>1.1163275116167257</v>
      </c>
    </row>
    <row r="583" spans="1:3" x14ac:dyDescent="0.25">
      <c r="A583" s="1">
        <f>Risk_Analysis!A583</f>
        <v>45027</v>
      </c>
      <c r="B583" s="4">
        <f>B582 * EXP(Risk_Analysis!D583)</f>
        <v>1.1068428019558589</v>
      </c>
      <c r="C583" s="4">
        <f>C582 * EXP(Risk_Analysis!E583)</f>
        <v>1.1172888960102525</v>
      </c>
    </row>
    <row r="584" spans="1:3" x14ac:dyDescent="0.25">
      <c r="A584" s="1">
        <f>Risk_Analysis!A584</f>
        <v>45028</v>
      </c>
      <c r="B584" s="4">
        <f>B583 * EXP(Risk_Analysis!D584)</f>
        <v>1.1023313612664458</v>
      </c>
      <c r="C584" s="4">
        <f>C583 * EXP(Risk_Analysis!E584)</f>
        <v>1.1161672808844711</v>
      </c>
    </row>
    <row r="585" spans="1:3" x14ac:dyDescent="0.25">
      <c r="A585" s="1">
        <f>Risk_Analysis!A585</f>
        <v>45029</v>
      </c>
      <c r="B585" s="4">
        <f>B584 * EXP(Risk_Analysis!D585)</f>
        <v>1.116973282545858</v>
      </c>
      <c r="C585" s="4">
        <f>C584 * EXP(Risk_Analysis!E585)</f>
        <v>1.1163275116167257</v>
      </c>
    </row>
    <row r="586" spans="1:3" x14ac:dyDescent="0.25">
      <c r="A586" s="1">
        <f>Risk_Analysis!A586</f>
        <v>45030</v>
      </c>
      <c r="B586" s="4">
        <f>B585 * EXP(Risk_Analysis!D586)</f>
        <v>1.1142448064402848</v>
      </c>
      <c r="C586" s="4">
        <f>C585 * EXP(Risk_Analysis!E586)</f>
        <v>1.103829514500879</v>
      </c>
    </row>
    <row r="587" spans="1:3" x14ac:dyDescent="0.25">
      <c r="A587" s="1">
        <f>Risk_Analysis!A587</f>
        <v>45033</v>
      </c>
      <c r="B587" s="4">
        <f>B586 * EXP(Risk_Analysis!D587)</f>
        <v>1.1182429694464711</v>
      </c>
      <c r="C587" s="4">
        <f>C586 * EXP(Risk_Analysis!E587)</f>
        <v>1.1099182823265479</v>
      </c>
    </row>
    <row r="588" spans="1:3" x14ac:dyDescent="0.25">
      <c r="A588" s="1">
        <f>Risk_Analysis!A588</f>
        <v>45034</v>
      </c>
      <c r="B588" s="4">
        <f>B587 * EXP(Risk_Analysis!D588)</f>
        <v>1.1189723640489511</v>
      </c>
      <c r="C588" s="4">
        <f>C587 * EXP(Risk_Analysis!E588)</f>
        <v>1.1041499759653879</v>
      </c>
    </row>
    <row r="589" spans="1:3" x14ac:dyDescent="0.25">
      <c r="A589" s="1">
        <f>Risk_Analysis!A589</f>
        <v>45035</v>
      </c>
      <c r="B589" s="4">
        <f>B588 * EXP(Risk_Analysis!D589)</f>
        <v>1.1187832617446043</v>
      </c>
      <c r="C589" s="4">
        <f>C588 * EXP(Risk_Analysis!E589)</f>
        <v>1.1126422047748734</v>
      </c>
    </row>
    <row r="590" spans="1:3" x14ac:dyDescent="0.25">
      <c r="A590" s="1">
        <f>Risk_Analysis!A590</f>
        <v>45036</v>
      </c>
      <c r="B590" s="4">
        <f>B589 * EXP(Risk_Analysis!D590)</f>
        <v>1.1126779587756981</v>
      </c>
      <c r="C590" s="4">
        <f>C589 * EXP(Risk_Analysis!E590)</f>
        <v>1.1123217433103645</v>
      </c>
    </row>
    <row r="591" spans="1:3" x14ac:dyDescent="0.25">
      <c r="A591" s="1">
        <f>Risk_Analysis!A591</f>
        <v>45037</v>
      </c>
      <c r="B591" s="4">
        <f>B590 * EXP(Risk_Analysis!D591)</f>
        <v>1.1135424264527114</v>
      </c>
      <c r="C591" s="4">
        <f>C590 * EXP(Risk_Analysis!E591)</f>
        <v>1.1155263579554535</v>
      </c>
    </row>
    <row r="592" spans="1:3" x14ac:dyDescent="0.25">
      <c r="A592" s="1">
        <f>Risk_Analysis!A592</f>
        <v>45040</v>
      </c>
      <c r="B592" s="4">
        <f>B591 * EXP(Risk_Analysis!D592)</f>
        <v>1.1147040548936979</v>
      </c>
      <c r="C592" s="4">
        <f>C591 * EXP(Risk_Analysis!E592)</f>
        <v>1.1211344335843592</v>
      </c>
    </row>
    <row r="593" spans="1:3" x14ac:dyDescent="0.25">
      <c r="A593" s="1">
        <f>Risk_Analysis!A593</f>
        <v>45041</v>
      </c>
      <c r="B593" s="4">
        <f>B592 * EXP(Risk_Analysis!D593)</f>
        <v>1.0970094821298326</v>
      </c>
      <c r="C593" s="4">
        <f>C592 * EXP(Risk_Analysis!E593)</f>
        <v>1.1200128184585783</v>
      </c>
    </row>
    <row r="594" spans="1:3" x14ac:dyDescent="0.25">
      <c r="A594" s="1">
        <f>Risk_Analysis!A594</f>
        <v>45042</v>
      </c>
      <c r="B594" s="4">
        <f>B593 * EXP(Risk_Analysis!D594)</f>
        <v>1.0923629683658864</v>
      </c>
      <c r="C594" s="4">
        <f>C593 * EXP(Risk_Analysis!E594)</f>
        <v>1.093734978368849</v>
      </c>
    </row>
    <row r="595" spans="1:3" x14ac:dyDescent="0.25">
      <c r="A595" s="1">
        <f>Risk_Analysis!A595</f>
        <v>45043</v>
      </c>
      <c r="B595" s="4">
        <f>B594 * EXP(Risk_Analysis!D595)</f>
        <v>1.1141097333657513</v>
      </c>
      <c r="C595" s="4">
        <f>C594 * EXP(Risk_Analysis!E595)</f>
        <v>1.1068738984137136</v>
      </c>
    </row>
    <row r="596" spans="1:3" x14ac:dyDescent="0.25">
      <c r="A596" s="1">
        <f>Risk_Analysis!A596</f>
        <v>45044</v>
      </c>
      <c r="B596" s="4">
        <f>B595 * EXP(Risk_Analysis!D596)</f>
        <v>1.123618877812897</v>
      </c>
      <c r="C596" s="4">
        <f>C595 * EXP(Risk_Analysis!E596)</f>
        <v>1.1052715910911692</v>
      </c>
    </row>
    <row r="597" spans="1:3" x14ac:dyDescent="0.25">
      <c r="A597" s="1">
        <f>Risk_Analysis!A597</f>
        <v>45047</v>
      </c>
      <c r="B597" s="4">
        <f>B596 * EXP(Risk_Analysis!D597)</f>
        <v>1.1224842639868171</v>
      </c>
      <c r="C597" s="4">
        <f>C596 * EXP(Risk_Analysis!E597)</f>
        <v>1.1071943598782226</v>
      </c>
    </row>
    <row r="598" spans="1:3" x14ac:dyDescent="0.25">
      <c r="A598" s="1">
        <f>Risk_Analysis!A598</f>
        <v>45048</v>
      </c>
      <c r="B598" s="4">
        <f>B597 * EXP(Risk_Analysis!D598)</f>
        <v>1.1098684388254048</v>
      </c>
      <c r="C598" s="4">
        <f>C597 * EXP(Risk_Analysis!E598)</f>
        <v>1.0937349783688493</v>
      </c>
    </row>
    <row r="599" spans="1:3" x14ac:dyDescent="0.25">
      <c r="A599" s="1">
        <f>Risk_Analysis!A599</f>
        <v>45049</v>
      </c>
      <c r="B599" s="4">
        <f>B598 * EXP(Risk_Analysis!D599)</f>
        <v>1.1022503174217253</v>
      </c>
      <c r="C599" s="4">
        <f>C598 * EXP(Risk_Analysis!E599)</f>
        <v>1.0906905944560146</v>
      </c>
    </row>
    <row r="600" spans="1:3" x14ac:dyDescent="0.25">
      <c r="A600" s="1">
        <f>Risk_Analysis!A600</f>
        <v>45050</v>
      </c>
      <c r="B600" s="4">
        <f>B599 * EXP(Risk_Analysis!D600)</f>
        <v>1.0944430937136993</v>
      </c>
      <c r="C600" s="4">
        <f>C599 * EXP(Risk_Analysis!E600)</f>
        <v>1.0990225925332457</v>
      </c>
    </row>
    <row r="601" spans="1:3" x14ac:dyDescent="0.25">
      <c r="A601" s="1">
        <f>Risk_Analysis!A601</f>
        <v>45051</v>
      </c>
      <c r="B601" s="4">
        <f>B600 * EXP(Risk_Analysis!D601)</f>
        <v>1.1147040548936977</v>
      </c>
      <c r="C601" s="4">
        <f>C600 * EXP(Risk_Analysis!E601)</f>
        <v>1.1060727447524414</v>
      </c>
    </row>
    <row r="602" spans="1:3" x14ac:dyDescent="0.25">
      <c r="A602" s="1">
        <f>Risk_Analysis!A602</f>
        <v>45054</v>
      </c>
      <c r="B602" s="4">
        <f>B601 * EXP(Risk_Analysis!D602)</f>
        <v>1.115001215657671</v>
      </c>
      <c r="C602" s="4">
        <f>C601 * EXP(Risk_Analysis!E602)</f>
        <v>1.1027078993750978</v>
      </c>
    </row>
    <row r="603" spans="1:3" x14ac:dyDescent="0.25">
      <c r="A603" s="1">
        <f>Risk_Analysis!A603</f>
        <v>45055</v>
      </c>
      <c r="B603" s="4">
        <f>B602 * EXP(Risk_Analysis!D603)</f>
        <v>1.1101115703595645</v>
      </c>
      <c r="C603" s="4">
        <f>C602 * EXP(Risk_Analysis!E603)</f>
        <v>1.101265822784808</v>
      </c>
    </row>
    <row r="604" spans="1:3" x14ac:dyDescent="0.25">
      <c r="A604" s="1">
        <f>Risk_Analysis!A604</f>
        <v>45056</v>
      </c>
      <c r="B604" s="4">
        <f>B603 * EXP(Risk_Analysis!D604)</f>
        <v>1.1152983764216442</v>
      </c>
      <c r="C604" s="4">
        <f>C603 * EXP(Risk_Analysis!E604)</f>
        <v>1.1113603589168379</v>
      </c>
    </row>
    <row r="605" spans="1:3" x14ac:dyDescent="0.25">
      <c r="A605" s="1">
        <f>Risk_Analysis!A605</f>
        <v>45057</v>
      </c>
      <c r="B605" s="4">
        <f>B604 * EXP(Risk_Analysis!D605)</f>
        <v>1.1133533241483642</v>
      </c>
      <c r="C605" s="4">
        <f>C604 * EXP(Risk_Analysis!E605)</f>
        <v>1.0999839769267723</v>
      </c>
    </row>
    <row r="606" spans="1:3" x14ac:dyDescent="0.25">
      <c r="A606" s="1">
        <f>Risk_Analysis!A606</f>
        <v>45058</v>
      </c>
      <c r="B606" s="4">
        <f>B605 * EXP(Risk_Analysis!D606)</f>
        <v>1.1118945349434044</v>
      </c>
      <c r="C606" s="4">
        <f>C605 * EXP(Risk_Analysis!E606)</f>
        <v>1.1060727447524412</v>
      </c>
    </row>
    <row r="607" spans="1:3" x14ac:dyDescent="0.25">
      <c r="A607" s="1">
        <f>Risk_Analysis!A607</f>
        <v>45061</v>
      </c>
      <c r="B607" s="4">
        <f>B606 * EXP(Risk_Analysis!D607)</f>
        <v>1.1157306102601507</v>
      </c>
      <c r="C607" s="4">
        <f>C606 * EXP(Risk_Analysis!E607)</f>
        <v>1.0921326710463044</v>
      </c>
    </row>
    <row r="608" spans="1:3" x14ac:dyDescent="0.25">
      <c r="A608" s="1">
        <f>Risk_Analysis!A608</f>
        <v>45062</v>
      </c>
      <c r="B608" s="4">
        <f>B607 * EXP(Risk_Analysis!D608)</f>
        <v>1.1082745765459114</v>
      </c>
      <c r="C608" s="4">
        <f>C607 * EXP(Risk_Analysis!E608)</f>
        <v>1.0679378304758831</v>
      </c>
    </row>
    <row r="609" spans="1:3" x14ac:dyDescent="0.25">
      <c r="A609" s="1">
        <f>Risk_Analysis!A609</f>
        <v>45063</v>
      </c>
      <c r="B609" s="4">
        <f>B608 * EXP(Risk_Analysis!D609)</f>
        <v>1.1217278547694305</v>
      </c>
      <c r="C609" s="4">
        <f>C608 * EXP(Risk_Analysis!E609)</f>
        <v>1.0640922929017762</v>
      </c>
    </row>
    <row r="610" spans="1:3" x14ac:dyDescent="0.25">
      <c r="A610" s="1">
        <f>Risk_Analysis!A610</f>
        <v>45064</v>
      </c>
      <c r="B610" s="4">
        <f>B609 * EXP(Risk_Analysis!D610)</f>
        <v>1.1325337007320964</v>
      </c>
      <c r="C610" s="4">
        <f>C609 * EXP(Risk_Analysis!E610)</f>
        <v>1.0608876782566872</v>
      </c>
    </row>
    <row r="611" spans="1:3" x14ac:dyDescent="0.25">
      <c r="A611" s="1">
        <f>Risk_Analysis!A611</f>
        <v>45065</v>
      </c>
      <c r="B611" s="4">
        <f>B610 * EXP(Risk_Analysis!D611)</f>
        <v>1.1308858092227898</v>
      </c>
      <c r="C611" s="4">
        <f>C610 * EXP(Risk_Analysis!E611)</f>
        <v>1.0592853709341428</v>
      </c>
    </row>
    <row r="612" spans="1:3" x14ac:dyDescent="0.25">
      <c r="A612" s="1">
        <f>Risk_Analysis!A612</f>
        <v>45068</v>
      </c>
      <c r="B612" s="4">
        <f>B611 * EXP(Risk_Analysis!D612)</f>
        <v>1.1313450576762032</v>
      </c>
      <c r="C612" s="4">
        <f>C611 * EXP(Risk_Analysis!E612)</f>
        <v>1.0596058323986517</v>
      </c>
    </row>
    <row r="613" spans="1:3" x14ac:dyDescent="0.25">
      <c r="A613" s="1">
        <f>Risk_Analysis!A613</f>
        <v>45069</v>
      </c>
      <c r="B613" s="4">
        <f>B612 * EXP(Risk_Analysis!D613)</f>
        <v>1.1186481886700708</v>
      </c>
      <c r="C613" s="4">
        <f>C612 * EXP(Risk_Analysis!E613)</f>
        <v>1.0559205255567996</v>
      </c>
    </row>
    <row r="614" spans="1:3" x14ac:dyDescent="0.25">
      <c r="A614" s="1">
        <f>Risk_Analysis!A614</f>
        <v>45070</v>
      </c>
      <c r="B614" s="4">
        <f>B613 * EXP(Risk_Analysis!D614)</f>
        <v>1.1105438041980715</v>
      </c>
      <c r="C614" s="4">
        <f>C613 * EXP(Risk_Analysis!E614)</f>
        <v>1.0490306040698583</v>
      </c>
    </row>
    <row r="615" spans="1:3" x14ac:dyDescent="0.25">
      <c r="A615" s="1">
        <f>Risk_Analysis!A615</f>
        <v>45071</v>
      </c>
      <c r="B615" s="4">
        <f>B614 * EXP(Risk_Analysis!D615)</f>
        <v>1.1201610071048442</v>
      </c>
      <c r="C615" s="4">
        <f>C614 * EXP(Risk_Analysis!E615)</f>
        <v>1.0349302996314671</v>
      </c>
    </row>
    <row r="616" spans="1:3" x14ac:dyDescent="0.25">
      <c r="A616" s="1">
        <f>Risk_Analysis!A616</f>
        <v>45072</v>
      </c>
      <c r="B616" s="4">
        <f>B615 * EXP(Risk_Analysis!D616)</f>
        <v>1.1346678553097231</v>
      </c>
      <c r="C616" s="4">
        <f>C615 * EXP(Risk_Analysis!E616)</f>
        <v>1.0349302996314671</v>
      </c>
    </row>
    <row r="617" spans="1:3" x14ac:dyDescent="0.25">
      <c r="A617" s="1">
        <f>Risk_Analysis!A617</f>
        <v>45076</v>
      </c>
      <c r="B617" s="4">
        <f>B616 * EXP(Risk_Analysis!D617)</f>
        <v>1.1351000891482299</v>
      </c>
      <c r="C617" s="4">
        <f>C616 * EXP(Risk_Analysis!E617)</f>
        <v>1.0309245313251059</v>
      </c>
    </row>
    <row r="618" spans="1:3" x14ac:dyDescent="0.25">
      <c r="A618" s="1">
        <f>Risk_Analysis!A618</f>
        <v>45077</v>
      </c>
      <c r="B618" s="4">
        <f>B617 * EXP(Risk_Analysis!D618)</f>
        <v>1.1288056838749772</v>
      </c>
      <c r="C618" s="4">
        <f>C617 * EXP(Risk_Analysis!E618)</f>
        <v>1.0403781445281182</v>
      </c>
    </row>
    <row r="619" spans="1:3" x14ac:dyDescent="0.25">
      <c r="A619" s="1">
        <f>Risk_Analysis!A619</f>
        <v>45078</v>
      </c>
      <c r="B619" s="4">
        <f>B618 * EXP(Risk_Analysis!D619)</f>
        <v>1.1395304859929229</v>
      </c>
      <c r="C619" s="4">
        <f>C618 * EXP(Risk_Analysis!E619)</f>
        <v>1.0326870693799046</v>
      </c>
    </row>
    <row r="620" spans="1:3" x14ac:dyDescent="0.25">
      <c r="A620" s="1">
        <f>Risk_Analysis!A620</f>
        <v>45079</v>
      </c>
      <c r="B620" s="4">
        <f>B619 * EXP(Risk_Analysis!D620)</f>
        <v>1.1560094010859885</v>
      </c>
      <c r="C620" s="4">
        <f>C619 * EXP(Risk_Analysis!E620)</f>
        <v>1.0434225284409524</v>
      </c>
    </row>
    <row r="621" spans="1:3" x14ac:dyDescent="0.25">
      <c r="A621" s="1">
        <f>Risk_Analysis!A621</f>
        <v>45082</v>
      </c>
      <c r="B621" s="4">
        <f>B620 * EXP(Risk_Analysis!D621)</f>
        <v>1.1537942026636421</v>
      </c>
      <c r="C621" s="4">
        <f>C620 * EXP(Risk_Analysis!E621)</f>
        <v>1.0483896811408404</v>
      </c>
    </row>
    <row r="622" spans="1:3" x14ac:dyDescent="0.25">
      <c r="A622" s="1">
        <f>Risk_Analysis!A622</f>
        <v>45083</v>
      </c>
      <c r="B622" s="4">
        <f>B621 * EXP(Risk_Analysis!D622)</f>
        <v>1.1563065618499619</v>
      </c>
      <c r="C622" s="4">
        <f>C621 * EXP(Risk_Analysis!E622)</f>
        <v>1.047588527479568</v>
      </c>
    </row>
    <row r="623" spans="1:3" x14ac:dyDescent="0.25">
      <c r="A623" s="1">
        <f>Risk_Analysis!A623</f>
        <v>45084</v>
      </c>
      <c r="B623" s="4">
        <f>B622 * EXP(Risk_Analysis!D623)</f>
        <v>1.1523083988437757</v>
      </c>
      <c r="C623" s="4">
        <f>C622 * EXP(Risk_Analysis!E623)</f>
        <v>1.0653741387598115</v>
      </c>
    </row>
    <row r="624" spans="1:3" x14ac:dyDescent="0.25">
      <c r="A624" s="1">
        <f>Risk_Analysis!A624</f>
        <v>45085</v>
      </c>
      <c r="B624" s="4">
        <f>B623 * EXP(Risk_Analysis!D624)</f>
        <v>1.159278169489695</v>
      </c>
      <c r="C624" s="4">
        <f>C623 * EXP(Risk_Analysis!E624)</f>
        <v>1.0700208299951905</v>
      </c>
    </row>
    <row r="625" spans="1:3" x14ac:dyDescent="0.25">
      <c r="A625" s="1">
        <f>Risk_Analysis!A625</f>
        <v>45086</v>
      </c>
      <c r="B625" s="4">
        <f>B624 * EXP(Risk_Analysis!D625)</f>
        <v>1.1613582948375081</v>
      </c>
      <c r="C625" s="4">
        <f>C624 * EXP(Risk_Analysis!E625)</f>
        <v>1.0637718314372671</v>
      </c>
    </row>
    <row r="626" spans="1:3" x14ac:dyDescent="0.25">
      <c r="A626" s="1">
        <f>Risk_Analysis!A626</f>
        <v>45089</v>
      </c>
      <c r="B626" s="4">
        <f>B625 * EXP(Risk_Analysis!D626)</f>
        <v>1.1718939946511073</v>
      </c>
      <c r="C626" s="4">
        <f>C625 * EXP(Risk_Analysis!E626)</f>
        <v>1.0618490626502135</v>
      </c>
    </row>
    <row r="627" spans="1:3" x14ac:dyDescent="0.25">
      <c r="A627" s="1">
        <f>Risk_Analysis!A627</f>
        <v>45090</v>
      </c>
      <c r="B627" s="4">
        <f>B626 * EXP(Risk_Analysis!D627)</f>
        <v>1.1796201745144133</v>
      </c>
      <c r="C627" s="4">
        <f>C626 * EXP(Risk_Analysis!E627)</f>
        <v>1.0616888319179592</v>
      </c>
    </row>
    <row r="628" spans="1:3" x14ac:dyDescent="0.25">
      <c r="A628" s="1">
        <f>Risk_Analysis!A628</f>
        <v>45091</v>
      </c>
      <c r="B628" s="4">
        <f>B627 * EXP(Risk_Analysis!D628)</f>
        <v>1.1810249344895598</v>
      </c>
      <c r="C628" s="4">
        <f>C627 * EXP(Risk_Analysis!E628)</f>
        <v>1.0610479089889413</v>
      </c>
    </row>
    <row r="629" spans="1:3" x14ac:dyDescent="0.25">
      <c r="A629" s="1">
        <f>Risk_Analysis!A629</f>
        <v>45092</v>
      </c>
      <c r="B629" s="4">
        <f>B628 * EXP(Risk_Analysis!D629)</f>
        <v>1.195666855768972</v>
      </c>
      <c r="C629" s="4">
        <f>C628 * EXP(Risk_Analysis!E629)</f>
        <v>1.0725845217112615</v>
      </c>
    </row>
    <row r="630" spans="1:3" x14ac:dyDescent="0.25">
      <c r="A630" s="1">
        <f>Risk_Analysis!A630</f>
        <v>45093</v>
      </c>
      <c r="B630" s="4">
        <f>B629 * EXP(Risk_Analysis!D630)</f>
        <v>1.1871842666882793</v>
      </c>
      <c r="C630" s="4">
        <f>C629 * EXP(Risk_Analysis!E630)</f>
        <v>1.0783528280724215</v>
      </c>
    </row>
    <row r="631" spans="1:3" x14ac:dyDescent="0.25">
      <c r="A631" s="1">
        <f>Risk_Analysis!A631</f>
        <v>45097</v>
      </c>
      <c r="B631" s="4">
        <f>B630 * EXP(Risk_Analysis!D631)</f>
        <v>1.1810249344895598</v>
      </c>
      <c r="C631" s="4">
        <f>C630 * EXP(Risk_Analysis!E631)</f>
        <v>1.0572023714148346</v>
      </c>
    </row>
    <row r="632" spans="1:3" x14ac:dyDescent="0.25">
      <c r="A632" s="1">
        <f>Risk_Analysis!A632</f>
        <v>45098</v>
      </c>
      <c r="B632" s="4">
        <f>B631 * EXP(Risk_Analysis!D632)</f>
        <v>1.1749736607504668</v>
      </c>
      <c r="C632" s="4">
        <f>C631 * EXP(Risk_Analysis!E632)</f>
        <v>1.0656946002243204</v>
      </c>
    </row>
    <row r="633" spans="1:3" x14ac:dyDescent="0.25">
      <c r="A633" s="1">
        <f>Risk_Analysis!A633</f>
        <v>45099</v>
      </c>
      <c r="B633" s="4">
        <f>B632 * EXP(Risk_Analysis!D633)</f>
        <v>1.1792149552908131</v>
      </c>
      <c r="C633" s="4">
        <f>C632 * EXP(Risk_Analysis!E633)</f>
        <v>1.0575228328793436</v>
      </c>
    </row>
    <row r="634" spans="1:3" x14ac:dyDescent="0.25">
      <c r="A634" s="1">
        <f>Risk_Analysis!A634</f>
        <v>45100</v>
      </c>
      <c r="B634" s="4">
        <f>B633 * EXP(Risk_Analysis!D634)</f>
        <v>1.1703001323716138</v>
      </c>
      <c r="C634" s="4">
        <f>C633 * EXP(Risk_Analysis!E634)</f>
        <v>1.0419804518506623</v>
      </c>
    </row>
    <row r="635" spans="1:3" x14ac:dyDescent="0.25">
      <c r="A635" s="1">
        <f>Risk_Analysis!A635</f>
        <v>45103</v>
      </c>
      <c r="B635" s="4">
        <f>B634 * EXP(Risk_Analysis!D635)</f>
        <v>1.1655185455331343</v>
      </c>
      <c r="C635" s="4">
        <f>C634 * EXP(Risk_Analysis!E635)</f>
        <v>1.0522352187149469</v>
      </c>
    </row>
    <row r="636" spans="1:3" x14ac:dyDescent="0.25">
      <c r="A636" s="1">
        <f>Risk_Analysis!A636</f>
        <v>45104</v>
      </c>
      <c r="B636" s="4">
        <f>B635 * EXP(Risk_Analysis!D636)</f>
        <v>1.1782964583839866</v>
      </c>
      <c r="C636" s="4">
        <f>C635 * EXP(Risk_Analysis!E636)</f>
        <v>1.0525556801794556</v>
      </c>
    </row>
    <row r="637" spans="1:3" x14ac:dyDescent="0.25">
      <c r="A637" s="1">
        <f>Risk_Analysis!A637</f>
        <v>45105</v>
      </c>
      <c r="B637" s="4">
        <f>B636 * EXP(Risk_Analysis!D637)</f>
        <v>1.178890779911933</v>
      </c>
      <c r="C637" s="4">
        <f>C636 * EXP(Risk_Analysis!E637)</f>
        <v>1.0370132991507743</v>
      </c>
    </row>
    <row r="638" spans="1:3" x14ac:dyDescent="0.25">
      <c r="A638" s="1">
        <f>Risk_Analysis!A638</f>
        <v>45106</v>
      </c>
      <c r="B638" s="4">
        <f>B637 * EXP(Risk_Analysis!D638)</f>
        <v>1.1835372936758795</v>
      </c>
      <c r="C638" s="4">
        <f>C637 * EXP(Risk_Analysis!E638)</f>
        <v>1.0370132991507743</v>
      </c>
    </row>
    <row r="639" spans="1:3" x14ac:dyDescent="0.25">
      <c r="A639" s="1">
        <f>Risk_Analysis!A639</f>
        <v>45107</v>
      </c>
      <c r="B639" s="4">
        <f>B638 * EXP(Risk_Analysis!D639)</f>
        <v>1.1975038495826249</v>
      </c>
      <c r="C639" s="4">
        <f>C638 * EXP(Risk_Analysis!E639)</f>
        <v>1.0485499118730945</v>
      </c>
    </row>
    <row r="640" spans="1:3" x14ac:dyDescent="0.25">
      <c r="A640" s="1">
        <f>Risk_Analysis!A640</f>
        <v>45110</v>
      </c>
      <c r="B640" s="4">
        <f>B639 * EXP(Risk_Analysis!D640)</f>
        <v>1.1988815949428648</v>
      </c>
      <c r="C640" s="4">
        <f>C639 * EXP(Risk_Analysis!E640)</f>
        <v>1.0564012177535627</v>
      </c>
    </row>
    <row r="641" spans="1:3" x14ac:dyDescent="0.25">
      <c r="A641" s="1">
        <f>Risk_Analysis!A641</f>
        <v>45112</v>
      </c>
      <c r="B641" s="4">
        <f>B640 * EXP(Risk_Analysis!D641)</f>
        <v>1.197098630359025</v>
      </c>
      <c r="C641" s="4">
        <f>C640 * EXP(Risk_Analysis!E641)</f>
        <v>1.0684185226726459</v>
      </c>
    </row>
    <row r="642" spans="1:3" x14ac:dyDescent="0.25">
      <c r="A642" s="1">
        <f>Risk_Analysis!A642</f>
        <v>45113</v>
      </c>
      <c r="B642" s="4">
        <f>B641 * EXP(Risk_Analysis!D642)</f>
        <v>1.1877245589864125</v>
      </c>
      <c r="C642" s="4">
        <f>C641 * EXP(Risk_Analysis!E642)</f>
        <v>1.0554398333600357</v>
      </c>
    </row>
    <row r="643" spans="1:3" x14ac:dyDescent="0.25">
      <c r="A643" s="1">
        <f>Risk_Analysis!A643</f>
        <v>45114</v>
      </c>
      <c r="B643" s="4">
        <f>B642 * EXP(Risk_Analysis!D643)</f>
        <v>1.1847259367317726</v>
      </c>
      <c r="C643" s="4">
        <f>C642 * EXP(Risk_Analysis!E643)</f>
        <v>1.0477487582118221</v>
      </c>
    </row>
    <row r="644" spans="1:3" x14ac:dyDescent="0.25">
      <c r="A644" s="1">
        <f>Risk_Analysis!A644</f>
        <v>45117</v>
      </c>
      <c r="B644" s="4">
        <f>B643 * EXP(Risk_Analysis!D644)</f>
        <v>1.1877245589864125</v>
      </c>
      <c r="C644" s="4">
        <f>C643 * EXP(Risk_Analysis!E644)</f>
        <v>1.0432622977086976</v>
      </c>
    </row>
    <row r="645" spans="1:3" x14ac:dyDescent="0.25">
      <c r="A645" s="1">
        <f>Risk_Analysis!A645</f>
        <v>45118</v>
      </c>
      <c r="B645" s="4">
        <f>B644 * EXP(Risk_Analysis!D645)</f>
        <v>1.1952886511602783</v>
      </c>
      <c r="C645" s="4">
        <f>C644 * EXP(Risk_Analysis!E645)</f>
        <v>1.0562409870213076</v>
      </c>
    </row>
    <row r="646" spans="1:3" x14ac:dyDescent="0.25">
      <c r="A646" s="1">
        <f>Risk_Analysis!A646</f>
        <v>45119</v>
      </c>
      <c r="B646" s="4">
        <f>B645 * EXP(Risk_Analysis!D646)</f>
        <v>1.2049058540670508</v>
      </c>
      <c r="C646" s="4">
        <f>C645 * EXP(Risk_Analysis!E646)</f>
        <v>1.0716231373177345</v>
      </c>
    </row>
    <row r="647" spans="1:3" x14ac:dyDescent="0.25">
      <c r="A647" s="1">
        <f>Risk_Analysis!A647</f>
        <v>45120</v>
      </c>
      <c r="B647" s="4">
        <f>B646 * EXP(Risk_Analysis!D647)</f>
        <v>1.2144690277440102</v>
      </c>
      <c r="C647" s="4">
        <f>C646 * EXP(Risk_Analysis!E647)</f>
        <v>1.0753084441595868</v>
      </c>
    </row>
    <row r="648" spans="1:3" x14ac:dyDescent="0.25">
      <c r="A648" s="1">
        <f>Risk_Analysis!A648</f>
        <v>45121</v>
      </c>
      <c r="B648" s="4">
        <f>B647 * EXP(Risk_Analysis!D648)</f>
        <v>1.2137126185266236</v>
      </c>
      <c r="C648" s="4">
        <f>C647 * EXP(Risk_Analysis!E648)</f>
        <v>1.0711424451209712</v>
      </c>
    </row>
    <row r="649" spans="1:3" x14ac:dyDescent="0.25">
      <c r="A649" s="1">
        <f>Risk_Analysis!A649</f>
        <v>45124</v>
      </c>
      <c r="B649" s="4">
        <f>B648 * EXP(Risk_Analysis!D649)</f>
        <v>1.2179268984520635</v>
      </c>
      <c r="C649" s="4">
        <f>C648 * EXP(Risk_Analysis!E649)</f>
        <v>1.0588046787373788</v>
      </c>
    </row>
    <row r="650" spans="1:3" x14ac:dyDescent="0.25">
      <c r="A650" s="1">
        <f>Risk_Analysis!A650</f>
        <v>45125</v>
      </c>
      <c r="B650" s="4">
        <f>B649 * EXP(Risk_Analysis!D650)</f>
        <v>1.2269767944457961</v>
      </c>
      <c r="C650" s="4">
        <f>C649 * EXP(Risk_Analysis!E650)</f>
        <v>1.050632911392402</v>
      </c>
    </row>
    <row r="651" spans="1:3" x14ac:dyDescent="0.25">
      <c r="A651" s="1">
        <f>Risk_Analysis!A651</f>
        <v>45126</v>
      </c>
      <c r="B651" s="4">
        <f>B650 * EXP(Risk_Analysis!D651)</f>
        <v>1.2297052705513691</v>
      </c>
      <c r="C651" s="4">
        <f>C650 * EXP(Risk_Analysis!E651)</f>
        <v>1.0613683704534498</v>
      </c>
    </row>
    <row r="652" spans="1:3" x14ac:dyDescent="0.25">
      <c r="A652" s="1">
        <f>Risk_Analysis!A652</f>
        <v>45127</v>
      </c>
      <c r="B652" s="4">
        <f>B651 * EXP(Risk_Analysis!D652)</f>
        <v>1.2215468568495564</v>
      </c>
      <c r="C652" s="4">
        <f>C651 * EXP(Risk_Analysis!E652)</f>
        <v>1.0807562890562379</v>
      </c>
    </row>
    <row r="653" spans="1:3" x14ac:dyDescent="0.25">
      <c r="A653" s="1">
        <f>Risk_Analysis!A653</f>
        <v>45128</v>
      </c>
      <c r="B653" s="4">
        <f>B652 * EXP(Risk_Analysis!D653)</f>
        <v>1.2215468568495564</v>
      </c>
      <c r="C653" s="4">
        <f>C652 * EXP(Risk_Analysis!E653)</f>
        <v>1.096939593013937</v>
      </c>
    </row>
    <row r="654" spans="1:3" x14ac:dyDescent="0.25">
      <c r="A654" s="1">
        <f>Risk_Analysis!A654</f>
        <v>45131</v>
      </c>
      <c r="B654" s="4">
        <f>B653 * EXP(Risk_Analysis!D654)</f>
        <v>1.2270038090607025</v>
      </c>
      <c r="C654" s="4">
        <f>C653 * EXP(Risk_Analysis!E654)</f>
        <v>1.0940554398333571</v>
      </c>
    </row>
    <row r="655" spans="1:3" x14ac:dyDescent="0.25">
      <c r="A655" s="1">
        <f>Risk_Analysis!A655</f>
        <v>45132</v>
      </c>
      <c r="B655" s="4">
        <f>B654 * EXP(Risk_Analysis!D655)</f>
        <v>1.2303536213091288</v>
      </c>
      <c r="C655" s="4">
        <f>C654 * EXP(Risk_Analysis!E655)</f>
        <v>1.0959782086204106</v>
      </c>
    </row>
    <row r="656" spans="1:3" x14ac:dyDescent="0.25">
      <c r="A656" s="1">
        <f>Risk_Analysis!A656</f>
        <v>45133</v>
      </c>
      <c r="B656" s="4">
        <f>B655 * EXP(Risk_Analysis!D656)</f>
        <v>1.2305427236134754</v>
      </c>
      <c r="C656" s="4">
        <f>C655 * EXP(Risk_Analysis!E656)</f>
        <v>1.0959782086204106</v>
      </c>
    </row>
    <row r="657" spans="1:3" x14ac:dyDescent="0.25">
      <c r="A657" s="1">
        <f>Risk_Analysis!A657</f>
        <v>45134</v>
      </c>
      <c r="B657" s="4">
        <f>B656 * EXP(Risk_Analysis!D657)</f>
        <v>1.2223843099116627</v>
      </c>
      <c r="C657" s="4">
        <f>C656 * EXP(Risk_Analysis!E657)</f>
        <v>1.0765902900176225</v>
      </c>
    </row>
    <row r="658" spans="1:3" x14ac:dyDescent="0.25">
      <c r="A658" s="1">
        <f>Risk_Analysis!A658</f>
        <v>45135</v>
      </c>
      <c r="B658" s="4">
        <f>B657 * EXP(Risk_Analysis!D658)</f>
        <v>1.2343517843153151</v>
      </c>
      <c r="C658" s="4">
        <f>C657 * EXP(Risk_Analysis!E658)</f>
        <v>1.0741868290338059</v>
      </c>
    </row>
    <row r="659" spans="1:3" x14ac:dyDescent="0.25">
      <c r="A659" s="1">
        <f>Risk_Analysis!A659</f>
        <v>45138</v>
      </c>
      <c r="B659" s="4">
        <f>B658 * EXP(Risk_Analysis!D659)</f>
        <v>1.2367020558121948</v>
      </c>
      <c r="C659" s="4">
        <f>C658 * EXP(Risk_Analysis!E659)</f>
        <v>1.074667521230569</v>
      </c>
    </row>
    <row r="660" spans="1:3" x14ac:dyDescent="0.25">
      <c r="A660" s="1">
        <f>Risk_Analysis!A660</f>
        <v>45139</v>
      </c>
      <c r="B660" s="4">
        <f>B659 * EXP(Risk_Analysis!D660)</f>
        <v>1.2331631412594217</v>
      </c>
      <c r="C660" s="4">
        <f>C659 * EXP(Risk_Analysis!E660)</f>
        <v>1.0615286011857046</v>
      </c>
    </row>
    <row r="661" spans="1:3" x14ac:dyDescent="0.25">
      <c r="A661" s="1">
        <f>Risk_Analysis!A661</f>
        <v>45140</v>
      </c>
      <c r="B661" s="4">
        <f>B660 * EXP(Risk_Analysis!D661)</f>
        <v>1.2160088607936896</v>
      </c>
      <c r="C661" s="4">
        <f>C660 * EXP(Risk_Analysis!E661)</f>
        <v>1.0615286011857046</v>
      </c>
    </row>
    <row r="662" spans="1:3" x14ac:dyDescent="0.25">
      <c r="A662" s="1">
        <f>Risk_Analysis!A662</f>
        <v>45141</v>
      </c>
      <c r="B662" s="4">
        <f>B661 * EXP(Risk_Analysis!D662)</f>
        <v>1.2125239754707298</v>
      </c>
      <c r="C662" s="4">
        <f>C661 * EXP(Risk_Analysis!E662)</f>
        <v>1.0373337606152833</v>
      </c>
    </row>
    <row r="663" spans="1:3" x14ac:dyDescent="0.25">
      <c r="A663" s="1">
        <f>Risk_Analysis!A663</f>
        <v>45142</v>
      </c>
      <c r="B663" s="4">
        <f>B662 * EXP(Risk_Analysis!D663)</f>
        <v>1.2070400086446769</v>
      </c>
      <c r="C663" s="4">
        <f>C662 * EXP(Risk_Analysis!E663)</f>
        <v>1.0253164556962</v>
      </c>
    </row>
    <row r="664" spans="1:3" x14ac:dyDescent="0.25">
      <c r="A664" s="1">
        <f>Risk_Analysis!A664</f>
        <v>45145</v>
      </c>
      <c r="B664" s="4">
        <f>B663 * EXP(Risk_Analysis!D664)</f>
        <v>1.2175757084582759</v>
      </c>
      <c r="C664" s="4">
        <f>C663 * EXP(Risk_Analysis!E664)</f>
        <v>1.0251562249639454</v>
      </c>
    </row>
    <row r="665" spans="1:3" x14ac:dyDescent="0.25">
      <c r="A665" s="1">
        <f>Risk_Analysis!A665</f>
        <v>45146</v>
      </c>
      <c r="B665" s="4">
        <f>B664 * EXP(Risk_Analysis!D665)</f>
        <v>1.2122808439365695</v>
      </c>
      <c r="C665" s="4">
        <f>C664 * EXP(Risk_Analysis!E665)</f>
        <v>1.0299631469315789</v>
      </c>
    </row>
    <row r="666" spans="1:3" x14ac:dyDescent="0.25">
      <c r="A666" s="1">
        <f>Risk_Analysis!A666</f>
        <v>45147</v>
      </c>
      <c r="B666" s="4">
        <f>B665 * EXP(Risk_Analysis!D666)</f>
        <v>1.2041764594645701</v>
      </c>
      <c r="C666" s="4">
        <f>C665 * EXP(Risk_Analysis!E666)</f>
        <v>1.0322063771831411</v>
      </c>
    </row>
    <row r="667" spans="1:3" x14ac:dyDescent="0.25">
      <c r="A667" s="1">
        <f>Risk_Analysis!A667</f>
        <v>45148</v>
      </c>
      <c r="B667" s="4">
        <f>B666 * EXP(Risk_Analysis!D667)</f>
        <v>1.2046086933030766</v>
      </c>
      <c r="C667" s="4">
        <f>C666 * EXP(Risk_Analysis!E667)</f>
        <v>1.0290017625380521</v>
      </c>
    </row>
    <row r="668" spans="1:3" x14ac:dyDescent="0.25">
      <c r="A668" s="1">
        <f>Risk_Analysis!A668</f>
        <v>45149</v>
      </c>
      <c r="B668" s="4">
        <f>B667 * EXP(Risk_Analysis!D668)</f>
        <v>1.2039063133155032</v>
      </c>
      <c r="C668" s="4">
        <f>C667 * EXP(Risk_Analysis!E668)</f>
        <v>1.0346098381669575</v>
      </c>
    </row>
    <row r="669" spans="1:3" x14ac:dyDescent="0.25">
      <c r="A669" s="1">
        <f>Risk_Analysis!A669</f>
        <v>45152</v>
      </c>
      <c r="B669" s="4">
        <f>B668 * EXP(Risk_Analysis!D669)</f>
        <v>1.2105519085825427</v>
      </c>
      <c r="C669" s="4">
        <f>C668 * EXP(Risk_Analysis!E669)</f>
        <v>1.0264380708219809</v>
      </c>
    </row>
    <row r="670" spans="1:3" x14ac:dyDescent="0.25">
      <c r="A670" s="1">
        <f>Risk_Analysis!A670</f>
        <v>45153</v>
      </c>
      <c r="B670" s="4">
        <f>B669 * EXP(Risk_Analysis!D670)</f>
        <v>1.1964502796012637</v>
      </c>
      <c r="C670" s="4">
        <f>C669 * EXP(Risk_Analysis!E670)</f>
        <v>1.0097740746675186</v>
      </c>
    </row>
    <row r="671" spans="1:3" x14ac:dyDescent="0.25">
      <c r="A671" s="1">
        <f>Risk_Analysis!A671</f>
        <v>45154</v>
      </c>
      <c r="B671" s="4">
        <f>B670 * EXP(Risk_Analysis!D671)</f>
        <v>1.1876705297565977</v>
      </c>
      <c r="C671" s="4">
        <f>C670 * EXP(Risk_Analysis!E671)</f>
        <v>1.0142605351706429</v>
      </c>
    </row>
    <row r="672" spans="1:3" x14ac:dyDescent="0.25">
      <c r="A672" s="1">
        <f>Risk_Analysis!A672</f>
        <v>45155</v>
      </c>
      <c r="B672" s="4">
        <f>B671 * EXP(Risk_Analysis!D672)</f>
        <v>1.1786206337628651</v>
      </c>
      <c r="C672" s="4">
        <f>C671 * EXP(Risk_Analysis!E672)</f>
        <v>1.0120173049190806</v>
      </c>
    </row>
    <row r="673" spans="1:3" x14ac:dyDescent="0.25">
      <c r="A673" s="1">
        <f>Risk_Analysis!A673</f>
        <v>45156</v>
      </c>
      <c r="B673" s="4">
        <f>B672 * EXP(Risk_Analysis!D673)</f>
        <v>1.1791879406759049</v>
      </c>
      <c r="C673" s="4">
        <f>C672 * EXP(Risk_Analysis!E673)</f>
        <v>1.0173049190834773</v>
      </c>
    </row>
    <row r="674" spans="1:3" x14ac:dyDescent="0.25">
      <c r="A674" s="1">
        <f>Risk_Analysis!A674</f>
        <v>45159</v>
      </c>
      <c r="B674" s="4">
        <f>B673 * EXP(Risk_Analysis!D674)</f>
        <v>1.1868600913093976</v>
      </c>
      <c r="C674" s="4">
        <f>C673 * EXP(Risk_Analysis!E674)</f>
        <v>1.0108956897932995</v>
      </c>
    </row>
    <row r="675" spans="1:3" x14ac:dyDescent="0.25">
      <c r="A675" s="1">
        <f>Risk_Analysis!A675</f>
        <v>45160</v>
      </c>
      <c r="B675" s="4">
        <f>B674 * EXP(Risk_Analysis!D675)</f>
        <v>1.1836453521355046</v>
      </c>
      <c r="C675" s="4">
        <f>C674 * EXP(Risk_Analysis!E675)</f>
        <v>1.0137798429738796</v>
      </c>
    </row>
    <row r="676" spans="1:3" x14ac:dyDescent="0.25">
      <c r="A676" s="1">
        <f>Risk_Analysis!A676</f>
        <v>45161</v>
      </c>
      <c r="B676" s="4">
        <f>B675 * EXP(Risk_Analysis!D676)</f>
        <v>1.196828484209957</v>
      </c>
      <c r="C676" s="4">
        <f>C675 * EXP(Risk_Analysis!E676)</f>
        <v>1.0177856112802408</v>
      </c>
    </row>
    <row r="677" spans="1:3" x14ac:dyDescent="0.25">
      <c r="A677" s="1">
        <f>Risk_Analysis!A677</f>
        <v>45162</v>
      </c>
      <c r="B677" s="4">
        <f>B676 * EXP(Risk_Analysis!D677)</f>
        <v>1.180241510657265</v>
      </c>
      <c r="C677" s="4">
        <f>C676 * EXP(Risk_Analysis!E677)</f>
        <v>1.0118570741868262</v>
      </c>
    </row>
    <row r="678" spans="1:3" x14ac:dyDescent="0.25">
      <c r="A678" s="1">
        <f>Risk_Analysis!A678</f>
        <v>45163</v>
      </c>
      <c r="B678" s="4">
        <f>B677 * EXP(Risk_Analysis!D678)</f>
        <v>1.1885620120485176</v>
      </c>
      <c r="C678" s="4">
        <f>C677 * EXP(Risk_Analysis!E678)</f>
        <v>1.0195481493350396</v>
      </c>
    </row>
    <row r="679" spans="1:3" x14ac:dyDescent="0.25">
      <c r="A679" s="1">
        <f>Risk_Analysis!A679</f>
        <v>45166</v>
      </c>
      <c r="B679" s="4">
        <f>B678 * EXP(Risk_Analysis!D679)</f>
        <v>1.196099089607477</v>
      </c>
      <c r="C679" s="4">
        <f>C678 * EXP(Risk_Analysis!E679)</f>
        <v>1.019387918602785</v>
      </c>
    </row>
    <row r="680" spans="1:3" x14ac:dyDescent="0.25">
      <c r="A680" s="1">
        <f>Risk_Analysis!A680</f>
        <v>45167</v>
      </c>
      <c r="B680" s="4">
        <f>B679 * EXP(Risk_Analysis!D680)</f>
        <v>1.2133884431477424</v>
      </c>
      <c r="C680" s="4">
        <f>C679 * EXP(Risk_Analysis!E680)</f>
        <v>1.0232334561768919</v>
      </c>
    </row>
    <row r="681" spans="1:3" x14ac:dyDescent="0.25">
      <c r="A681" s="1">
        <f>Risk_Analysis!A681</f>
        <v>45168</v>
      </c>
      <c r="B681" s="4">
        <f>B680 * EXP(Risk_Analysis!D681)</f>
        <v>1.2183861469054751</v>
      </c>
      <c r="C681" s="4">
        <f>C680 * EXP(Risk_Analysis!E681)</f>
        <v>1.018586764941513</v>
      </c>
    </row>
    <row r="682" spans="1:3" x14ac:dyDescent="0.25">
      <c r="A682" s="1">
        <f>Risk_Analysis!A682</f>
        <v>45169</v>
      </c>
      <c r="B682" s="4">
        <f>B681 * EXP(Risk_Analysis!D682)</f>
        <v>1.2166031823216354</v>
      </c>
      <c r="C682" s="4">
        <f>C681 * EXP(Risk_Analysis!E682)</f>
        <v>1.0088126902739918</v>
      </c>
    </row>
    <row r="683" spans="1:3" x14ac:dyDescent="0.25">
      <c r="A683" s="1">
        <f>Risk_Analysis!A683</f>
        <v>45170</v>
      </c>
      <c r="B683" s="4">
        <f>B682 * EXP(Risk_Analysis!D683)</f>
        <v>1.2188724099737953</v>
      </c>
      <c r="C683" s="4">
        <f>C682 * EXP(Risk_Analysis!E683)</f>
        <v>1.0036853068418494</v>
      </c>
    </row>
    <row r="684" spans="1:3" x14ac:dyDescent="0.25">
      <c r="A684" s="1">
        <f>Risk_Analysis!A684</f>
        <v>45174</v>
      </c>
      <c r="B684" s="4">
        <f>B683 * EXP(Risk_Analysis!D684)</f>
        <v>1.2136045600669958</v>
      </c>
      <c r="C684" s="4">
        <f>C683 * EXP(Risk_Analysis!E684)</f>
        <v>0.98830315654542256</v>
      </c>
    </row>
    <row r="685" spans="1:3" x14ac:dyDescent="0.25">
      <c r="A685" s="1">
        <f>Risk_Analysis!A685</f>
        <v>45175</v>
      </c>
      <c r="B685" s="4">
        <f>B684 * EXP(Risk_Analysis!D685)</f>
        <v>1.2054461463651831</v>
      </c>
      <c r="C685" s="4">
        <f>C684 * EXP(Risk_Analysis!E685)</f>
        <v>0.99054638679698481</v>
      </c>
    </row>
    <row r="686" spans="1:3" x14ac:dyDescent="0.25">
      <c r="A686" s="1">
        <f>Risk_Analysis!A686</f>
        <v>45176</v>
      </c>
      <c r="B686" s="4">
        <f>B685 * EXP(Risk_Analysis!D686)</f>
        <v>1.2017451441229701</v>
      </c>
      <c r="C686" s="4">
        <f>C685 * EXP(Risk_Analysis!E686)</f>
        <v>1.0035250761095951</v>
      </c>
    </row>
    <row r="687" spans="1:3" x14ac:dyDescent="0.25">
      <c r="A687" s="1">
        <f>Risk_Analysis!A687</f>
        <v>45177</v>
      </c>
      <c r="B687" s="4">
        <f>B686 * EXP(Risk_Analysis!D687)</f>
        <v>1.2035551233217163</v>
      </c>
      <c r="C687" s="4">
        <f>C686 * EXP(Risk_Analysis!E687)</f>
        <v>1.0123377663835895</v>
      </c>
    </row>
    <row r="688" spans="1:3" x14ac:dyDescent="0.25">
      <c r="A688" s="1">
        <f>Risk_Analysis!A688</f>
        <v>45180</v>
      </c>
      <c r="B688" s="4">
        <f>B687 * EXP(Risk_Analysis!D688)</f>
        <v>1.211470405489369</v>
      </c>
      <c r="C688" s="4">
        <f>C687 * EXP(Risk_Analysis!E688)</f>
        <v>1.0165037654222049</v>
      </c>
    </row>
    <row r="689" spans="1:3" x14ac:dyDescent="0.25">
      <c r="A689" s="1">
        <f>Risk_Analysis!A689</f>
        <v>45181</v>
      </c>
      <c r="B689" s="4">
        <f>B688 * EXP(Risk_Analysis!D689)</f>
        <v>1.2048248102223296</v>
      </c>
      <c r="C689" s="4">
        <f>C688 * EXP(Risk_Analysis!E689)</f>
        <v>1.0177856112802406</v>
      </c>
    </row>
    <row r="690" spans="1:3" x14ac:dyDescent="0.25">
      <c r="A690" s="1">
        <f>Risk_Analysis!A690</f>
        <v>45182</v>
      </c>
      <c r="B690" s="4">
        <f>B689 * EXP(Risk_Analysis!D690)</f>
        <v>1.2062295701974759</v>
      </c>
      <c r="C690" s="4">
        <f>C689 * EXP(Risk_Analysis!E690)</f>
        <v>1.0299631469315784</v>
      </c>
    </row>
    <row r="691" spans="1:3" x14ac:dyDescent="0.25">
      <c r="A691" s="1">
        <f>Risk_Analysis!A691</f>
        <v>45183</v>
      </c>
      <c r="B691" s="4">
        <f>B690 * EXP(Risk_Analysis!D691)</f>
        <v>1.2166301969365418</v>
      </c>
      <c r="C691" s="4">
        <f>C690 * EXP(Risk_Analysis!E691)</f>
        <v>1.0450248357634961</v>
      </c>
    </row>
    <row r="692" spans="1:3" x14ac:dyDescent="0.25">
      <c r="A692" s="1">
        <f>Risk_Analysis!A692</f>
        <v>45184</v>
      </c>
      <c r="B692" s="4">
        <f>B691 * EXP(Risk_Analysis!D692)</f>
        <v>1.1977469811167833</v>
      </c>
      <c r="C692" s="4">
        <f>C691 * EXP(Risk_Analysis!E692)</f>
        <v>1.0405383752603716</v>
      </c>
    </row>
    <row r="693" spans="1:3" x14ac:dyDescent="0.25">
      <c r="A693" s="1">
        <f>Risk_Analysis!A693</f>
        <v>45187</v>
      </c>
      <c r="B693" s="4">
        <f>B692 * EXP(Risk_Analysis!D693)</f>
        <v>1.1984493611043565</v>
      </c>
      <c r="C693" s="4">
        <f>C692 * EXP(Risk_Analysis!E693)</f>
        <v>1.0314052235218683</v>
      </c>
    </row>
    <row r="694" spans="1:3" x14ac:dyDescent="0.25">
      <c r="A694" s="1">
        <f>Risk_Analysis!A694</f>
        <v>45188</v>
      </c>
      <c r="B694" s="4">
        <f>B693 * EXP(Risk_Analysis!D694)</f>
        <v>1.1959640165329433</v>
      </c>
      <c r="C694" s="4">
        <f>C693 * EXP(Risk_Analysis!E694)</f>
        <v>1.0257971478929626</v>
      </c>
    </row>
    <row r="695" spans="1:3" x14ac:dyDescent="0.25">
      <c r="A695" s="1">
        <f>Risk_Analysis!A695</f>
        <v>45189</v>
      </c>
      <c r="B695" s="4">
        <f>B694 * EXP(Risk_Analysis!D695)</f>
        <v>1.1849690682659308</v>
      </c>
      <c r="C695" s="4">
        <f>C694 * EXP(Risk_Analysis!E695)</f>
        <v>1.0267585322864894</v>
      </c>
    </row>
    <row r="696" spans="1:3" x14ac:dyDescent="0.25">
      <c r="A696" s="1">
        <f>Risk_Analysis!A696</f>
        <v>45190</v>
      </c>
      <c r="B696" s="4">
        <f>B695 * EXP(Risk_Analysis!D696)</f>
        <v>1.1653834724585992</v>
      </c>
      <c r="C696" s="4">
        <f>C695 * EXP(Risk_Analysis!E696)</f>
        <v>1.0160230732254416</v>
      </c>
    </row>
    <row r="697" spans="1:3" x14ac:dyDescent="0.25">
      <c r="A697" s="1">
        <f>Risk_Analysis!A697</f>
        <v>45191</v>
      </c>
      <c r="B697" s="4">
        <f>B696 * EXP(Risk_Analysis!D697)</f>
        <v>1.1627630548126529</v>
      </c>
      <c r="C697" s="4">
        <f>C696 * EXP(Risk_Analysis!E697)</f>
        <v>1.0141003044383883</v>
      </c>
    </row>
    <row r="698" spans="1:3" x14ac:dyDescent="0.25">
      <c r="A698" s="1">
        <f>Risk_Analysis!A698</f>
        <v>45194</v>
      </c>
      <c r="B698" s="4">
        <f>B697 * EXP(Risk_Analysis!D698)</f>
        <v>1.1676527001107591</v>
      </c>
      <c r="C698" s="4">
        <f>C697 * EXP(Risk_Analysis!E698)</f>
        <v>1.0126582278480984</v>
      </c>
    </row>
    <row r="699" spans="1:3" x14ac:dyDescent="0.25">
      <c r="A699" s="1">
        <f>Risk_Analysis!A699</f>
        <v>45195</v>
      </c>
      <c r="B699" s="4">
        <f>B698 * EXP(Risk_Analysis!D699)</f>
        <v>1.150498419645027</v>
      </c>
      <c r="C699" s="4">
        <f>C698 * EXP(Risk_Analysis!E699)</f>
        <v>0.9823746194520081</v>
      </c>
    </row>
    <row r="700" spans="1:3" x14ac:dyDescent="0.25">
      <c r="A700" s="1">
        <f>Risk_Analysis!A700</f>
        <v>45196</v>
      </c>
      <c r="B700" s="4">
        <f>B699 * EXP(Risk_Analysis!D700)</f>
        <v>1.1509576680984404</v>
      </c>
      <c r="C700" s="4">
        <f>C699 * EXP(Risk_Analysis!E700)</f>
        <v>0.9634673930459835</v>
      </c>
    </row>
    <row r="701" spans="1:3" x14ac:dyDescent="0.25">
      <c r="A701" s="1">
        <f>Risk_Analysis!A701</f>
        <v>45197</v>
      </c>
      <c r="B701" s="4">
        <f>B700 * EXP(Risk_Analysis!D701)</f>
        <v>1.1576302779803864</v>
      </c>
      <c r="C701" s="4">
        <f>C700 * EXP(Risk_Analysis!E701)</f>
        <v>0.94263739785290546</v>
      </c>
    </row>
    <row r="702" spans="1:3" x14ac:dyDescent="0.25">
      <c r="A702" s="1">
        <f>Risk_Analysis!A702</f>
        <v>45198</v>
      </c>
      <c r="B702" s="4">
        <f>B701 * EXP(Risk_Analysis!D702)</f>
        <v>1.1548207580300935</v>
      </c>
      <c r="C702" s="4">
        <f>C701 * EXP(Risk_Analysis!E702)</f>
        <v>0.94423970517544986</v>
      </c>
    </row>
    <row r="703" spans="1:3" x14ac:dyDescent="0.25">
      <c r="A703" s="1">
        <f>Risk_Analysis!A703</f>
        <v>45201</v>
      </c>
      <c r="B703" s="4">
        <f>B702 * EXP(Risk_Analysis!D703)</f>
        <v>1.1543615095766802</v>
      </c>
      <c r="C703" s="4">
        <f>C702 * EXP(Risk_Analysis!E703)</f>
        <v>0.90033648453773163</v>
      </c>
    </row>
    <row r="704" spans="1:3" x14ac:dyDescent="0.25">
      <c r="A704" s="1">
        <f>Risk_Analysis!A704</f>
        <v>45202</v>
      </c>
      <c r="B704" s="4">
        <f>B703 * EXP(Risk_Analysis!D704)</f>
        <v>1.1389091498500681</v>
      </c>
      <c r="C704" s="4">
        <f>C703 * EXP(Risk_Analysis!E704)</f>
        <v>0.9107514821342706</v>
      </c>
    </row>
    <row r="705" spans="1:3" x14ac:dyDescent="0.25">
      <c r="A705" s="1">
        <f>Risk_Analysis!A705</f>
        <v>45203</v>
      </c>
      <c r="B705" s="4">
        <f>B704 * EXP(Risk_Analysis!D705)</f>
        <v>1.1472026366264141</v>
      </c>
      <c r="C705" s="4">
        <f>C704 * EXP(Risk_Analysis!E705)</f>
        <v>0.90979009774074382</v>
      </c>
    </row>
    <row r="706" spans="1:3" x14ac:dyDescent="0.25">
      <c r="A706" s="1">
        <f>Risk_Analysis!A706</f>
        <v>45204</v>
      </c>
      <c r="B706" s="4">
        <f>B705 * EXP(Risk_Analysis!D706)</f>
        <v>1.1467704027879073</v>
      </c>
      <c r="C706" s="4">
        <f>C705 * EXP(Risk_Analysis!E706)</f>
        <v>0.9045024835763471</v>
      </c>
    </row>
    <row r="707" spans="1:3" x14ac:dyDescent="0.25">
      <c r="A707" s="1">
        <f>Risk_Analysis!A707</f>
        <v>45205</v>
      </c>
      <c r="B707" s="4">
        <f>B706 * EXP(Risk_Analysis!D707)</f>
        <v>1.1603857687008663</v>
      </c>
      <c r="C707" s="4">
        <f>C706 * EXP(Risk_Analysis!E707)</f>
        <v>0.91732094215670279</v>
      </c>
    </row>
    <row r="708" spans="1:3" x14ac:dyDescent="0.25">
      <c r="A708" s="1">
        <f>Risk_Analysis!A708</f>
        <v>45208</v>
      </c>
      <c r="B708" s="4">
        <f>B707 * EXP(Risk_Analysis!D708)</f>
        <v>1.167814787800199</v>
      </c>
      <c r="C708" s="4">
        <f>C707 * EXP(Risk_Analysis!E708)</f>
        <v>0.92645409389520605</v>
      </c>
    </row>
    <row r="709" spans="1:3" x14ac:dyDescent="0.25">
      <c r="A709" s="1">
        <f>Risk_Analysis!A709</f>
        <v>45209</v>
      </c>
      <c r="B709" s="4">
        <f>B708 * EXP(Risk_Analysis!D709)</f>
        <v>1.1738930761541986</v>
      </c>
      <c r="C709" s="4">
        <f>C708 * EXP(Risk_Analysis!E709)</f>
        <v>0.93911232174330728</v>
      </c>
    </row>
    <row r="710" spans="1:3" x14ac:dyDescent="0.25">
      <c r="A710" s="1">
        <f>Risk_Analysis!A710</f>
        <v>45210</v>
      </c>
      <c r="B710" s="4">
        <f>B709 * EXP(Risk_Analysis!D710)</f>
        <v>1.1787016776075847</v>
      </c>
      <c r="C710" s="4">
        <f>C709 * EXP(Risk_Analysis!E710)</f>
        <v>0.95433424130747957</v>
      </c>
    </row>
    <row r="711" spans="1:3" x14ac:dyDescent="0.25">
      <c r="A711" s="1">
        <f>Risk_Analysis!A711</f>
        <v>45211</v>
      </c>
      <c r="B711" s="4">
        <f>B710 * EXP(Risk_Analysis!D711)</f>
        <v>1.171515790042412</v>
      </c>
      <c r="C711" s="4">
        <f>C710 * EXP(Risk_Analysis!E711)</f>
        <v>0.93959301394007044</v>
      </c>
    </row>
    <row r="712" spans="1:3" x14ac:dyDescent="0.25">
      <c r="A712" s="1">
        <f>Risk_Analysis!A712</f>
        <v>45212</v>
      </c>
      <c r="B712" s="4">
        <f>B711 * EXP(Risk_Analysis!D712)</f>
        <v>1.1656806332225724</v>
      </c>
      <c r="C712" s="4">
        <f>C711 * EXP(Risk_Analysis!E712)</f>
        <v>0.95016824226886387</v>
      </c>
    </row>
    <row r="713" spans="1:3" x14ac:dyDescent="0.25">
      <c r="A713" s="1">
        <f>Risk_Analysis!A713</f>
        <v>45215</v>
      </c>
      <c r="B713" s="4">
        <f>B712 * EXP(Risk_Analysis!D713)</f>
        <v>1.1779452683901983</v>
      </c>
      <c r="C713" s="4">
        <f>C712 * EXP(Risk_Analysis!E713)</f>
        <v>0.9599423169363851</v>
      </c>
    </row>
    <row r="714" spans="1:3" x14ac:dyDescent="0.25">
      <c r="A714" s="1">
        <f>Risk_Analysis!A714</f>
        <v>45216</v>
      </c>
      <c r="B714" s="4">
        <f>B713 * EXP(Risk_Analysis!D714)</f>
        <v>1.1778912391603849</v>
      </c>
      <c r="C714" s="4">
        <f>C713 * EXP(Risk_Analysis!E714)</f>
        <v>0.95737862522031403</v>
      </c>
    </row>
    <row r="715" spans="1:3" x14ac:dyDescent="0.25">
      <c r="A715" s="1">
        <f>Risk_Analysis!A715</f>
        <v>45217</v>
      </c>
      <c r="B715" s="4">
        <f>B714 * EXP(Risk_Analysis!D715)</f>
        <v>1.1621957478996128</v>
      </c>
      <c r="C715" s="4">
        <f>C714 * EXP(Risk_Analysis!E715)</f>
        <v>0.94904662714308285</v>
      </c>
    </row>
    <row r="716" spans="1:3" x14ac:dyDescent="0.25">
      <c r="A716" s="1">
        <f>Risk_Analysis!A716</f>
        <v>45218</v>
      </c>
      <c r="B716" s="4">
        <f>B715 * EXP(Risk_Analysis!D716)</f>
        <v>1.1519842234648936</v>
      </c>
      <c r="C716" s="4">
        <f>C715 * EXP(Risk_Analysis!E716)</f>
        <v>0.93959301394007055</v>
      </c>
    </row>
    <row r="717" spans="1:3" x14ac:dyDescent="0.25">
      <c r="A717" s="1">
        <f>Risk_Analysis!A717</f>
        <v>45219</v>
      </c>
      <c r="B717" s="4">
        <f>B716 * EXP(Risk_Analysis!D717)</f>
        <v>1.1378285652538014</v>
      </c>
      <c r="C717" s="4">
        <f>C716 * EXP(Risk_Analysis!E717)</f>
        <v>0.92981893927254933</v>
      </c>
    </row>
    <row r="718" spans="1:3" x14ac:dyDescent="0.25">
      <c r="A718" s="1">
        <f>Risk_Analysis!A718</f>
        <v>45222</v>
      </c>
      <c r="B718" s="4">
        <f>B717 * EXP(Risk_Analysis!D718)</f>
        <v>1.1358564983656148</v>
      </c>
      <c r="C718" s="4">
        <f>C717 * EXP(Risk_Analysis!E718)</f>
        <v>0.92196763339208143</v>
      </c>
    </row>
    <row r="719" spans="1:3" x14ac:dyDescent="0.25">
      <c r="A719" s="1">
        <f>Risk_Analysis!A719</f>
        <v>45223</v>
      </c>
      <c r="B719" s="4">
        <f>B718 * EXP(Risk_Analysis!D719)</f>
        <v>1.1444201312910274</v>
      </c>
      <c r="C719" s="4">
        <f>C718 * EXP(Risk_Analysis!E719)</f>
        <v>0.94568178176573936</v>
      </c>
    </row>
    <row r="720" spans="1:3" x14ac:dyDescent="0.25">
      <c r="A720" s="1">
        <f>Risk_Analysis!A720</f>
        <v>45224</v>
      </c>
      <c r="B720" s="4">
        <f>B719 * EXP(Risk_Analysis!D720)</f>
        <v>1.1279952454277753</v>
      </c>
      <c r="C720" s="4">
        <f>C719 * EXP(Risk_Analysis!E720)</f>
        <v>0.95096939593013607</v>
      </c>
    </row>
    <row r="721" spans="1:3" x14ac:dyDescent="0.25">
      <c r="A721" s="1">
        <f>Risk_Analysis!A721</f>
        <v>45225</v>
      </c>
      <c r="B721" s="4">
        <f>B720 * EXP(Risk_Analysis!D721)</f>
        <v>1.114487937974443</v>
      </c>
      <c r="C721" s="4">
        <f>C720 * EXP(Risk_Analysis!E721)</f>
        <v>0.95914116327511267</v>
      </c>
    </row>
    <row r="722" spans="1:3" x14ac:dyDescent="0.25">
      <c r="A722" s="1">
        <f>Risk_Analysis!A722</f>
        <v>45226</v>
      </c>
      <c r="B722" s="4">
        <f>B721 * EXP(Risk_Analysis!D722)</f>
        <v>1.1094362049868967</v>
      </c>
      <c r="C722" s="4">
        <f>C721 * EXP(Risk_Analysis!E722)</f>
        <v>0.94103509053036027</v>
      </c>
    </row>
    <row r="723" spans="1:3" x14ac:dyDescent="0.25">
      <c r="A723" s="1">
        <f>Risk_Analysis!A723</f>
        <v>45229</v>
      </c>
      <c r="B723" s="4">
        <f>B722 * EXP(Risk_Analysis!D723)</f>
        <v>1.1227003809060687</v>
      </c>
      <c r="C723" s="4">
        <f>C722 * EXP(Risk_Analysis!E723)</f>
        <v>0.94824547348181043</v>
      </c>
    </row>
    <row r="724" spans="1:3" x14ac:dyDescent="0.25">
      <c r="A724" s="1">
        <f>Risk_Analysis!A724</f>
        <v>45230</v>
      </c>
      <c r="B724" s="4">
        <f>B723 * EXP(Risk_Analysis!D724)</f>
        <v>1.1297511953967081</v>
      </c>
      <c r="C724" s="4">
        <f>C723 * EXP(Risk_Analysis!E724)</f>
        <v>0.95641724082678725</v>
      </c>
    </row>
    <row r="725" spans="1:3" x14ac:dyDescent="0.25">
      <c r="A725" s="1">
        <f>Risk_Analysis!A725</f>
        <v>45231</v>
      </c>
      <c r="B725" s="4">
        <f>B724 * EXP(Risk_Analysis!D725)</f>
        <v>1.1417997136450806</v>
      </c>
      <c r="C725" s="4">
        <f>C724 * EXP(Risk_Analysis!E725)</f>
        <v>0.9673129306200895</v>
      </c>
    </row>
    <row r="726" spans="1:3" x14ac:dyDescent="0.25">
      <c r="A726" s="1">
        <f>Risk_Analysis!A726</f>
        <v>45232</v>
      </c>
      <c r="B726" s="4">
        <f>B725 * EXP(Risk_Analysis!D726)</f>
        <v>1.1636815517194787</v>
      </c>
      <c r="C726" s="4">
        <f>C725 * EXP(Risk_Analysis!E726)</f>
        <v>0.98541900336484201</v>
      </c>
    </row>
    <row r="727" spans="1:3" x14ac:dyDescent="0.25">
      <c r="A727" s="1">
        <f>Risk_Analysis!A727</f>
        <v>45233</v>
      </c>
      <c r="B727" s="4">
        <f>B726 * EXP(Risk_Analysis!D727)</f>
        <v>1.1742982953777981</v>
      </c>
      <c r="C727" s="4">
        <f>C726 * EXP(Risk_Analysis!E727)</f>
        <v>0.99118730972600211</v>
      </c>
    </row>
    <row r="728" spans="1:3" x14ac:dyDescent="0.25">
      <c r="A728" s="1">
        <f>Risk_Analysis!A728</f>
        <v>45236</v>
      </c>
      <c r="B728" s="4">
        <f>B727 * EXP(Risk_Analysis!D728)</f>
        <v>1.1769997568684645</v>
      </c>
      <c r="C728" s="4">
        <f>C727 * EXP(Risk_Analysis!E728)</f>
        <v>0.98862361800993104</v>
      </c>
    </row>
    <row r="729" spans="1:3" x14ac:dyDescent="0.25">
      <c r="A729" s="1">
        <f>Risk_Analysis!A729</f>
        <v>45237</v>
      </c>
      <c r="B729" s="4">
        <f>B728 * EXP(Risk_Analysis!D729)</f>
        <v>1.180349569116891</v>
      </c>
      <c r="C729" s="4">
        <f>C728 * EXP(Risk_Analysis!E729)</f>
        <v>0.98141323505848088</v>
      </c>
    </row>
    <row r="730" spans="1:3" x14ac:dyDescent="0.25">
      <c r="A730" s="1">
        <f>Risk_Analysis!A730</f>
        <v>45238</v>
      </c>
      <c r="B730" s="4">
        <f>B729 * EXP(Risk_Analysis!D730)</f>
        <v>1.1812140367939041</v>
      </c>
      <c r="C730" s="4">
        <f>C729 * EXP(Risk_Analysis!E730)</f>
        <v>0.97420285210703073</v>
      </c>
    </row>
    <row r="731" spans="1:3" x14ac:dyDescent="0.25">
      <c r="A731" s="1">
        <f>Risk_Analysis!A731</f>
        <v>45239</v>
      </c>
      <c r="B731" s="4">
        <f>B730 * EXP(Risk_Analysis!D731)</f>
        <v>1.1720020531107316</v>
      </c>
      <c r="C731" s="4">
        <f>C730 * EXP(Risk_Analysis!E731)</f>
        <v>0.96138439352667515</v>
      </c>
    </row>
    <row r="732" spans="1:3" x14ac:dyDescent="0.25">
      <c r="A732" s="1">
        <f>Risk_Analysis!A732</f>
        <v>45240</v>
      </c>
      <c r="B732" s="4">
        <f>B731 * EXP(Risk_Analysis!D732)</f>
        <v>1.1902909474025436</v>
      </c>
      <c r="C732" s="4">
        <f>C731 * EXP(Risk_Analysis!E732)</f>
        <v>0.96651177695881751</v>
      </c>
    </row>
    <row r="733" spans="1:3" x14ac:dyDescent="0.25">
      <c r="A733" s="1">
        <f>Risk_Analysis!A733</f>
        <v>45243</v>
      </c>
      <c r="B733" s="4">
        <f>B732 * EXP(Risk_Analysis!D733)</f>
        <v>1.1891563335764637</v>
      </c>
      <c r="C733" s="4">
        <f>C732 * EXP(Risk_Analysis!E733)</f>
        <v>0.95497516423649742</v>
      </c>
    </row>
    <row r="734" spans="1:3" x14ac:dyDescent="0.25">
      <c r="A734" s="1">
        <f>Risk_Analysis!A734</f>
        <v>45244</v>
      </c>
      <c r="B734" s="4">
        <f>B733 * EXP(Risk_Analysis!D734)</f>
        <v>1.2122268147067552</v>
      </c>
      <c r="C734" s="4">
        <f>C733 * EXP(Risk_Analysis!E734)</f>
        <v>0.99311007851305544</v>
      </c>
    </row>
    <row r="735" spans="1:3" x14ac:dyDescent="0.25">
      <c r="A735" s="1">
        <f>Risk_Analysis!A735</f>
        <v>45245</v>
      </c>
      <c r="B735" s="4">
        <f>B734 * EXP(Risk_Analysis!D735)</f>
        <v>1.2147932031228883</v>
      </c>
      <c r="C735" s="4">
        <f>C734 * EXP(Risk_Analysis!E735)</f>
        <v>0.99006569460022098</v>
      </c>
    </row>
    <row r="736" spans="1:3" x14ac:dyDescent="0.25">
      <c r="A736" s="1">
        <f>Risk_Analysis!A736</f>
        <v>45246</v>
      </c>
      <c r="B736" s="4">
        <f>B735 * EXP(Risk_Analysis!D736)</f>
        <v>1.2162790069427547</v>
      </c>
      <c r="C736" s="4">
        <f>C735 * EXP(Risk_Analysis!E736)</f>
        <v>0.99535330876461781</v>
      </c>
    </row>
    <row r="737" spans="1:3" x14ac:dyDescent="0.25">
      <c r="A737" s="1">
        <f>Risk_Analysis!A737</f>
        <v>45247</v>
      </c>
      <c r="B737" s="4">
        <f>B736 * EXP(Risk_Analysis!D737)</f>
        <v>1.2177918253775279</v>
      </c>
      <c r="C737" s="4">
        <f>C736 * EXP(Risk_Analysis!E737)</f>
        <v>0.99807723121294334</v>
      </c>
    </row>
    <row r="738" spans="1:3" x14ac:dyDescent="0.25">
      <c r="A738" s="1">
        <f>Risk_Analysis!A738</f>
        <v>45250</v>
      </c>
      <c r="B738" s="4">
        <f>B737 * EXP(Risk_Analysis!D738)</f>
        <v>1.2271658967501407</v>
      </c>
      <c r="C738" s="4">
        <f>C737 * EXP(Risk_Analysis!E738)</f>
        <v>0.99503284730010899</v>
      </c>
    </row>
    <row r="739" spans="1:3" x14ac:dyDescent="0.25">
      <c r="A739" s="1">
        <f>Risk_Analysis!A739</f>
        <v>45251</v>
      </c>
      <c r="B739" s="4">
        <f>B738 * EXP(Risk_Analysis!D739)</f>
        <v>1.2244914498743809</v>
      </c>
      <c r="C739" s="4">
        <f>C738 * EXP(Risk_Analysis!E739)</f>
        <v>0.99711584681941667</v>
      </c>
    </row>
    <row r="740" spans="1:3" x14ac:dyDescent="0.25">
      <c r="A740" s="1">
        <f>Risk_Analysis!A740</f>
        <v>45252</v>
      </c>
      <c r="B740" s="4">
        <f>B739 * EXP(Risk_Analysis!D740)</f>
        <v>1.2292190074830474</v>
      </c>
      <c r="C740" s="4">
        <f>C739 * EXP(Risk_Analysis!E740)</f>
        <v>1.00192276878705</v>
      </c>
    </row>
    <row r="741" spans="1:3" x14ac:dyDescent="0.25">
      <c r="A741" s="1">
        <f>Risk_Analysis!A741</f>
        <v>45254</v>
      </c>
      <c r="B741" s="4">
        <f>B740 * EXP(Risk_Analysis!D741)</f>
        <v>1.2299754167004342</v>
      </c>
      <c r="C741" s="4">
        <f>C740 * EXP(Risk_Analysis!E741)</f>
        <v>1.0044864605031212</v>
      </c>
    </row>
    <row r="742" spans="1:3" x14ac:dyDescent="0.25">
      <c r="A742" s="1">
        <f>Risk_Analysis!A742</f>
        <v>45257</v>
      </c>
      <c r="B742" s="4">
        <f>B741 * EXP(Risk_Analysis!D742)</f>
        <v>1.2277602182780878</v>
      </c>
      <c r="C742" s="4">
        <f>C741 * EXP(Risk_Analysis!E742)</f>
        <v>1.0060887678256656</v>
      </c>
    </row>
    <row r="743" spans="1:3" x14ac:dyDescent="0.25">
      <c r="A743" s="1">
        <f>Risk_Analysis!A743</f>
        <v>45258</v>
      </c>
      <c r="B743" s="4">
        <f>B742 * EXP(Risk_Analysis!D743)</f>
        <v>1.2289758759488878</v>
      </c>
      <c r="C743" s="4">
        <f>C742 * EXP(Risk_Analysis!E743)</f>
        <v>1.0092933824707546</v>
      </c>
    </row>
    <row r="744" spans="1:3" x14ac:dyDescent="0.25">
      <c r="A744" s="1">
        <f>Risk_Analysis!A744</f>
        <v>45259</v>
      </c>
      <c r="B744" s="4">
        <f>B743 * EXP(Risk_Analysis!D744)</f>
        <v>1.2281114082718747</v>
      </c>
      <c r="C744" s="4">
        <f>C743 * EXP(Risk_Analysis!E744)</f>
        <v>1.0012818458580324</v>
      </c>
    </row>
    <row r="745" spans="1:3" x14ac:dyDescent="0.25">
      <c r="A745" s="1">
        <f>Risk_Analysis!A745</f>
        <v>45260</v>
      </c>
      <c r="B745" s="4">
        <f>B744 * EXP(Risk_Analysis!D745)</f>
        <v>1.2329470243401677</v>
      </c>
      <c r="C745" s="4">
        <f>C744 * EXP(Risk_Analysis!E745)</f>
        <v>1.0056080756289023</v>
      </c>
    </row>
    <row r="746" spans="1:3" x14ac:dyDescent="0.25">
      <c r="A746" s="1">
        <f>Risk_Analysis!A746</f>
        <v>45261</v>
      </c>
      <c r="B746" s="4">
        <f>B745 * EXP(Risk_Analysis!D746)</f>
        <v>1.2402409703649673</v>
      </c>
      <c r="C746" s="4">
        <f>C745 * EXP(Risk_Analysis!E746)</f>
        <v>1.0179458420124947</v>
      </c>
    </row>
    <row r="747" spans="1:3" x14ac:dyDescent="0.25">
      <c r="A747" s="1">
        <f>Risk_Analysis!A747</f>
        <v>45264</v>
      </c>
      <c r="B747" s="4">
        <f>B746 * EXP(Risk_Analysis!D747)</f>
        <v>1.2337304481724611</v>
      </c>
      <c r="C747" s="4">
        <f>C746 * EXP(Risk_Analysis!E747)</f>
        <v>1.0139400737061337</v>
      </c>
    </row>
    <row r="748" spans="1:3" x14ac:dyDescent="0.25">
      <c r="A748" s="1">
        <f>Risk_Analysis!A748</f>
        <v>45265</v>
      </c>
      <c r="B748" s="4">
        <f>B747 * EXP(Risk_Analysis!D748)</f>
        <v>1.2334873166383011</v>
      </c>
      <c r="C748" s="4">
        <f>C747 * EXP(Risk_Analysis!E748)</f>
        <v>1.0067296907546837</v>
      </c>
    </row>
    <row r="749" spans="1:3" x14ac:dyDescent="0.25">
      <c r="A749" s="1">
        <f>Risk_Analysis!A749</f>
        <v>45266</v>
      </c>
      <c r="B749" s="4">
        <f>B748 * EXP(Risk_Analysis!D749)</f>
        <v>1.2285166274954749</v>
      </c>
      <c r="C749" s="4">
        <f>C748 * EXP(Risk_Analysis!E749)</f>
        <v>1.0201890722640572</v>
      </c>
    </row>
    <row r="750" spans="1:3" x14ac:dyDescent="0.25">
      <c r="A750" s="1">
        <f>Risk_Analysis!A750</f>
        <v>45267</v>
      </c>
      <c r="B750" s="4">
        <f>B749 * EXP(Risk_Analysis!D750)</f>
        <v>1.2378906988680876</v>
      </c>
      <c r="C750" s="4">
        <f>C749 * EXP(Risk_Analysis!E750)</f>
        <v>1.0179458420124949</v>
      </c>
    </row>
    <row r="751" spans="1:3" x14ac:dyDescent="0.25">
      <c r="A751" s="1">
        <f>Risk_Analysis!A751</f>
        <v>45268</v>
      </c>
      <c r="B751" s="4">
        <f>B750 * EXP(Risk_Analysis!D751)</f>
        <v>1.2432125780047003</v>
      </c>
      <c r="C751" s="4">
        <f>C750 * EXP(Risk_Analysis!E751)</f>
        <v>1.0160230732254414</v>
      </c>
    </row>
    <row r="752" spans="1:3" x14ac:dyDescent="0.25">
      <c r="A752" s="1">
        <f>Risk_Analysis!A752</f>
        <v>45271</v>
      </c>
      <c r="B752" s="4">
        <f>B751 * EXP(Risk_Analysis!D752)</f>
        <v>1.2480481940729933</v>
      </c>
      <c r="C752" s="4">
        <f>C751 * EXP(Risk_Analysis!E752)</f>
        <v>1.0225925332478736</v>
      </c>
    </row>
    <row r="753" spans="1:3" x14ac:dyDescent="0.25">
      <c r="A753" s="1">
        <f>Risk_Analysis!A753</f>
        <v>45272</v>
      </c>
      <c r="B753" s="4">
        <f>B752 * EXP(Risk_Analysis!D753)</f>
        <v>1.2537482778182996</v>
      </c>
      <c r="C753" s="4">
        <f>C752 * EXP(Risk_Analysis!E753)</f>
        <v>1.018426534209258</v>
      </c>
    </row>
    <row r="754" spans="1:3" x14ac:dyDescent="0.25">
      <c r="A754" s="1">
        <f>Risk_Analysis!A754</f>
        <v>45273</v>
      </c>
      <c r="B754" s="4">
        <f>B753 * EXP(Risk_Analysis!D754)</f>
        <v>1.2710376313585647</v>
      </c>
      <c r="C754" s="4">
        <f>C753 * EXP(Risk_Analysis!E754)</f>
        <v>1.0568819099503248</v>
      </c>
    </row>
    <row r="755" spans="1:3" x14ac:dyDescent="0.25">
      <c r="A755" s="1">
        <f>Risk_Analysis!A755</f>
        <v>45274</v>
      </c>
      <c r="B755" s="4">
        <f>B754 * EXP(Risk_Analysis!D755)</f>
        <v>1.2751168382094711</v>
      </c>
      <c r="C755" s="4">
        <f>C754 * EXP(Risk_Analysis!E755)</f>
        <v>1.0431020669764426</v>
      </c>
    </row>
    <row r="756" spans="1:3" x14ac:dyDescent="0.25">
      <c r="A756" s="1">
        <f>Risk_Analysis!A756</f>
        <v>45275</v>
      </c>
      <c r="B756" s="4">
        <f>B755 * EXP(Risk_Analysis!D756)</f>
        <v>1.2678769214144849</v>
      </c>
      <c r="C756" s="4">
        <f>C755 * EXP(Risk_Analysis!E756)</f>
        <v>1.0249959942316904</v>
      </c>
    </row>
    <row r="757" spans="1:3" x14ac:dyDescent="0.25">
      <c r="A757" s="1">
        <f>Risk_Analysis!A757</f>
        <v>45278</v>
      </c>
      <c r="B757" s="4">
        <f>B756 * EXP(Risk_Analysis!D757)</f>
        <v>1.2750087797498446</v>
      </c>
      <c r="C757" s="4">
        <f>C756 * EXP(Risk_Analysis!E757)</f>
        <v>1.0131389200448613</v>
      </c>
    </row>
    <row r="758" spans="1:3" x14ac:dyDescent="0.25">
      <c r="A758" s="1">
        <f>Risk_Analysis!A758</f>
        <v>45279</v>
      </c>
      <c r="B758" s="4">
        <f>B757 * EXP(Risk_Analysis!D758)</f>
        <v>1.2827619742280574</v>
      </c>
      <c r="C758" s="4">
        <f>C757 * EXP(Risk_Analysis!E758)</f>
        <v>1.0189072264060215</v>
      </c>
    </row>
    <row r="759" spans="1:3" x14ac:dyDescent="0.25">
      <c r="A759" s="1">
        <f>Risk_Analysis!A759</f>
        <v>45280</v>
      </c>
      <c r="B759" s="4">
        <f>B758 * EXP(Risk_Analysis!D759)</f>
        <v>1.2649863576194722</v>
      </c>
      <c r="C759" s="4">
        <f>C758 * EXP(Risk_Analysis!E759)</f>
        <v>0.99823746194519791</v>
      </c>
    </row>
    <row r="760" spans="1:3" x14ac:dyDescent="0.25">
      <c r="A760" s="1">
        <f>Risk_Analysis!A760</f>
        <v>45281</v>
      </c>
      <c r="B760" s="4">
        <f>B759 * EXP(Risk_Analysis!D760)</f>
        <v>1.2769808466380312</v>
      </c>
      <c r="C760" s="4">
        <f>C759 * EXP(Risk_Analysis!E760)</f>
        <v>0.99999999999999678</v>
      </c>
    </row>
    <row r="761" spans="1:3" x14ac:dyDescent="0.25">
      <c r="A761" s="1">
        <f>Risk_Analysis!A761</f>
        <v>45282</v>
      </c>
      <c r="B761" s="4">
        <f>B760 * EXP(Risk_Analysis!D761)</f>
        <v>1.2795472350541643</v>
      </c>
      <c r="C761" s="4">
        <f>C760 * EXP(Risk_Analysis!E761)</f>
        <v>1.0033648453773401</v>
      </c>
    </row>
    <row r="762" spans="1:3" x14ac:dyDescent="0.25">
      <c r="A762" s="1">
        <f>Risk_Analysis!A762</f>
        <v>45286</v>
      </c>
      <c r="B762" s="4">
        <f>B761 * EXP(Risk_Analysis!D762)</f>
        <v>1.2849501580354972</v>
      </c>
      <c r="C762" s="4">
        <f>C761 * EXP(Risk_Analysis!E762)</f>
        <v>1.0094536132030092</v>
      </c>
    </row>
    <row r="763" spans="1:3" x14ac:dyDescent="0.25">
      <c r="A763" s="1">
        <f>Risk_Analysis!A763</f>
        <v>45287</v>
      </c>
      <c r="B763" s="4">
        <f>B762 * EXP(Risk_Analysis!D763)</f>
        <v>1.2872734149174703</v>
      </c>
      <c r="C763" s="4">
        <f>C762 * EXP(Risk_Analysis!E763)</f>
        <v>1.0088126902739913</v>
      </c>
    </row>
    <row r="764" spans="1:3" x14ac:dyDescent="0.25">
      <c r="A764" s="1">
        <f>Risk_Analysis!A764</f>
        <v>45288</v>
      </c>
      <c r="B764" s="4">
        <f>B763 * EXP(Risk_Analysis!D764)</f>
        <v>1.2877596779857901</v>
      </c>
      <c r="C764" s="4">
        <f>C763 * EXP(Risk_Analysis!E764)</f>
        <v>1.0160230732254414</v>
      </c>
    </row>
    <row r="765" spans="1:3" x14ac:dyDescent="0.25">
      <c r="A765" s="1">
        <f>Risk_Analysis!A765</f>
        <v>45289</v>
      </c>
      <c r="B765" s="4">
        <f>B764 * EXP(Risk_Analysis!D765)</f>
        <v>1.2840316611286704</v>
      </c>
      <c r="C765" s="4">
        <f>C764 * EXP(Risk_Analysis!E765)</f>
        <v>1.0147412273674059</v>
      </c>
    </row>
    <row r="766" spans="1:3" x14ac:dyDescent="0.25">
      <c r="A766" s="1">
        <f>Risk_Analysis!A766</f>
        <v>45293</v>
      </c>
      <c r="B766" s="4">
        <f>B765 * EXP(Risk_Analysis!D766)</f>
        <v>1.2768457735634977</v>
      </c>
      <c r="C766" s="4">
        <f>C765 * EXP(Risk_Analysis!E766)</f>
        <v>1.0294824547348149</v>
      </c>
    </row>
    <row r="767" spans="1:3" x14ac:dyDescent="0.25">
      <c r="A767" s="1">
        <f>Risk_Analysis!A767</f>
        <v>45294</v>
      </c>
      <c r="B767" s="4">
        <f>B766 * EXP(Risk_Analysis!D767)</f>
        <v>1.2664181322095254</v>
      </c>
      <c r="C767" s="4">
        <f>C766 * EXP(Risk_Analysis!E767)</f>
        <v>1.0333279923089216</v>
      </c>
    </row>
    <row r="768" spans="1:3" x14ac:dyDescent="0.25">
      <c r="A768" s="1">
        <f>Risk_Analysis!A768</f>
        <v>45295</v>
      </c>
      <c r="B768" s="4">
        <f>B767 * EXP(Risk_Analysis!D768)</f>
        <v>1.2623389253586188</v>
      </c>
      <c r="C768" s="4">
        <f>C767 * EXP(Risk_Analysis!E768)</f>
        <v>1.0301233776638328</v>
      </c>
    </row>
    <row r="769" spans="1:3" x14ac:dyDescent="0.25">
      <c r="A769" s="1">
        <f>Risk_Analysis!A769</f>
        <v>45296</v>
      </c>
      <c r="B769" s="4">
        <f>B768 * EXP(Risk_Analysis!D769)</f>
        <v>1.2640678607126454</v>
      </c>
      <c r="C769" s="4">
        <f>C768 * EXP(Risk_Analysis!E769)</f>
        <v>1.0339689152379394</v>
      </c>
    </row>
    <row r="770" spans="1:3" x14ac:dyDescent="0.25">
      <c r="A770" s="1">
        <f>Risk_Analysis!A770</f>
        <v>45299</v>
      </c>
      <c r="B770" s="4">
        <f>B769 * EXP(Risk_Analysis!D770)</f>
        <v>1.2821136234702972</v>
      </c>
      <c r="C770" s="4">
        <f>C769 * EXP(Risk_Analysis!E770)</f>
        <v>1.0414997596538984</v>
      </c>
    </row>
    <row r="771" spans="1:3" x14ac:dyDescent="0.25">
      <c r="A771" s="1">
        <f>Risk_Analysis!A771</f>
        <v>45300</v>
      </c>
      <c r="B771" s="4">
        <f>B770 * EXP(Risk_Analysis!D771)</f>
        <v>1.2801685711970172</v>
      </c>
      <c r="C771" s="4">
        <f>C770 * EXP(Risk_Analysis!E771)</f>
        <v>1.0330075308444127</v>
      </c>
    </row>
    <row r="772" spans="1:3" x14ac:dyDescent="0.25">
      <c r="A772" s="1">
        <f>Risk_Analysis!A772</f>
        <v>45301</v>
      </c>
      <c r="B772" s="4">
        <f>B771 * EXP(Risk_Analysis!D772)</f>
        <v>1.2874084879920034</v>
      </c>
      <c r="C772" s="4">
        <f>C771 * EXP(Risk_Analysis!E772)</f>
        <v>1.0328473001121581</v>
      </c>
    </row>
    <row r="773" spans="1:3" x14ac:dyDescent="0.25">
      <c r="A773" s="1">
        <f>Risk_Analysis!A773</f>
        <v>45302</v>
      </c>
      <c r="B773" s="4">
        <f>B772 * EXP(Risk_Analysis!D773)</f>
        <v>1.2868411810789635</v>
      </c>
      <c r="C773" s="4">
        <f>C772 * EXP(Risk_Analysis!E773)</f>
        <v>1.0088126902739913</v>
      </c>
    </row>
    <row r="774" spans="1:3" x14ac:dyDescent="0.25">
      <c r="A774" s="1">
        <f>Risk_Analysis!A774</f>
        <v>45303</v>
      </c>
      <c r="B774" s="4">
        <f>B773 * EXP(Risk_Analysis!D774)</f>
        <v>1.2877326633708832</v>
      </c>
      <c r="C774" s="4">
        <f>C773 * EXP(Risk_Analysis!E774)</f>
        <v>1.0145809966351516</v>
      </c>
    </row>
    <row r="775" spans="1:3" x14ac:dyDescent="0.25">
      <c r="A775" s="1">
        <f>Risk_Analysis!A775</f>
        <v>45307</v>
      </c>
      <c r="B775" s="4">
        <f>B774 * EXP(Risk_Analysis!D775)</f>
        <v>1.2830051057622169</v>
      </c>
      <c r="C775" s="4">
        <f>C774 * EXP(Risk_Analysis!E775)</f>
        <v>1.0035250761095948</v>
      </c>
    </row>
    <row r="776" spans="1:3" x14ac:dyDescent="0.25">
      <c r="A776" s="1">
        <f>Risk_Analysis!A776</f>
        <v>45308</v>
      </c>
      <c r="B776" s="4">
        <f>B775 * EXP(Risk_Analysis!D776)</f>
        <v>1.2758732474268575</v>
      </c>
      <c r="C776" s="4">
        <f>C775 * EXP(Risk_Analysis!E776)</f>
        <v>0.98894407947444019</v>
      </c>
    </row>
    <row r="777" spans="1:3" x14ac:dyDescent="0.25">
      <c r="A777" s="1">
        <f>Risk_Analysis!A777</f>
        <v>45309</v>
      </c>
      <c r="B777" s="4">
        <f>B776 * EXP(Risk_Analysis!D777)</f>
        <v>1.2872193856876564</v>
      </c>
      <c r="C777" s="4">
        <f>C776 * EXP(Risk_Analysis!E777)</f>
        <v>0.97836885114564676</v>
      </c>
    </row>
    <row r="778" spans="1:3" x14ac:dyDescent="0.25">
      <c r="A778" s="1">
        <f>Risk_Analysis!A778</f>
        <v>45310</v>
      </c>
      <c r="B778" s="4">
        <f>B777 * EXP(Risk_Analysis!D778)</f>
        <v>1.3032660669422149</v>
      </c>
      <c r="C778" s="4">
        <f>C777 * EXP(Risk_Analysis!E778)</f>
        <v>0.97708700528761105</v>
      </c>
    </row>
    <row r="779" spans="1:3" x14ac:dyDescent="0.25">
      <c r="A779" s="1">
        <f>Risk_Analysis!A779</f>
        <v>45313</v>
      </c>
      <c r="B779" s="4">
        <f>B778 * EXP(Risk_Analysis!D779)</f>
        <v>1.3060215576626946</v>
      </c>
      <c r="C779" s="4">
        <f>C778 * EXP(Risk_Analysis!E779)</f>
        <v>0.97211985258772338</v>
      </c>
    </row>
    <row r="780" spans="1:3" x14ac:dyDescent="0.25">
      <c r="A780" s="1">
        <f>Risk_Analysis!A780</f>
        <v>45314</v>
      </c>
      <c r="B780" s="4">
        <f>B779 * EXP(Risk_Analysis!D780)</f>
        <v>1.3098306183645345</v>
      </c>
      <c r="C780" s="4">
        <f>C779 * EXP(Risk_Analysis!E780)</f>
        <v>0.97388239064252224</v>
      </c>
    </row>
    <row r="781" spans="1:3" x14ac:dyDescent="0.25">
      <c r="A781" s="1">
        <f>Risk_Analysis!A781</f>
        <v>45315</v>
      </c>
      <c r="B781" s="4">
        <f>B780 * EXP(Risk_Analysis!D781)</f>
        <v>1.3112623929545877</v>
      </c>
      <c r="C781" s="4">
        <f>C780 * EXP(Risk_Analysis!E781)</f>
        <v>0.96058323986540317</v>
      </c>
    </row>
    <row r="782" spans="1:3" x14ac:dyDescent="0.25">
      <c r="A782" s="1">
        <f>Risk_Analysis!A782</f>
        <v>45316</v>
      </c>
      <c r="B782" s="4">
        <f>B781 * EXP(Risk_Analysis!D782)</f>
        <v>1.3183942512899471</v>
      </c>
      <c r="C782" s="4">
        <f>C781 * EXP(Risk_Analysis!E782)</f>
        <v>0.97788815894888326</v>
      </c>
    </row>
    <row r="783" spans="1:3" x14ac:dyDescent="0.25">
      <c r="A783" s="1">
        <f>Risk_Analysis!A783</f>
        <v>45317</v>
      </c>
      <c r="B783" s="4">
        <f>B782 * EXP(Risk_Analysis!D783)</f>
        <v>1.3167193451657342</v>
      </c>
      <c r="C783" s="4">
        <f>C782 * EXP(Risk_Analysis!E783)</f>
        <v>0.98077231212946336</v>
      </c>
    </row>
    <row r="784" spans="1:3" x14ac:dyDescent="0.25">
      <c r="A784" s="1">
        <f>Risk_Analysis!A784</f>
        <v>45320</v>
      </c>
      <c r="B784" s="4">
        <f>B783 * EXP(Risk_Analysis!D784)</f>
        <v>1.3271469865197065</v>
      </c>
      <c r="C784" s="4">
        <f>C783 * EXP(Risk_Analysis!E784)</f>
        <v>0.98702131068738685</v>
      </c>
    </row>
    <row r="785" spans="1:3" x14ac:dyDescent="0.25">
      <c r="A785" s="1">
        <f>Risk_Analysis!A785</f>
        <v>45321</v>
      </c>
      <c r="B785" s="4">
        <f>B784 * EXP(Risk_Analysis!D785)</f>
        <v>1.3261204311532533</v>
      </c>
      <c r="C785" s="4">
        <f>C784 * EXP(Risk_Analysis!E785)</f>
        <v>0.98670084922287793</v>
      </c>
    </row>
    <row r="786" spans="1:3" x14ac:dyDescent="0.25">
      <c r="A786" s="1">
        <f>Risk_Analysis!A786</f>
        <v>45322</v>
      </c>
      <c r="B786" s="4">
        <f>B785 * EXP(Risk_Analysis!D786)</f>
        <v>1.3044817246130151</v>
      </c>
      <c r="C786" s="4">
        <f>C785 * EXP(Risk_Analysis!E786)</f>
        <v>0.98461784970357025</v>
      </c>
    </row>
    <row r="787" spans="1:3" x14ac:dyDescent="0.25">
      <c r="A787" s="1">
        <f>Risk_Analysis!A787</f>
        <v>45323</v>
      </c>
      <c r="B787" s="4">
        <f>B786 * EXP(Risk_Analysis!D787)</f>
        <v>1.3215549612340269</v>
      </c>
      <c r="C787" s="4">
        <f>C786 * EXP(Risk_Analysis!E787)</f>
        <v>1.0033648453773405</v>
      </c>
    </row>
    <row r="788" spans="1:3" x14ac:dyDescent="0.25">
      <c r="A788" s="1">
        <f>Risk_Analysis!A788</f>
        <v>45324</v>
      </c>
      <c r="B788" s="4">
        <f>B787 * EXP(Risk_Analysis!D788)</f>
        <v>1.3354674879109594</v>
      </c>
      <c r="C788" s="4">
        <f>C787 * EXP(Risk_Analysis!E788)</f>
        <v>0.98525877263258821</v>
      </c>
    </row>
    <row r="789" spans="1:3" x14ac:dyDescent="0.25">
      <c r="A789" s="1">
        <f>Risk_Analysis!A789</f>
        <v>45327</v>
      </c>
      <c r="B789" s="4">
        <f>B788 * EXP(Risk_Analysis!D789)</f>
        <v>1.3306048572277598</v>
      </c>
      <c r="C789" s="4">
        <f>C788 * EXP(Risk_Analysis!E789)</f>
        <v>0.96474923890401909</v>
      </c>
    </row>
    <row r="790" spans="1:3" x14ac:dyDescent="0.25">
      <c r="A790" s="1">
        <f>Risk_Analysis!A790</f>
        <v>45328</v>
      </c>
      <c r="B790" s="4">
        <f>B789 * EXP(Risk_Analysis!D790)</f>
        <v>1.334467947159413</v>
      </c>
      <c r="C790" s="4">
        <f>C789 * EXP(Risk_Analysis!E790)</f>
        <v>0.96827431501361683</v>
      </c>
    </row>
    <row r="791" spans="1:3" x14ac:dyDescent="0.25">
      <c r="A791" s="1">
        <f>Risk_Analysis!A791</f>
        <v>45329</v>
      </c>
      <c r="B791" s="4">
        <f>B790 * EXP(Risk_Analysis!D791)</f>
        <v>1.3455979685009587</v>
      </c>
      <c r="C791" s="4">
        <f>C790 * EXP(Risk_Analysis!E791)</f>
        <v>0.96891523794263468</v>
      </c>
    </row>
    <row r="792" spans="1:3" x14ac:dyDescent="0.25">
      <c r="A792" s="1">
        <f>Risk_Analysis!A792</f>
        <v>45330</v>
      </c>
      <c r="B792" s="4">
        <f>B791 * EXP(Risk_Analysis!D792)</f>
        <v>1.3461922900289054</v>
      </c>
      <c r="C792" s="4">
        <f>C791 * EXP(Risk_Analysis!E792)</f>
        <v>0.96202531645569356</v>
      </c>
    </row>
    <row r="793" spans="1:3" x14ac:dyDescent="0.25">
      <c r="A793" s="1">
        <f>Risk_Analysis!A793</f>
        <v>45331</v>
      </c>
      <c r="B793" s="4">
        <f>B792 * EXP(Risk_Analysis!D793)</f>
        <v>1.3539724991220248</v>
      </c>
      <c r="C793" s="4">
        <f>C792 * EXP(Risk_Analysis!E793)</f>
        <v>0.96571062329754587</v>
      </c>
    </row>
    <row r="794" spans="1:3" x14ac:dyDescent="0.25">
      <c r="A794" s="1">
        <f>Risk_Analysis!A794</f>
        <v>45334</v>
      </c>
      <c r="B794" s="4">
        <f>B793 * EXP(Risk_Analysis!D794)</f>
        <v>1.3533781775940781</v>
      </c>
      <c r="C794" s="4">
        <f>C793 * EXP(Risk_Analysis!E794)</f>
        <v>0.97692677455535704</v>
      </c>
    </row>
    <row r="795" spans="1:3" x14ac:dyDescent="0.25">
      <c r="A795" s="1">
        <f>Risk_Analysis!A795</f>
        <v>45335</v>
      </c>
      <c r="B795" s="4">
        <f>B794 * EXP(Risk_Analysis!D795)</f>
        <v>1.3347380933084796</v>
      </c>
      <c r="C795" s="4">
        <f>C794 * EXP(Risk_Analysis!E795)</f>
        <v>0.96074347059765808</v>
      </c>
    </row>
    <row r="796" spans="1:3" x14ac:dyDescent="0.25">
      <c r="A796" s="1">
        <f>Risk_Analysis!A796</f>
        <v>45336</v>
      </c>
      <c r="B796" s="4">
        <f>B795 * EXP(Risk_Analysis!D796)</f>
        <v>1.3468676554015719</v>
      </c>
      <c r="C796" s="4">
        <f>C795 * EXP(Risk_Analysis!E796)</f>
        <v>0.96603108476205468</v>
      </c>
    </row>
    <row r="797" spans="1:3" x14ac:dyDescent="0.25">
      <c r="A797" s="1">
        <f>Risk_Analysis!A797</f>
        <v>45337</v>
      </c>
      <c r="B797" s="4">
        <f>B796 * EXP(Risk_Analysis!D797)</f>
        <v>1.3561606829294646</v>
      </c>
      <c r="C797" s="4">
        <f>C796 * EXP(Risk_Analysis!E797)</f>
        <v>0.98221438871975375</v>
      </c>
    </row>
    <row r="798" spans="1:3" x14ac:dyDescent="0.25">
      <c r="A798" s="1">
        <f>Risk_Analysis!A798</f>
        <v>45338</v>
      </c>
      <c r="B798" s="4">
        <f>B797 * EXP(Risk_Analysis!D798)</f>
        <v>1.3494070292027984</v>
      </c>
      <c r="C798" s="4">
        <f>C797 * EXP(Risk_Analysis!E798)</f>
        <v>0.98109277359397262</v>
      </c>
    </row>
    <row r="799" spans="1:3" x14ac:dyDescent="0.25">
      <c r="A799" s="1">
        <f>Risk_Analysis!A799</f>
        <v>45342</v>
      </c>
      <c r="B799" s="4">
        <f>B798 * EXP(Risk_Analysis!D799)</f>
        <v>1.3419780101034657</v>
      </c>
      <c r="C799" s="4">
        <f>C798 * EXP(Risk_Analysis!E799)</f>
        <v>0.98045185066495488</v>
      </c>
    </row>
    <row r="800" spans="1:3" x14ac:dyDescent="0.25">
      <c r="A800" s="1">
        <f>Risk_Analysis!A800</f>
        <v>45343</v>
      </c>
      <c r="B800" s="4">
        <f>B799 * EXP(Risk_Analysis!D800)</f>
        <v>1.3431936677742657</v>
      </c>
      <c r="C800" s="4">
        <f>C799 * EXP(Risk_Analysis!E800)</f>
        <v>0.99343053997756514</v>
      </c>
    </row>
    <row r="801" spans="1:3" x14ac:dyDescent="0.25">
      <c r="A801" s="1">
        <f>Risk_Analysis!A801</f>
        <v>45344</v>
      </c>
      <c r="B801" s="4">
        <f>B800 * EXP(Risk_Analysis!D801)</f>
        <v>1.3709917065132236</v>
      </c>
      <c r="C801" s="4">
        <f>C800 * EXP(Risk_Analysis!E801)</f>
        <v>0.98573946482935182</v>
      </c>
    </row>
    <row r="802" spans="1:3" x14ac:dyDescent="0.25">
      <c r="A802" s="1">
        <f>Risk_Analysis!A802</f>
        <v>45345</v>
      </c>
      <c r="B802" s="4">
        <f>B801 * EXP(Risk_Analysis!D802)</f>
        <v>1.3719372180349569</v>
      </c>
      <c r="C802" s="4">
        <f>C801 * EXP(Risk_Analysis!E802)</f>
        <v>0.99278961704854751</v>
      </c>
    </row>
    <row r="803" spans="1:3" x14ac:dyDescent="0.25">
      <c r="A803" s="1">
        <f>Risk_Analysis!A803</f>
        <v>45348</v>
      </c>
      <c r="B803" s="4">
        <f>B802 * EXP(Risk_Analysis!D803)</f>
        <v>1.3669124996623172</v>
      </c>
      <c r="C803" s="4">
        <f>C802 * EXP(Risk_Analysis!E803)</f>
        <v>0.97324146771350506</v>
      </c>
    </row>
    <row r="804" spans="1:3" x14ac:dyDescent="0.25">
      <c r="A804" s="1">
        <f>Risk_Analysis!A804</f>
        <v>45349</v>
      </c>
      <c r="B804" s="4">
        <f>B803 * EXP(Risk_Analysis!D804)</f>
        <v>1.3694518734635435</v>
      </c>
      <c r="C804" s="4">
        <f>C803 * EXP(Risk_Analysis!E804)</f>
        <v>0.99166800192276627</v>
      </c>
    </row>
    <row r="805" spans="1:3" x14ac:dyDescent="0.25">
      <c r="A805" s="1">
        <f>Risk_Analysis!A805</f>
        <v>45350</v>
      </c>
      <c r="B805" s="4">
        <f>B804 * EXP(Risk_Analysis!D805)</f>
        <v>1.367641894264797</v>
      </c>
      <c r="C805" s="4">
        <f>C804 * EXP(Risk_Analysis!E805)</f>
        <v>0.99471238583560062</v>
      </c>
    </row>
    <row r="806" spans="1:3" x14ac:dyDescent="0.25">
      <c r="A806" s="1">
        <f>Risk_Analysis!A806</f>
        <v>45351</v>
      </c>
      <c r="B806" s="4">
        <f>B805 * EXP(Risk_Analysis!D806)</f>
        <v>1.3725585541778098</v>
      </c>
      <c r="C806" s="4">
        <f>C805 * EXP(Risk_Analysis!E806)</f>
        <v>0.99503284730010966</v>
      </c>
    </row>
    <row r="807" spans="1:3" x14ac:dyDescent="0.25">
      <c r="A807" s="1">
        <f>Risk_Analysis!A807</f>
        <v>45352</v>
      </c>
      <c r="B807" s="4">
        <f>B806 * EXP(Risk_Analysis!D807)</f>
        <v>1.385444525488289</v>
      </c>
      <c r="C807" s="4">
        <f>C806 * EXP(Risk_Analysis!E807)</f>
        <v>0.98894407947444063</v>
      </c>
    </row>
    <row r="808" spans="1:3" x14ac:dyDescent="0.25">
      <c r="A808" s="1">
        <f>Risk_Analysis!A808</f>
        <v>45355</v>
      </c>
      <c r="B808" s="4">
        <f>B807 * EXP(Risk_Analysis!D808)</f>
        <v>1.3839587216684224</v>
      </c>
      <c r="C808" s="4">
        <f>C807 * EXP(Risk_Analysis!E808)</f>
        <v>1.005608075628903</v>
      </c>
    </row>
    <row r="809" spans="1:3" x14ac:dyDescent="0.25">
      <c r="A809" s="1">
        <f>Risk_Analysis!A809</f>
        <v>45356</v>
      </c>
      <c r="B809" s="4">
        <f>B808 * EXP(Risk_Analysis!D809)</f>
        <v>1.3701272388362102</v>
      </c>
      <c r="C809" s="4">
        <f>C808 * EXP(Risk_Analysis!E809)</f>
        <v>1.0027239224483229</v>
      </c>
    </row>
    <row r="810" spans="1:3" x14ac:dyDescent="0.25">
      <c r="A810" s="1">
        <f>Risk_Analysis!A810</f>
        <v>45357</v>
      </c>
      <c r="B810" s="4">
        <f>B809 * EXP(Risk_Analysis!D810)</f>
        <v>1.3770699948672229</v>
      </c>
      <c r="C810" s="4">
        <f>C809 * EXP(Risk_Analysis!E810)</f>
        <v>1.0123377663835895</v>
      </c>
    </row>
    <row r="811" spans="1:3" x14ac:dyDescent="0.25">
      <c r="A811" s="1">
        <f>Risk_Analysis!A811</f>
        <v>45358</v>
      </c>
      <c r="B811" s="4">
        <f>B810 * EXP(Risk_Analysis!D811)</f>
        <v>1.3907393900099951</v>
      </c>
      <c r="C811" s="4">
        <f>C810 * EXP(Risk_Analysis!E811)</f>
        <v>1.0189072264060219</v>
      </c>
    </row>
    <row r="812" spans="1:3" x14ac:dyDescent="0.25">
      <c r="A812" s="1">
        <f>Risk_Analysis!A812</f>
        <v>45359</v>
      </c>
      <c r="B812" s="4">
        <f>B811 * EXP(Risk_Analysis!D812)</f>
        <v>1.3823918740038361</v>
      </c>
      <c r="C812" s="4">
        <f>C811 * EXP(Risk_Analysis!E812)</f>
        <v>1.0214709181220931</v>
      </c>
    </row>
    <row r="813" spans="1:3" x14ac:dyDescent="0.25">
      <c r="A813" s="1">
        <f>Risk_Analysis!A813</f>
        <v>45362</v>
      </c>
      <c r="B813" s="4">
        <f>B812 * EXP(Risk_Analysis!D813)</f>
        <v>1.3812032309479427</v>
      </c>
      <c r="C813" s="4">
        <f>C812 * EXP(Risk_Analysis!E813)</f>
        <v>1.0265983015542353</v>
      </c>
    </row>
    <row r="814" spans="1:3" x14ac:dyDescent="0.25">
      <c r="A814" s="1">
        <f>Risk_Analysis!A814</f>
        <v>45363</v>
      </c>
      <c r="B814" s="4">
        <f>B813 * EXP(Risk_Analysis!D814)</f>
        <v>1.3960612691466081</v>
      </c>
      <c r="C814" s="4">
        <f>C813 * EXP(Risk_Analysis!E814)</f>
        <v>1.0166639961544597</v>
      </c>
    </row>
    <row r="815" spans="1:3" x14ac:dyDescent="0.25">
      <c r="A815" s="1">
        <f>Risk_Analysis!A815</f>
        <v>45364</v>
      </c>
      <c r="B815" s="4">
        <f>B814 * EXP(Risk_Analysis!D815)</f>
        <v>1.3938730853391685</v>
      </c>
      <c r="C815" s="4">
        <f>C814 * EXP(Risk_Analysis!E815)</f>
        <v>1.0235539176414008</v>
      </c>
    </row>
    <row r="816" spans="1:3" x14ac:dyDescent="0.25">
      <c r="A816" s="1">
        <f>Risk_Analysis!A816</f>
        <v>45365</v>
      </c>
      <c r="B816" s="4">
        <f>B815 * EXP(Risk_Analysis!D816)</f>
        <v>1.3911175946186889</v>
      </c>
      <c r="C816" s="4">
        <f>C815 * EXP(Risk_Analysis!E816)</f>
        <v>1.015382150296424</v>
      </c>
    </row>
    <row r="817" spans="1:3" x14ac:dyDescent="0.25">
      <c r="A817" s="1">
        <f>Risk_Analysis!A817</f>
        <v>45366</v>
      </c>
      <c r="B817" s="4">
        <f>B816 * EXP(Risk_Analysis!D817)</f>
        <v>1.3772861117864765</v>
      </c>
      <c r="C817" s="4">
        <f>C816 * EXP(Risk_Analysis!E817)</f>
        <v>1.016824226886714</v>
      </c>
    </row>
    <row r="818" spans="1:3" x14ac:dyDescent="0.25">
      <c r="A818" s="1">
        <f>Risk_Analysis!A818</f>
        <v>45369</v>
      </c>
      <c r="B818" s="4">
        <f>B817 * EXP(Risk_Analysis!D818)</f>
        <v>1.3854715401031958</v>
      </c>
      <c r="C818" s="4">
        <f>C817 * EXP(Risk_Analysis!E818)</f>
        <v>1.0131389200448617</v>
      </c>
    </row>
    <row r="819" spans="1:3" x14ac:dyDescent="0.25">
      <c r="A819" s="1">
        <f>Risk_Analysis!A819</f>
        <v>45370</v>
      </c>
      <c r="B819" s="4">
        <f>B818 * EXP(Risk_Analysis!D819)</f>
        <v>1.3931707053515952</v>
      </c>
      <c r="C819" s="4">
        <f>C818 * EXP(Risk_Analysis!E819)</f>
        <v>1.0221118410511107</v>
      </c>
    </row>
    <row r="820" spans="1:3" x14ac:dyDescent="0.25">
      <c r="A820" s="1">
        <f>Risk_Analysis!A820</f>
        <v>45371</v>
      </c>
      <c r="B820" s="4">
        <f>B819 * EXP(Risk_Analysis!D820)</f>
        <v>1.4060566766620739</v>
      </c>
      <c r="C820" s="4">
        <f>C819 * EXP(Risk_Analysis!E820)</f>
        <v>1.0233936869091462</v>
      </c>
    </row>
    <row r="821" spans="1:3" x14ac:dyDescent="0.25">
      <c r="A821" s="1">
        <f>Risk_Analysis!A821</f>
        <v>45372</v>
      </c>
      <c r="B821" s="4">
        <f>B820 * EXP(Risk_Analysis!D821)</f>
        <v>1.4107031904260203</v>
      </c>
      <c r="C821" s="4">
        <f>C820 * EXP(Risk_Analysis!E821)</f>
        <v>1.0217913795866018</v>
      </c>
    </row>
    <row r="822" spans="1:3" x14ac:dyDescent="0.25">
      <c r="A822" s="1">
        <f>Risk_Analysis!A822</f>
        <v>45373</v>
      </c>
      <c r="B822" s="4">
        <f>B821 * EXP(Risk_Analysis!D822)</f>
        <v>1.4080287435502605</v>
      </c>
      <c r="C822" s="4">
        <f>C821 * EXP(Risk_Analysis!E822)</f>
        <v>1.0232334561768919</v>
      </c>
    </row>
    <row r="823" spans="1:3" x14ac:dyDescent="0.25">
      <c r="A823" s="1">
        <f>Risk_Analysis!A823</f>
        <v>45376</v>
      </c>
      <c r="B823" s="4">
        <f>B822 * EXP(Risk_Analysis!D823)</f>
        <v>1.4041386390037007</v>
      </c>
      <c r="C823" s="4">
        <f>C822 * EXP(Risk_Analysis!E823)</f>
        <v>1.0280403781445253</v>
      </c>
    </row>
    <row r="824" spans="1:3" x14ac:dyDescent="0.25">
      <c r="A824" s="1">
        <f>Risk_Analysis!A824</f>
        <v>45377</v>
      </c>
      <c r="B824" s="4">
        <f>B823 * EXP(Risk_Analysis!D824)</f>
        <v>1.4015452359726608</v>
      </c>
      <c r="C824" s="4">
        <f>C823 * EXP(Risk_Analysis!E824)</f>
        <v>1.0163435346899508</v>
      </c>
    </row>
    <row r="825" spans="1:3" x14ac:dyDescent="0.25">
      <c r="A825" s="1">
        <f>Risk_Analysis!A825</f>
        <v>45378</v>
      </c>
      <c r="B825" s="4">
        <f>B824 * EXP(Risk_Analysis!D825)</f>
        <v>1.4133236080719667</v>
      </c>
      <c r="C825" s="4">
        <f>C824 * EXP(Risk_Analysis!E825)</f>
        <v>1.0447043742989877</v>
      </c>
    </row>
    <row r="826" spans="1:3" x14ac:dyDescent="0.25">
      <c r="A826" s="1">
        <f>Risk_Analysis!A826</f>
        <v>45379</v>
      </c>
      <c r="B826" s="4">
        <f>B825 * EXP(Risk_Analysis!D826)</f>
        <v>1.4130534619229003</v>
      </c>
      <c r="C826" s="4">
        <f>C825 * EXP(Risk_Analysis!E826)</f>
        <v>1.0519147572504379</v>
      </c>
    </row>
    <row r="827" spans="1:3" x14ac:dyDescent="0.25">
      <c r="A827" s="1">
        <f>Risk_Analysis!A827</f>
        <v>45383</v>
      </c>
      <c r="B827" s="4">
        <f>B826 * EXP(Risk_Analysis!D827)</f>
        <v>1.4105951319663936</v>
      </c>
      <c r="C827" s="4">
        <f>C826 * EXP(Risk_Analysis!E827)</f>
        <v>1.0455055279602601</v>
      </c>
    </row>
    <row r="828" spans="1:3" x14ac:dyDescent="0.25">
      <c r="A828" s="1">
        <f>Risk_Analysis!A828</f>
        <v>45384</v>
      </c>
      <c r="B828" s="4">
        <f>B827 * EXP(Risk_Analysis!D828)</f>
        <v>1.4016262798173811</v>
      </c>
      <c r="C828" s="4">
        <f>C827 * EXP(Risk_Analysis!E828)</f>
        <v>1.0472680660150588</v>
      </c>
    </row>
    <row r="829" spans="1:3" x14ac:dyDescent="0.25">
      <c r="A829" s="1">
        <f>Risk_Analysis!A829</f>
        <v>45385</v>
      </c>
      <c r="B829" s="4">
        <f>B828 * EXP(Risk_Analysis!D829)</f>
        <v>1.4031661128670607</v>
      </c>
      <c r="C829" s="4">
        <f>C828 * EXP(Risk_Analysis!E829)</f>
        <v>1.0431020669764433</v>
      </c>
    </row>
    <row r="830" spans="1:3" x14ac:dyDescent="0.25">
      <c r="A830" s="1">
        <f>Risk_Analysis!A830</f>
        <v>45386</v>
      </c>
      <c r="B830" s="4">
        <f>B829 * EXP(Risk_Analysis!D830)</f>
        <v>1.3860388470162357</v>
      </c>
      <c r="C830" s="4">
        <f>C829 * EXP(Risk_Analysis!E830)</f>
        <v>1.0410190674571356</v>
      </c>
    </row>
    <row r="831" spans="1:3" x14ac:dyDescent="0.25">
      <c r="A831" s="1">
        <f>Risk_Analysis!A831</f>
        <v>45387</v>
      </c>
      <c r="B831" s="4">
        <f>B830 * EXP(Risk_Analysis!D831)</f>
        <v>1.4005186806062078</v>
      </c>
      <c r="C831" s="4">
        <f>C830 * EXP(Risk_Analysis!E831)</f>
        <v>1.04406345136997</v>
      </c>
    </row>
    <row r="832" spans="1:3" x14ac:dyDescent="0.25">
      <c r="A832" s="1">
        <f>Risk_Analysis!A832</f>
        <v>45390</v>
      </c>
      <c r="B832" s="4">
        <f>B831 * EXP(Risk_Analysis!D832)</f>
        <v>1.4013021044385012</v>
      </c>
      <c r="C832" s="4">
        <f>C831 * EXP(Risk_Analysis!E832)</f>
        <v>1.0509533728569111</v>
      </c>
    </row>
    <row r="833" spans="1:3" x14ac:dyDescent="0.25">
      <c r="A833" s="1">
        <f>Risk_Analysis!A833</f>
        <v>45391</v>
      </c>
      <c r="B833" s="4">
        <f>B832 * EXP(Risk_Analysis!D833)</f>
        <v>1.4029229813329014</v>
      </c>
      <c r="C833" s="4">
        <f>C832 * EXP(Risk_Analysis!E833)</f>
        <v>1.0567216792180714</v>
      </c>
    </row>
    <row r="834" spans="1:3" x14ac:dyDescent="0.25">
      <c r="A834" s="1">
        <f>Risk_Analysis!A834</f>
        <v>45392</v>
      </c>
      <c r="B834" s="4">
        <f>B833 * EXP(Risk_Analysis!D834)</f>
        <v>1.3888753815814356</v>
      </c>
      <c r="C834" s="4">
        <f>C833 * EXP(Risk_Analysis!E834)</f>
        <v>1.0386156064733187</v>
      </c>
    </row>
    <row r="835" spans="1:3" x14ac:dyDescent="0.25">
      <c r="A835" s="1">
        <f>Risk_Analysis!A835</f>
        <v>45393</v>
      </c>
      <c r="B835" s="4">
        <f>B834 * EXP(Risk_Analysis!D835)</f>
        <v>1.3993570521652214</v>
      </c>
      <c r="C835" s="4">
        <f>C834 * EXP(Risk_Analysis!E835)</f>
        <v>1.0365326069540111</v>
      </c>
    </row>
    <row r="836" spans="1:3" x14ac:dyDescent="0.25">
      <c r="A836" s="1">
        <f>Risk_Analysis!A836</f>
        <v>45394</v>
      </c>
      <c r="B836" s="4">
        <f>B835 * EXP(Risk_Analysis!D836)</f>
        <v>1.3800416025069564</v>
      </c>
      <c r="C836" s="4">
        <f>C835 * EXP(Risk_Analysis!E836)</f>
        <v>1.0286813010735432</v>
      </c>
    </row>
    <row r="837" spans="1:3" x14ac:dyDescent="0.25">
      <c r="A837" s="1">
        <f>Risk_Analysis!A837</f>
        <v>45397</v>
      </c>
      <c r="B837" s="4">
        <f>B836 * EXP(Risk_Analysis!D837)</f>
        <v>1.362752248966691</v>
      </c>
      <c r="C837" s="4">
        <f>C836 * EXP(Risk_Analysis!E837)</f>
        <v>1.0192276878705309</v>
      </c>
    </row>
    <row r="838" spans="1:3" x14ac:dyDescent="0.25">
      <c r="A838" s="1">
        <f>Risk_Analysis!A838</f>
        <v>45398</v>
      </c>
      <c r="B838" s="4">
        <f>B837 * EXP(Risk_Analysis!D838)</f>
        <v>1.360266904395278</v>
      </c>
      <c r="C838" s="4">
        <f>C837 * EXP(Risk_Analysis!E838)</f>
        <v>1.0057683063611575</v>
      </c>
    </row>
    <row r="839" spans="1:3" x14ac:dyDescent="0.25">
      <c r="A839" s="1">
        <f>Risk_Analysis!A839</f>
        <v>45399</v>
      </c>
      <c r="B839" s="4">
        <f>B838 * EXP(Risk_Analysis!D839)</f>
        <v>1.352216549153092</v>
      </c>
      <c r="C839" s="4">
        <f>C838 * EXP(Risk_Analysis!E839)</f>
        <v>1.0267585322864898</v>
      </c>
    </row>
    <row r="840" spans="1:3" x14ac:dyDescent="0.25">
      <c r="A840" s="1">
        <f>Risk_Analysis!A840</f>
        <v>45400</v>
      </c>
      <c r="B840" s="4">
        <f>B839 * EXP(Risk_Analysis!D840)</f>
        <v>1.3494340438177055</v>
      </c>
      <c r="C840" s="4">
        <f>C839 * EXP(Risk_Analysis!E840)</f>
        <v>1.0325268386476498</v>
      </c>
    </row>
    <row r="841" spans="1:3" x14ac:dyDescent="0.25">
      <c r="A841" s="1">
        <f>Risk_Analysis!A841</f>
        <v>45401</v>
      </c>
      <c r="B841" s="4">
        <f>B840 * EXP(Risk_Analysis!D841)</f>
        <v>1.3376556717183998</v>
      </c>
      <c r="C841" s="4">
        <f>C840 * EXP(Risk_Analysis!E841)</f>
        <v>1.0483896811408402</v>
      </c>
    </row>
    <row r="842" spans="1:3" x14ac:dyDescent="0.25">
      <c r="A842" s="1">
        <f>Risk_Analysis!A842</f>
        <v>45404</v>
      </c>
      <c r="B842" s="4">
        <f>B841 * EXP(Risk_Analysis!D842)</f>
        <v>1.3499743361158387</v>
      </c>
      <c r="C842" s="4">
        <f>C841 * EXP(Risk_Analysis!E842)</f>
        <v>1.0580035250761068</v>
      </c>
    </row>
    <row r="843" spans="1:3" x14ac:dyDescent="0.25">
      <c r="A843" s="1">
        <f>Risk_Analysis!A843</f>
        <v>45405</v>
      </c>
      <c r="B843" s="4">
        <f>B842 * EXP(Risk_Analysis!D843)</f>
        <v>1.3659940027554907</v>
      </c>
      <c r="C843" s="4">
        <f>C842 * EXP(Risk_Analysis!E843)</f>
        <v>1.0629706777759946</v>
      </c>
    </row>
    <row r="844" spans="1:3" x14ac:dyDescent="0.25">
      <c r="A844" s="1">
        <f>Risk_Analysis!A844</f>
        <v>45406</v>
      </c>
      <c r="B844" s="4">
        <f>B843 * EXP(Risk_Analysis!D844)</f>
        <v>1.3653456519977309</v>
      </c>
      <c r="C844" s="4">
        <f>C843 * EXP(Risk_Analysis!E844)</f>
        <v>1.0693799070661723</v>
      </c>
    </row>
    <row r="845" spans="1:3" x14ac:dyDescent="0.25">
      <c r="A845" s="1">
        <f>Risk_Analysis!A845</f>
        <v>45407</v>
      </c>
      <c r="B845" s="4">
        <f>B844 * EXP(Risk_Analysis!D845)</f>
        <v>1.3601588459356513</v>
      </c>
      <c r="C845" s="4">
        <f>C844 * EXP(Risk_Analysis!E845)</f>
        <v>1.0722640602467524</v>
      </c>
    </row>
    <row r="846" spans="1:3" x14ac:dyDescent="0.25">
      <c r="A846" s="1">
        <f>Risk_Analysis!A846</f>
        <v>45408</v>
      </c>
      <c r="B846" s="4">
        <f>B845 * EXP(Risk_Analysis!D846)</f>
        <v>1.3730448172461303</v>
      </c>
      <c r="C846" s="4">
        <f>C845 * EXP(Risk_Analysis!E846)</f>
        <v>1.0605672167921778</v>
      </c>
    </row>
    <row r="847" spans="1:3" x14ac:dyDescent="0.25">
      <c r="A847" s="1">
        <f>Risk_Analysis!A847</f>
        <v>45411</v>
      </c>
      <c r="B847" s="4">
        <f>B846 * EXP(Risk_Analysis!D847)</f>
        <v>1.3779074479293298</v>
      </c>
      <c r="C847" s="4">
        <f>C846 * EXP(Risk_Analysis!E847)</f>
        <v>1.0749879826950781</v>
      </c>
    </row>
    <row r="848" spans="1:3" x14ac:dyDescent="0.25">
      <c r="A848" s="1">
        <f>Risk_Analysis!A848</f>
        <v>45412</v>
      </c>
      <c r="B848" s="4">
        <f>B847 * EXP(Risk_Analysis!D848)</f>
        <v>1.3560796390847449</v>
      </c>
      <c r="C848" s="4">
        <f>C847 * EXP(Risk_Analysis!E848)</f>
        <v>1.0693799070661723</v>
      </c>
    </row>
    <row r="849" spans="1:3" x14ac:dyDescent="0.25">
      <c r="A849" s="1">
        <f>Risk_Analysis!A849</f>
        <v>45413</v>
      </c>
      <c r="B849" s="4">
        <f>B848 * EXP(Risk_Analysis!D849)</f>
        <v>1.3516762568549587</v>
      </c>
      <c r="C849" s="4">
        <f>C848 * EXP(Risk_Analysis!E849)</f>
        <v>1.0817176734497649</v>
      </c>
    </row>
    <row r="850" spans="1:3" x14ac:dyDescent="0.25">
      <c r="A850" s="1">
        <f>Risk_Analysis!A850</f>
        <v>45414</v>
      </c>
      <c r="B850" s="4">
        <f>B849 * EXP(Risk_Analysis!D850)</f>
        <v>1.3643190966312777</v>
      </c>
      <c r="C850" s="4">
        <f>C849 * EXP(Risk_Analysis!E850)</f>
        <v>1.0874859798109249</v>
      </c>
    </row>
    <row r="851" spans="1:3" x14ac:dyDescent="0.25">
      <c r="A851" s="1">
        <f>Risk_Analysis!A851</f>
        <v>45415</v>
      </c>
      <c r="B851" s="4">
        <f>B850 * EXP(Risk_Analysis!D851)</f>
        <v>1.3812302455628498</v>
      </c>
      <c r="C851" s="4">
        <f>C850 * EXP(Risk_Analysis!E851)</f>
        <v>1.0961384393526648</v>
      </c>
    </row>
    <row r="852" spans="1:3" x14ac:dyDescent="0.25">
      <c r="A852" s="1">
        <f>Risk_Analysis!A852</f>
        <v>45418</v>
      </c>
      <c r="B852" s="4">
        <f>B851 * EXP(Risk_Analysis!D852)</f>
        <v>1.3954939622335687</v>
      </c>
      <c r="C852" s="4">
        <f>C851 * EXP(Risk_Analysis!E852)</f>
        <v>1.1017465149815706</v>
      </c>
    </row>
    <row r="853" spans="1:3" x14ac:dyDescent="0.25">
      <c r="A853" s="1">
        <f>Risk_Analysis!A853</f>
        <v>45419</v>
      </c>
      <c r="B853" s="4">
        <f>B852 * EXP(Risk_Analysis!D853)</f>
        <v>1.3970337952832483</v>
      </c>
      <c r="C853" s="4">
        <f>C852 * EXP(Risk_Analysis!E853)</f>
        <v>1.1142445120974174</v>
      </c>
    </row>
    <row r="854" spans="1:3" x14ac:dyDescent="0.25">
      <c r="A854" s="1">
        <f>Risk_Analysis!A854</f>
        <v>45420</v>
      </c>
      <c r="B854" s="4">
        <f>B853 * EXP(Risk_Analysis!D854)</f>
        <v>1.3971688683577816</v>
      </c>
      <c r="C854" s="4">
        <f>C853 * EXP(Risk_Analysis!E854)</f>
        <v>1.1259413555519917</v>
      </c>
    </row>
    <row r="855" spans="1:3" x14ac:dyDescent="0.25">
      <c r="A855" s="1">
        <f>Risk_Analysis!A855</f>
        <v>45421</v>
      </c>
      <c r="B855" s="4">
        <f>B854 * EXP(Risk_Analysis!D855)</f>
        <v>1.4052192235999674</v>
      </c>
      <c r="C855" s="4">
        <f>C854 * EXP(Risk_Analysis!E855)</f>
        <v>1.1430860439032176</v>
      </c>
    </row>
    <row r="856" spans="1:3" x14ac:dyDescent="0.25">
      <c r="A856" s="1">
        <f>Risk_Analysis!A856</f>
        <v>45422</v>
      </c>
      <c r="B856" s="4">
        <f>B855 * EXP(Risk_Analysis!D856)</f>
        <v>1.4070292027987141</v>
      </c>
      <c r="C856" s="4">
        <f>C855 * EXP(Risk_Analysis!E856)</f>
        <v>1.1419644287774364</v>
      </c>
    </row>
    <row r="857" spans="1:3" x14ac:dyDescent="0.25">
      <c r="A857" s="1">
        <f>Risk_Analysis!A857</f>
        <v>45425</v>
      </c>
      <c r="B857" s="4">
        <f>B856 * EXP(Risk_Analysis!D857)</f>
        <v>1.4072183051030607</v>
      </c>
      <c r="C857" s="4">
        <f>C856 * EXP(Risk_Analysis!E857)</f>
        <v>1.1419644287774364</v>
      </c>
    </row>
    <row r="858" spans="1:3" x14ac:dyDescent="0.25">
      <c r="A858" s="1">
        <f>Risk_Analysis!A858</f>
        <v>45426</v>
      </c>
      <c r="B858" s="4">
        <f>B857 * EXP(Risk_Analysis!D858)</f>
        <v>1.4136747980657536</v>
      </c>
      <c r="C858" s="4">
        <f>C857 * EXP(Risk_Analysis!E858)</f>
        <v>1.1450088126902709</v>
      </c>
    </row>
    <row r="859" spans="1:3" x14ac:dyDescent="0.25">
      <c r="A859" s="1">
        <f>Risk_Analysis!A859</f>
        <v>45427</v>
      </c>
      <c r="B859" s="4">
        <f>B858 * EXP(Risk_Analysis!D859)</f>
        <v>1.4311802685252721</v>
      </c>
      <c r="C859" s="4">
        <f>C858 * EXP(Risk_Analysis!E859)</f>
        <v>1.1621535010414967</v>
      </c>
    </row>
    <row r="860" spans="1:3" x14ac:dyDescent="0.25">
      <c r="A860" s="1">
        <f>Risk_Analysis!A860</f>
        <v>45428</v>
      </c>
      <c r="B860" s="4">
        <f>B859 * EXP(Risk_Analysis!D860)</f>
        <v>1.4282356755004459</v>
      </c>
      <c r="C860" s="4">
        <f>C859 * EXP(Risk_Analysis!E860)</f>
        <v>1.1581477327351355</v>
      </c>
    </row>
    <row r="861" spans="1:3" x14ac:dyDescent="0.25">
      <c r="A861" s="1">
        <f>Risk_Analysis!A861</f>
        <v>45429</v>
      </c>
      <c r="B861" s="4">
        <f>B860 * EXP(Risk_Analysis!D861)</f>
        <v>1.4302887862333522</v>
      </c>
      <c r="C861" s="4">
        <f>C860 * EXP(Risk_Analysis!E861)</f>
        <v>1.1591091171286623</v>
      </c>
    </row>
    <row r="862" spans="1:3" x14ac:dyDescent="0.25">
      <c r="A862" s="1">
        <f>Risk_Analysis!A862</f>
        <v>45432</v>
      </c>
      <c r="B862" s="4">
        <f>B861 * EXP(Risk_Analysis!D862)</f>
        <v>1.4319366777426585</v>
      </c>
      <c r="C862" s="4">
        <f>C861 * EXP(Risk_Analysis!E862)</f>
        <v>1.1571863483416089</v>
      </c>
    </row>
    <row r="863" spans="1:3" x14ac:dyDescent="0.25">
      <c r="A863" s="1">
        <f>Risk_Analysis!A863</f>
        <v>45433</v>
      </c>
      <c r="B863" s="4">
        <f>B862 * EXP(Risk_Analysis!D863)</f>
        <v>1.435448577680525</v>
      </c>
      <c r="C863" s="4">
        <f>C862 * EXP(Risk_Analysis!E863)</f>
        <v>1.167601345938148</v>
      </c>
    </row>
    <row r="864" spans="1:3" x14ac:dyDescent="0.25">
      <c r="A864" s="1">
        <f>Risk_Analysis!A864</f>
        <v>45434</v>
      </c>
      <c r="B864" s="4">
        <f>B863 * EXP(Risk_Analysis!D864)</f>
        <v>1.4313153415998054</v>
      </c>
      <c r="C864" s="4">
        <f>C863 * EXP(Risk_Analysis!E864)</f>
        <v>1.1538215029642658</v>
      </c>
    </row>
    <row r="865" spans="1:3" x14ac:dyDescent="0.25">
      <c r="A865" s="1">
        <f>Risk_Analysis!A865</f>
        <v>45435</v>
      </c>
      <c r="B865" s="4">
        <f>B864 * EXP(Risk_Analysis!D865)</f>
        <v>1.4208606856309263</v>
      </c>
      <c r="C865" s="4">
        <f>C864 * EXP(Risk_Analysis!E865)</f>
        <v>1.1342733536292233</v>
      </c>
    </row>
    <row r="866" spans="1:3" x14ac:dyDescent="0.25">
      <c r="A866" s="1">
        <f>Risk_Analysis!A866</f>
        <v>45436</v>
      </c>
      <c r="B866" s="4">
        <f>B865 * EXP(Risk_Analysis!D866)</f>
        <v>1.4302617716184456</v>
      </c>
      <c r="C866" s="4">
        <f>C865 * EXP(Risk_Analysis!E866)</f>
        <v>1.145649735619289</v>
      </c>
    </row>
    <row r="867" spans="1:3" x14ac:dyDescent="0.25">
      <c r="A867" s="1">
        <f>Risk_Analysis!A867</f>
        <v>45440</v>
      </c>
      <c r="B867" s="4">
        <f>B866 * EXP(Risk_Analysis!D867)</f>
        <v>1.431261312369992</v>
      </c>
      <c r="C867" s="4">
        <f>C866 * EXP(Risk_Analysis!E867)</f>
        <v>1.1445281204935078</v>
      </c>
    </row>
    <row r="868" spans="1:3" x14ac:dyDescent="0.25">
      <c r="A868" s="1">
        <f>Risk_Analysis!A868</f>
        <v>45441</v>
      </c>
      <c r="B868" s="4">
        <f>B867 * EXP(Risk_Analysis!D868)</f>
        <v>1.4212388902396198</v>
      </c>
      <c r="C868" s="4">
        <f>C867 * EXP(Risk_Analysis!E868)</f>
        <v>1.1297868931260988</v>
      </c>
    </row>
    <row r="869" spans="1:3" x14ac:dyDescent="0.25">
      <c r="A869" s="1">
        <f>Risk_Analysis!A869</f>
        <v>45442</v>
      </c>
      <c r="B869" s="4">
        <f>B868 * EXP(Risk_Analysis!D869)</f>
        <v>1.4118107896371939</v>
      </c>
      <c r="C869" s="4">
        <f>C868 * EXP(Risk_Analysis!E869)</f>
        <v>1.1450088126902709</v>
      </c>
    </row>
    <row r="870" spans="1:3" x14ac:dyDescent="0.25">
      <c r="A870" s="1">
        <f>Risk_Analysis!A870</f>
        <v>45443</v>
      </c>
      <c r="B870" s="4">
        <f>B869 * EXP(Risk_Analysis!D870)</f>
        <v>1.4246697463327662</v>
      </c>
      <c r="C870" s="4">
        <f>C869 * EXP(Risk_Analysis!E870)</f>
        <v>1.1651978849543312</v>
      </c>
    </row>
    <row r="871" spans="1:3" x14ac:dyDescent="0.25">
      <c r="A871" s="1">
        <f>Risk_Analysis!A871</f>
        <v>45446</v>
      </c>
      <c r="B871" s="4">
        <f>B870 * EXP(Risk_Analysis!D871)</f>
        <v>1.4258313747737525</v>
      </c>
      <c r="C871" s="4">
        <f>C870 * EXP(Risk_Analysis!E871)</f>
        <v>1.1518987341772122</v>
      </c>
    </row>
    <row r="872" spans="1:3" x14ac:dyDescent="0.25">
      <c r="A872" s="1">
        <f>Risk_Analysis!A872</f>
        <v>45447</v>
      </c>
      <c r="B872" s="4">
        <f>B871 * EXP(Risk_Analysis!D872)</f>
        <v>1.4274252370532459</v>
      </c>
      <c r="C872" s="4">
        <f>C871 * EXP(Risk_Analysis!E872)</f>
        <v>1.1514180419804489</v>
      </c>
    </row>
    <row r="873" spans="1:3" x14ac:dyDescent="0.25">
      <c r="A873" s="1">
        <f>Risk_Analysis!A873</f>
        <v>45448</v>
      </c>
      <c r="B873" s="4">
        <f>B872 * EXP(Risk_Analysis!D873)</f>
        <v>1.4443904152146312</v>
      </c>
      <c r="C873" s="4">
        <f>C872 * EXP(Risk_Analysis!E873)</f>
        <v>1.1448485819580168</v>
      </c>
    </row>
    <row r="874" spans="1:3" x14ac:dyDescent="0.25">
      <c r="A874" s="1">
        <f>Risk_Analysis!A874</f>
        <v>45449</v>
      </c>
      <c r="B874" s="4">
        <f>B873 * EXP(Risk_Analysis!D874)</f>
        <v>1.4443634005997246</v>
      </c>
      <c r="C874" s="4">
        <f>C873 * EXP(Risk_Analysis!E874)</f>
        <v>1.1329915077711876</v>
      </c>
    </row>
    <row r="875" spans="1:3" x14ac:dyDescent="0.25">
      <c r="A875" s="1">
        <f>Risk_Analysis!A875</f>
        <v>45450</v>
      </c>
      <c r="B875" s="4">
        <f>B874 * EXP(Risk_Analysis!D875)</f>
        <v>1.4426074506307915</v>
      </c>
      <c r="C875" s="4">
        <f>C874 * EXP(Risk_Analysis!E875)</f>
        <v>1.1206537413875952</v>
      </c>
    </row>
    <row r="876" spans="1:3" x14ac:dyDescent="0.25">
      <c r="A876" s="1">
        <f>Risk_Analysis!A876</f>
        <v>45453</v>
      </c>
      <c r="B876" s="4">
        <f>B875 * EXP(Risk_Analysis!D876)</f>
        <v>1.447064862090391</v>
      </c>
      <c r="C876" s="4">
        <f>C875 * EXP(Risk_Analysis!E876)</f>
        <v>1.1350745072904955</v>
      </c>
    </row>
    <row r="877" spans="1:3" x14ac:dyDescent="0.25">
      <c r="A877" s="1">
        <f>Risk_Analysis!A877</f>
        <v>45454</v>
      </c>
      <c r="B877" s="4">
        <f>B876 * EXP(Risk_Analysis!D877)</f>
        <v>1.4505497474133509</v>
      </c>
      <c r="C877" s="4">
        <f>C876 * EXP(Risk_Analysis!E877)</f>
        <v>1.1281845858035544</v>
      </c>
    </row>
    <row r="878" spans="1:3" x14ac:dyDescent="0.25">
      <c r="A878" s="1">
        <f>Risk_Analysis!A878</f>
        <v>45455</v>
      </c>
      <c r="B878" s="4">
        <f>B877 * EXP(Risk_Analysis!D878)</f>
        <v>1.4624631925871898</v>
      </c>
      <c r="C878" s="4">
        <f>C877 * EXP(Risk_Analysis!E878)</f>
        <v>1.12081397211985</v>
      </c>
    </row>
    <row r="879" spans="1:3" x14ac:dyDescent="0.25">
      <c r="A879" s="1">
        <f>Risk_Analysis!A879</f>
        <v>45456</v>
      </c>
      <c r="B879" s="4">
        <f>B878 * EXP(Risk_Analysis!D879)</f>
        <v>1.4654077856120165</v>
      </c>
      <c r="C879" s="4">
        <f>C878 * EXP(Risk_Analysis!E879)</f>
        <v>1.1233776638359212</v>
      </c>
    </row>
    <row r="880" spans="1:3" x14ac:dyDescent="0.25">
      <c r="A880" s="1">
        <f>Risk_Analysis!A880</f>
        <v>45457</v>
      </c>
      <c r="B880" s="4">
        <f>B879 * EXP(Risk_Analysis!D880)</f>
        <v>1.4662992679039362</v>
      </c>
      <c r="C880" s="4">
        <f>C879 * EXP(Risk_Analysis!E880)</f>
        <v>1.1206537413875954</v>
      </c>
    </row>
    <row r="881" spans="1:3" x14ac:dyDescent="0.25">
      <c r="A881" s="1">
        <f>Risk_Analysis!A881</f>
        <v>45460</v>
      </c>
      <c r="B881" s="4">
        <f>B880 * EXP(Risk_Analysis!D881)</f>
        <v>1.4779695815436154</v>
      </c>
      <c r="C881" s="4">
        <f>C880 * EXP(Risk_Analysis!E881)</f>
        <v>1.1083159750040033</v>
      </c>
    </row>
    <row r="882" spans="1:3" x14ac:dyDescent="0.25">
      <c r="A882" s="1">
        <f>Risk_Analysis!A882</f>
        <v>45461</v>
      </c>
      <c r="B882" s="4">
        <f>B881 * EXP(Risk_Analysis!D882)</f>
        <v>1.4817246130156416</v>
      </c>
      <c r="C882" s="4">
        <f>C881 * EXP(Risk_Analysis!E882)</f>
        <v>1.1087966672007665</v>
      </c>
    </row>
    <row r="883" spans="1:3" x14ac:dyDescent="0.25">
      <c r="A883" s="1">
        <f>Risk_Analysis!A883</f>
        <v>45463</v>
      </c>
      <c r="B883" s="4">
        <f>B882 * EXP(Risk_Analysis!D883)</f>
        <v>1.4776994353945485</v>
      </c>
      <c r="C883" s="4">
        <f>C882 * EXP(Risk_Analysis!E883)</f>
        <v>1.1184105111360332</v>
      </c>
    </row>
    <row r="884" spans="1:3" x14ac:dyDescent="0.25">
      <c r="A884" s="1">
        <f>Risk_Analysis!A884</f>
        <v>45464</v>
      </c>
      <c r="B884" s="4">
        <f>B883 * EXP(Risk_Analysis!D884)</f>
        <v>1.470972796282789</v>
      </c>
      <c r="C884" s="4">
        <f>C883 * EXP(Risk_Analysis!E884)</f>
        <v>1.111841051113601</v>
      </c>
    </row>
    <row r="885" spans="1:3" x14ac:dyDescent="0.25">
      <c r="A885" s="1">
        <f>Risk_Analysis!A885</f>
        <v>45467</v>
      </c>
      <c r="B885" s="4">
        <f>B884 * EXP(Risk_Analysis!D885)</f>
        <v>1.4661912094443095</v>
      </c>
      <c r="C885" s="4">
        <f>C884 * EXP(Risk_Analysis!E885)</f>
        <v>1.1174491267425064</v>
      </c>
    </row>
    <row r="886" spans="1:3" x14ac:dyDescent="0.25">
      <c r="A886" s="1">
        <f>Risk_Analysis!A886</f>
        <v>45468</v>
      </c>
      <c r="B886" s="4">
        <f>B885 * EXP(Risk_Analysis!D886)</f>
        <v>1.4718372639598025</v>
      </c>
      <c r="C886" s="4">
        <f>C885 * EXP(Risk_Analysis!E886)</f>
        <v>1.106873898413713</v>
      </c>
    </row>
    <row r="887" spans="1:3" x14ac:dyDescent="0.25">
      <c r="A887" s="1">
        <f>Risk_Analysis!A887</f>
        <v>45469</v>
      </c>
      <c r="B887" s="4">
        <f>B886 * EXP(Risk_Analysis!D887)</f>
        <v>1.4736742577734556</v>
      </c>
      <c r="C887" s="4">
        <f>C886 * EXP(Risk_Analysis!E887)</f>
        <v>1.1022272071783341</v>
      </c>
    </row>
    <row r="888" spans="1:3" x14ac:dyDescent="0.25">
      <c r="A888" s="1">
        <f>Risk_Analysis!A888</f>
        <v>45470</v>
      </c>
      <c r="B888" s="4">
        <f>B887 * EXP(Risk_Analysis!D888)</f>
        <v>1.4759975146554287</v>
      </c>
      <c r="C888" s="4">
        <f>C887 * EXP(Risk_Analysis!E888)</f>
        <v>1.1041499759653872</v>
      </c>
    </row>
    <row r="889" spans="1:3" x14ac:dyDescent="0.25">
      <c r="A889" s="1">
        <f>Risk_Analysis!A889</f>
        <v>45471</v>
      </c>
      <c r="B889" s="4">
        <f>B888 * EXP(Risk_Analysis!D889)</f>
        <v>1.470189372450496</v>
      </c>
      <c r="C889" s="4">
        <f>C888 * EXP(Risk_Analysis!E889)</f>
        <v>1.0918122095817948</v>
      </c>
    </row>
    <row r="890" spans="1:3" x14ac:dyDescent="0.25">
      <c r="A890" s="1">
        <f>Risk_Analysis!A890</f>
        <v>45474</v>
      </c>
      <c r="B890" s="4">
        <f>B889 * EXP(Risk_Analysis!D890)</f>
        <v>1.4732150093200425</v>
      </c>
      <c r="C890" s="4">
        <f>C889 * EXP(Risk_Analysis!E890)</f>
        <v>1.0842813651658358</v>
      </c>
    </row>
    <row r="891" spans="1:3" x14ac:dyDescent="0.25">
      <c r="A891" s="1">
        <f>Risk_Analysis!A891</f>
        <v>45475</v>
      </c>
      <c r="B891" s="4">
        <f>B890 * EXP(Risk_Analysis!D891)</f>
        <v>1.4831293729907882</v>
      </c>
      <c r="C891" s="4">
        <f>C890 * EXP(Risk_Analysis!E891)</f>
        <v>1.0898894407947413</v>
      </c>
    </row>
    <row r="892" spans="1:3" x14ac:dyDescent="0.25">
      <c r="A892" s="1">
        <f>Risk_Analysis!A892</f>
        <v>45476</v>
      </c>
      <c r="B892" s="4">
        <f>B891 * EXP(Risk_Analysis!D892)</f>
        <v>1.4897479536429212</v>
      </c>
      <c r="C892" s="4">
        <f>C891 * EXP(Risk_Analysis!E892)</f>
        <v>1.0964589008171737</v>
      </c>
    </row>
    <row r="893" spans="1:3" x14ac:dyDescent="0.25">
      <c r="A893" s="1">
        <f>Risk_Analysis!A893</f>
        <v>45478</v>
      </c>
      <c r="B893" s="4">
        <f>B892 * EXP(Risk_Analysis!D893)</f>
        <v>1.4983386011832405</v>
      </c>
      <c r="C893" s="4">
        <f>C892 * EXP(Risk_Analysis!E893)</f>
        <v>1.0983816696042268</v>
      </c>
    </row>
    <row r="894" spans="1:3" x14ac:dyDescent="0.25">
      <c r="A894" s="1">
        <f>Risk_Analysis!A894</f>
        <v>45481</v>
      </c>
      <c r="B894" s="4">
        <f>B893 * EXP(Risk_Analysis!D894)</f>
        <v>1.5000675365372671</v>
      </c>
      <c r="C894" s="4">
        <f>C893 * EXP(Risk_Analysis!E894)</f>
        <v>1.0995032847300079</v>
      </c>
    </row>
    <row r="895" spans="1:3" x14ac:dyDescent="0.25">
      <c r="A895" s="1">
        <f>Risk_Analysis!A895</f>
        <v>45482</v>
      </c>
      <c r="B895" s="4">
        <f>B894 * EXP(Risk_Analysis!D895)</f>
        <v>1.5015263257422271</v>
      </c>
      <c r="C895" s="4">
        <f>C894 * EXP(Risk_Analysis!E895)</f>
        <v>1.1027078993750965</v>
      </c>
    </row>
    <row r="896" spans="1:3" x14ac:dyDescent="0.25">
      <c r="A896" s="1">
        <f>Risk_Analysis!A896</f>
        <v>45483</v>
      </c>
      <c r="B896" s="4">
        <f>B895 * EXP(Risk_Analysis!D896)</f>
        <v>1.5163843639408927</v>
      </c>
      <c r="C896" s="4">
        <f>C895 * EXP(Risk_Analysis!E896)</f>
        <v>1.1131228969716356</v>
      </c>
    </row>
    <row r="897" spans="1:3" x14ac:dyDescent="0.25">
      <c r="A897" s="1">
        <f>Risk_Analysis!A897</f>
        <v>45484</v>
      </c>
      <c r="B897" s="4">
        <f>B896 * EXP(Risk_Analysis!D897)</f>
        <v>1.503309290326067</v>
      </c>
      <c r="C897" s="4">
        <f>C896 * EXP(Risk_Analysis!E897)</f>
        <v>1.13347219996795</v>
      </c>
    </row>
    <row r="898" spans="1:3" x14ac:dyDescent="0.25">
      <c r="A898" s="1">
        <f>Risk_Analysis!A898</f>
        <v>45485</v>
      </c>
      <c r="B898" s="4">
        <f>B897 * EXP(Risk_Analysis!D898)</f>
        <v>1.5127914201583061</v>
      </c>
      <c r="C898" s="4">
        <f>C897 * EXP(Risk_Analysis!E898)</f>
        <v>1.1418041980451814</v>
      </c>
    </row>
    <row r="899" spans="1:3" x14ac:dyDescent="0.25">
      <c r="A899" s="1">
        <f>Risk_Analysis!A899</f>
        <v>45488</v>
      </c>
      <c r="B899" s="4">
        <f>B898 * EXP(Risk_Analysis!D899)</f>
        <v>1.5169516708539323</v>
      </c>
      <c r="C899" s="4">
        <f>C898 * EXP(Risk_Analysis!E899)</f>
        <v>1.1140842813651621</v>
      </c>
    </row>
    <row r="900" spans="1:3" x14ac:dyDescent="0.25">
      <c r="A900" s="1">
        <f>Risk_Analysis!A900</f>
        <v>45489</v>
      </c>
      <c r="B900" s="4">
        <f>B899 * EXP(Risk_Analysis!D900)</f>
        <v>1.5259475376178517</v>
      </c>
      <c r="C900" s="4">
        <f>C899 * EXP(Risk_Analysis!E900)</f>
        <v>1.122736740906902</v>
      </c>
    </row>
    <row r="901" spans="1:3" x14ac:dyDescent="0.25">
      <c r="A901" s="1">
        <f>Risk_Analysis!A901</f>
        <v>45490</v>
      </c>
      <c r="B901" s="4">
        <f>B900 * EXP(Risk_Analysis!D901)</f>
        <v>1.5045519626117736</v>
      </c>
      <c r="C901" s="4">
        <f>C900 * EXP(Risk_Analysis!E901)</f>
        <v>1.1233776638359199</v>
      </c>
    </row>
    <row r="902" spans="1:3" x14ac:dyDescent="0.25">
      <c r="A902" s="1">
        <f>Risk_Analysis!A902</f>
        <v>45491</v>
      </c>
      <c r="B902" s="4">
        <f>B901 * EXP(Risk_Analysis!D902)</f>
        <v>1.4929897074317209</v>
      </c>
      <c r="C902" s="4">
        <f>C901 * EXP(Risk_Analysis!E902)</f>
        <v>1.1224162794423931</v>
      </c>
    </row>
    <row r="903" spans="1:3" x14ac:dyDescent="0.25">
      <c r="A903" s="1">
        <f>Risk_Analysis!A903</f>
        <v>45492</v>
      </c>
      <c r="B903" s="4">
        <f>B902 * EXP(Risk_Analysis!D903)</f>
        <v>1.4830753437609752</v>
      </c>
      <c r="C903" s="4">
        <f>C902 * EXP(Risk_Analysis!E903)</f>
        <v>1.1236981253004286</v>
      </c>
    </row>
    <row r="904" spans="1:3" x14ac:dyDescent="0.25">
      <c r="A904" s="1">
        <f>Risk_Analysis!A904</f>
        <v>45495</v>
      </c>
      <c r="B904" s="4">
        <f>B903 * EXP(Risk_Analysis!D904)</f>
        <v>1.4983656157981471</v>
      </c>
      <c r="C904" s="4">
        <f>C903 * EXP(Risk_Analysis!E904)</f>
        <v>1.1331517385034411</v>
      </c>
    </row>
    <row r="905" spans="1:3" x14ac:dyDescent="0.25">
      <c r="A905" s="1">
        <f>Risk_Analysis!A905</f>
        <v>45496</v>
      </c>
      <c r="B905" s="4">
        <f>B904 * EXP(Risk_Analysis!D905)</f>
        <v>1.4960153443012671</v>
      </c>
      <c r="C905" s="4">
        <f>C904 * EXP(Risk_Analysis!E905)</f>
        <v>1.1261015862842454</v>
      </c>
    </row>
    <row r="906" spans="1:3" x14ac:dyDescent="0.25">
      <c r="A906" s="1">
        <f>Risk_Analysis!A906</f>
        <v>45497</v>
      </c>
      <c r="B906" s="4">
        <f>B905 * EXP(Risk_Analysis!D906)</f>
        <v>1.4621120025934033</v>
      </c>
      <c r="C906" s="4">
        <f>C905 * EXP(Risk_Analysis!E906)</f>
        <v>1.1387598141323465</v>
      </c>
    </row>
    <row r="907" spans="1:3" x14ac:dyDescent="0.25">
      <c r="A907" s="1">
        <f>Risk_Analysis!A907</f>
        <v>45498</v>
      </c>
      <c r="B907" s="4">
        <f>B906 * EXP(Risk_Analysis!D907)</f>
        <v>1.4544938811897237</v>
      </c>
      <c r="C907" s="4">
        <f>C906 * EXP(Risk_Analysis!E907)</f>
        <v>1.1293062009293344</v>
      </c>
    </row>
    <row r="908" spans="1:3" x14ac:dyDescent="0.25">
      <c r="A908" s="1">
        <f>Risk_Analysis!A908</f>
        <v>45499</v>
      </c>
      <c r="B908" s="4">
        <f>B907 * EXP(Risk_Analysis!D908)</f>
        <v>1.4707836939784424</v>
      </c>
      <c r="C908" s="4">
        <f>C907 * EXP(Risk_Analysis!E908)</f>
        <v>1.1403621214548914</v>
      </c>
    </row>
    <row r="909" spans="1:3" x14ac:dyDescent="0.25">
      <c r="A909" s="1">
        <f>Risk_Analysis!A909</f>
        <v>45502</v>
      </c>
      <c r="B909" s="4">
        <f>B908 * EXP(Risk_Analysis!D909)</f>
        <v>1.4716481616554555</v>
      </c>
      <c r="C909" s="4">
        <f>C908 * EXP(Risk_Analysis!E909)</f>
        <v>1.1454895048870335</v>
      </c>
    </row>
    <row r="910" spans="1:3" x14ac:dyDescent="0.25">
      <c r="A910" s="1">
        <f>Risk_Analysis!A910</f>
        <v>45503</v>
      </c>
      <c r="B910" s="4">
        <f>B909 * EXP(Risk_Analysis!D910)</f>
        <v>1.4641921279412162</v>
      </c>
      <c r="C910" s="4">
        <f>C909 * EXP(Risk_Analysis!E910)</f>
        <v>1.1514180419804483</v>
      </c>
    </row>
    <row r="911" spans="1:3" x14ac:dyDescent="0.25">
      <c r="A911" s="1">
        <f>Risk_Analysis!A911</f>
        <v>45504</v>
      </c>
      <c r="B911" s="4">
        <f>B910 * EXP(Risk_Analysis!D911)</f>
        <v>1.4879920036739875</v>
      </c>
      <c r="C911" s="4">
        <f>C910 * EXP(Risk_Analysis!E911)</f>
        <v>1.1663195000801119</v>
      </c>
    </row>
    <row r="912" spans="1:3" x14ac:dyDescent="0.25">
      <c r="A912" s="1">
        <f>Risk_Analysis!A912</f>
        <v>45505</v>
      </c>
      <c r="B912" s="4">
        <f>B911 * EXP(Risk_Analysis!D912)</f>
        <v>1.4669206040467895</v>
      </c>
      <c r="C912" s="4">
        <f>C911 * EXP(Risk_Analysis!E912)</f>
        <v>1.1873097260054439</v>
      </c>
    </row>
    <row r="913" spans="1:3" x14ac:dyDescent="0.25">
      <c r="A913" s="1">
        <f>Risk_Analysis!A913</f>
        <v>45506</v>
      </c>
      <c r="B913" s="4">
        <f>B912 * EXP(Risk_Analysis!D913)</f>
        <v>1.4396088283761515</v>
      </c>
      <c r="C913" s="4">
        <f>C912 * EXP(Risk_Analysis!E913)</f>
        <v>1.1892324947924973</v>
      </c>
    </row>
    <row r="914" spans="1:3" x14ac:dyDescent="0.25">
      <c r="A914" s="1">
        <f>Risk_Analysis!A914</f>
        <v>45509</v>
      </c>
      <c r="B914" s="4">
        <f>B913 * EXP(Risk_Analysis!D914)</f>
        <v>1.3976821460410083</v>
      </c>
      <c r="C914" s="4">
        <f>C913 * EXP(Risk_Analysis!E914)</f>
        <v>1.1578272712706259</v>
      </c>
    </row>
    <row r="915" spans="1:3" x14ac:dyDescent="0.25">
      <c r="A915" s="1">
        <f>Risk_Analysis!A915</f>
        <v>45510</v>
      </c>
      <c r="B915" s="4">
        <f>B914 * EXP(Risk_Analysis!D915)</f>
        <v>1.4105681173514872</v>
      </c>
      <c r="C915" s="4">
        <f>C914 * EXP(Risk_Analysis!E915)</f>
        <v>1.1676013459381471</v>
      </c>
    </row>
    <row r="916" spans="1:3" x14ac:dyDescent="0.25">
      <c r="A916" s="1">
        <f>Risk_Analysis!A916</f>
        <v>45511</v>
      </c>
      <c r="B916" s="4">
        <f>B915 * EXP(Risk_Analysis!D916)</f>
        <v>1.4011400167490613</v>
      </c>
      <c r="C916" s="4">
        <f>C915 * EXP(Risk_Analysis!E916)</f>
        <v>1.1741708059605793</v>
      </c>
    </row>
    <row r="917" spans="1:3" x14ac:dyDescent="0.25">
      <c r="A917" s="1">
        <f>Risk_Analysis!A917</f>
        <v>45512</v>
      </c>
      <c r="B917" s="4">
        <f>B916 * EXP(Risk_Analysis!D917)</f>
        <v>1.4335305400221519</v>
      </c>
      <c r="C917" s="4">
        <f>C916 * EXP(Risk_Analysis!E917)</f>
        <v>1.1754526518186148</v>
      </c>
    </row>
    <row r="918" spans="1:3" x14ac:dyDescent="0.25">
      <c r="A918" s="1">
        <f>Risk_Analysis!A918</f>
        <v>45513</v>
      </c>
      <c r="B918" s="4">
        <f>B917 * EXP(Risk_Analysis!D918)</f>
        <v>1.4398519599103117</v>
      </c>
      <c r="C918" s="4">
        <f>C917 * EXP(Risk_Analysis!E918)</f>
        <v>1.179458420124976</v>
      </c>
    </row>
    <row r="919" spans="1:3" x14ac:dyDescent="0.25">
      <c r="A919" s="1">
        <f>Risk_Analysis!A919</f>
        <v>45516</v>
      </c>
      <c r="B919" s="4">
        <f>B918 * EXP(Risk_Analysis!D919)</f>
        <v>1.4406083691276981</v>
      </c>
      <c r="C919" s="4">
        <f>C918 * EXP(Risk_Analysis!E919)</f>
        <v>1.1815414196442837</v>
      </c>
    </row>
    <row r="920" spans="1:3" x14ac:dyDescent="0.25">
      <c r="A920" s="1">
        <f>Risk_Analysis!A920</f>
        <v>45517</v>
      </c>
      <c r="B920" s="4">
        <f>B919 * EXP(Risk_Analysis!D920)</f>
        <v>1.4643001864008427</v>
      </c>
      <c r="C920" s="4">
        <f>C919 * EXP(Risk_Analysis!E920)</f>
        <v>1.1884313411312251</v>
      </c>
    </row>
    <row r="921" spans="1:3" x14ac:dyDescent="0.25">
      <c r="A921" s="1">
        <f>Risk_Analysis!A921</f>
        <v>45518</v>
      </c>
      <c r="B921" s="4">
        <f>B920 * EXP(Risk_Analysis!D921)</f>
        <v>1.4689196855498825</v>
      </c>
      <c r="C921" s="4">
        <f>C920 * EXP(Risk_Analysis!E921)</f>
        <v>1.1876301874699529</v>
      </c>
    </row>
    <row r="922" spans="1:3" x14ac:dyDescent="0.25">
      <c r="A922" s="1">
        <f>Risk_Analysis!A922</f>
        <v>45519</v>
      </c>
      <c r="B922" s="4">
        <f>B921 * EXP(Risk_Analysis!D922)</f>
        <v>1.494097306642894</v>
      </c>
      <c r="C922" s="4">
        <f>C921 * EXP(Risk_Analysis!E922)</f>
        <v>1.1874699567376983</v>
      </c>
    </row>
    <row r="923" spans="1:3" x14ac:dyDescent="0.25">
      <c r="A923" s="1">
        <f>Risk_Analysis!A923</f>
        <v>45520</v>
      </c>
      <c r="B923" s="4">
        <f>B922 * EXP(Risk_Analysis!D923)</f>
        <v>1.4974471188913203</v>
      </c>
      <c r="C923" s="4">
        <f>C922 * EXP(Risk_Analysis!E923)</f>
        <v>1.192757570902095</v>
      </c>
    </row>
    <row r="924" spans="1:3" x14ac:dyDescent="0.25">
      <c r="A924" s="1">
        <f>Risk_Analysis!A924</f>
        <v>45523</v>
      </c>
      <c r="B924" s="4">
        <f>B923 * EXP(Risk_Analysis!D924)</f>
        <v>1.5117648647918527</v>
      </c>
      <c r="C924" s="4">
        <f>C923 * EXP(Risk_Analysis!E924)</f>
        <v>1.2006088767825631</v>
      </c>
    </row>
    <row r="925" spans="1:3" x14ac:dyDescent="0.25">
      <c r="A925" s="1">
        <f>Risk_Analysis!A925</f>
        <v>45524</v>
      </c>
      <c r="B925" s="4">
        <f>B924 * EXP(Risk_Analysis!D925)</f>
        <v>1.5093065348353463</v>
      </c>
      <c r="C925" s="4">
        <f>C924 * EXP(Risk_Analysis!E925)</f>
        <v>1.1980451850664919</v>
      </c>
    </row>
    <row r="926" spans="1:3" x14ac:dyDescent="0.25">
      <c r="A926" s="1">
        <f>Risk_Analysis!A926</f>
        <v>45525</v>
      </c>
      <c r="B926" s="4">
        <f>B925 * EXP(Risk_Analysis!D926)</f>
        <v>1.5144933408974257</v>
      </c>
      <c r="C926" s="4">
        <f>C925 * EXP(Risk_Analysis!E926)</f>
        <v>1.2065374138759775</v>
      </c>
    </row>
    <row r="927" spans="1:3" x14ac:dyDescent="0.25">
      <c r="A927" s="1">
        <f>Risk_Analysis!A927</f>
        <v>45526</v>
      </c>
      <c r="B927" s="4">
        <f>B926 * EXP(Risk_Analysis!D927)</f>
        <v>1.5026069103384934</v>
      </c>
      <c r="C927" s="4">
        <f>C926 * EXP(Risk_Analysis!E927)</f>
        <v>1.2050953372856874</v>
      </c>
    </row>
    <row r="928" spans="1:3" x14ac:dyDescent="0.25">
      <c r="A928" s="1">
        <f>Risk_Analysis!A928</f>
        <v>45527</v>
      </c>
      <c r="B928" s="4">
        <f>B927 * EXP(Risk_Analysis!D928)</f>
        <v>1.5185725477483321</v>
      </c>
      <c r="C928" s="4">
        <f>C927 * EXP(Risk_Analysis!E928)</f>
        <v>1.208460182663031</v>
      </c>
    </row>
    <row r="929" spans="1:3" x14ac:dyDescent="0.25">
      <c r="A929" s="1">
        <f>Risk_Analysis!A929</f>
        <v>45530</v>
      </c>
      <c r="B929" s="4">
        <f>B928 * EXP(Risk_Analysis!D929)</f>
        <v>1.5149525893508389</v>
      </c>
      <c r="C929" s="4">
        <f>C928 * EXP(Risk_Analysis!E929)</f>
        <v>1.2163114885434987</v>
      </c>
    </row>
    <row r="930" spans="1:3" x14ac:dyDescent="0.25">
      <c r="A930" s="1">
        <f>Risk_Analysis!A930</f>
        <v>45531</v>
      </c>
      <c r="B930" s="4">
        <f>B929 * EXP(Risk_Analysis!D930)</f>
        <v>1.517032714698652</v>
      </c>
      <c r="C930" s="4">
        <f>C929 * EXP(Risk_Analysis!E930)</f>
        <v>1.206697644608232</v>
      </c>
    </row>
    <row r="931" spans="1:3" x14ac:dyDescent="0.25">
      <c r="A931" s="1">
        <f>Risk_Analysis!A931</f>
        <v>45532</v>
      </c>
      <c r="B931" s="4">
        <f>B930 * EXP(Risk_Analysis!D931)</f>
        <v>1.5082259502390793</v>
      </c>
      <c r="C931" s="4">
        <f>C930 * EXP(Risk_Analysis!E931)</f>
        <v>1.206697644608232</v>
      </c>
    </row>
    <row r="932" spans="1:3" x14ac:dyDescent="0.25">
      <c r="A932" s="1">
        <f>Risk_Analysis!A932</f>
        <v>45533</v>
      </c>
      <c r="B932" s="4">
        <f>B931 * EXP(Risk_Analysis!D932)</f>
        <v>1.5083610233136127</v>
      </c>
      <c r="C932" s="4">
        <f>C931 * EXP(Risk_Analysis!E932)</f>
        <v>1.2132671046306642</v>
      </c>
    </row>
    <row r="933" spans="1:3" x14ac:dyDescent="0.25">
      <c r="A933" s="1">
        <f>Risk_Analysis!A933</f>
        <v>45534</v>
      </c>
      <c r="B933" s="4">
        <f>B932 * EXP(Risk_Analysis!D933)</f>
        <v>1.5227598130588647</v>
      </c>
      <c r="C933" s="4">
        <f>C932 * EXP(Risk_Analysis!E933)</f>
        <v>1.2224002563691676</v>
      </c>
    </row>
    <row r="934" spans="1:3" x14ac:dyDescent="0.25">
      <c r="A934" s="1">
        <f>Risk_Analysis!A934</f>
        <v>45538</v>
      </c>
      <c r="B934" s="4">
        <f>B933 * EXP(Risk_Analysis!D934)</f>
        <v>1.491422859767134</v>
      </c>
      <c r="C934" s="4">
        <f>C933 * EXP(Risk_Analysis!E934)</f>
        <v>1.2206377183143686</v>
      </c>
    </row>
    <row r="935" spans="1:3" x14ac:dyDescent="0.25">
      <c r="A935" s="1">
        <f>Risk_Analysis!A935</f>
        <v>45539</v>
      </c>
      <c r="B935" s="4">
        <f>B934 * EXP(Risk_Analysis!D935)</f>
        <v>1.4883702082826809</v>
      </c>
      <c r="C935" s="4">
        <f>C934 * EXP(Risk_Analysis!E935)</f>
        <v>1.2310527159109073</v>
      </c>
    </row>
    <row r="936" spans="1:3" x14ac:dyDescent="0.25">
      <c r="A936" s="1">
        <f>Risk_Analysis!A936</f>
        <v>45540</v>
      </c>
      <c r="B936" s="4">
        <f>B935 * EXP(Risk_Analysis!D936)</f>
        <v>1.4847502498851879</v>
      </c>
      <c r="C936" s="4">
        <f>C935 * EXP(Risk_Analysis!E936)</f>
        <v>1.2280083319980728</v>
      </c>
    </row>
    <row r="937" spans="1:3" x14ac:dyDescent="0.25">
      <c r="A937" s="1">
        <f>Risk_Analysis!A937</f>
        <v>45541</v>
      </c>
      <c r="B937" s="4">
        <f>B936 * EXP(Risk_Analysis!D937)</f>
        <v>1.4597617310965232</v>
      </c>
      <c r="C937" s="4">
        <f>C936 * EXP(Risk_Analysis!E937)</f>
        <v>1.2163114885434982</v>
      </c>
    </row>
    <row r="938" spans="1:3" x14ac:dyDescent="0.25">
      <c r="A938" s="1">
        <f>Risk_Analysis!A938</f>
        <v>45544</v>
      </c>
      <c r="B938" s="4">
        <f>B937 * EXP(Risk_Analysis!D938)</f>
        <v>1.4761055731150552</v>
      </c>
      <c r="C938" s="4">
        <f>C937 * EXP(Risk_Analysis!E938)</f>
        <v>1.2286492549270909</v>
      </c>
    </row>
    <row r="939" spans="1:3" x14ac:dyDescent="0.25">
      <c r="A939" s="1">
        <f>Risk_Analysis!A939</f>
        <v>45545</v>
      </c>
      <c r="B939" s="4">
        <f>B938 * EXP(Risk_Analysis!D939)</f>
        <v>1.4825350514628413</v>
      </c>
      <c r="C939" s="4">
        <f>C938 * EXP(Risk_Analysis!E939)</f>
        <v>1.2344175612882511</v>
      </c>
    </row>
    <row r="940" spans="1:3" x14ac:dyDescent="0.25">
      <c r="A940" s="1">
        <f>Risk_Analysis!A940</f>
        <v>45546</v>
      </c>
      <c r="B940" s="4">
        <f>B939 * EXP(Risk_Analysis!D940)</f>
        <v>1.4977442796552936</v>
      </c>
      <c r="C940" s="4">
        <f>C939 * EXP(Risk_Analysis!E940)</f>
        <v>1.2382630988623577</v>
      </c>
    </row>
    <row r="941" spans="1:3" x14ac:dyDescent="0.25">
      <c r="A941" s="1">
        <f>Risk_Analysis!A941</f>
        <v>45547</v>
      </c>
      <c r="B941" s="4">
        <f>B940 * EXP(Risk_Analysis!D941)</f>
        <v>1.5103601048167061</v>
      </c>
      <c r="C941" s="4">
        <f>C940 * EXP(Risk_Analysis!E941)</f>
        <v>1.2409870213106833</v>
      </c>
    </row>
    <row r="942" spans="1:3" x14ac:dyDescent="0.25">
      <c r="A942" s="1">
        <f>Risk_Analysis!A942</f>
        <v>45548</v>
      </c>
      <c r="B942" s="4">
        <f>B941 * EXP(Risk_Analysis!D942)</f>
        <v>1.5182483723694522</v>
      </c>
      <c r="C942" s="4">
        <f>C941 * EXP(Risk_Analysis!E942)</f>
        <v>1.2584521711264181</v>
      </c>
    </row>
    <row r="943" spans="1:3" x14ac:dyDescent="0.25">
      <c r="A943" s="1">
        <f>Risk_Analysis!A943</f>
        <v>45551</v>
      </c>
      <c r="B943" s="4">
        <f>B942 * EXP(Risk_Analysis!D943)</f>
        <v>1.5204905854067052</v>
      </c>
      <c r="C943" s="4">
        <f>C942 * EXP(Risk_Analysis!E943)</f>
        <v>1.2680660150616847</v>
      </c>
    </row>
    <row r="944" spans="1:3" x14ac:dyDescent="0.25">
      <c r="A944" s="1">
        <f>Risk_Analysis!A944</f>
        <v>45552</v>
      </c>
      <c r="B944" s="4">
        <f>B943 * EXP(Risk_Analysis!D944)</f>
        <v>1.5211119215495585</v>
      </c>
      <c r="C944" s="4">
        <f>C943 * EXP(Risk_Analysis!E944)</f>
        <v>1.2671046306681579</v>
      </c>
    </row>
    <row r="945" spans="1:3" x14ac:dyDescent="0.25">
      <c r="A945" s="1">
        <f>Risk_Analysis!A945</f>
        <v>45553</v>
      </c>
      <c r="B945" s="4">
        <f>B944 * EXP(Risk_Analysis!D945)</f>
        <v>1.5166004808601454</v>
      </c>
      <c r="C945" s="4">
        <f>C944 * EXP(Risk_Analysis!E945)</f>
        <v>1.2574907867328913</v>
      </c>
    </row>
    <row r="946" spans="1:3" x14ac:dyDescent="0.25">
      <c r="A946" s="1">
        <f>Risk_Analysis!A946</f>
        <v>45554</v>
      </c>
      <c r="B946" s="4">
        <f>B945 * EXP(Risk_Analysis!D946)</f>
        <v>1.5424804819407301</v>
      </c>
      <c r="C946" s="4">
        <f>C945 * EXP(Risk_Analysis!E946)</f>
        <v>1.2501201730491867</v>
      </c>
    </row>
    <row r="947" spans="1:3" x14ac:dyDescent="0.25">
      <c r="A947" s="1">
        <f>Risk_Analysis!A947</f>
        <v>45555</v>
      </c>
      <c r="B947" s="4">
        <f>B946 * EXP(Risk_Analysis!D947)</f>
        <v>1.5351054920712106</v>
      </c>
      <c r="C947" s="4">
        <f>C946 * EXP(Risk_Analysis!E947)</f>
        <v>1.2831277038936024</v>
      </c>
    </row>
    <row r="948" spans="1:3" x14ac:dyDescent="0.25">
      <c r="A948" s="1">
        <f>Risk_Analysis!A948</f>
        <v>45558</v>
      </c>
      <c r="B948" s="4">
        <f>B947 * EXP(Risk_Analysis!D948)</f>
        <v>1.538941567387957</v>
      </c>
      <c r="C948" s="4">
        <f>C947 * EXP(Risk_Analysis!E948)</f>
        <v>1.2871334721999634</v>
      </c>
    </row>
    <row r="949" spans="1:3" x14ac:dyDescent="0.25">
      <c r="A949" s="1">
        <f>Risk_Analysis!A949</f>
        <v>45559</v>
      </c>
      <c r="B949" s="4">
        <f>B948 * EXP(Risk_Analysis!D949)</f>
        <v>1.5433449496177434</v>
      </c>
      <c r="C949" s="4">
        <f>C948 * EXP(Risk_Analysis!E949)</f>
        <v>1.2780003204614603</v>
      </c>
    </row>
    <row r="950" spans="1:3" x14ac:dyDescent="0.25">
      <c r="A950" s="1">
        <f>Risk_Analysis!A950</f>
        <v>45560</v>
      </c>
      <c r="B950" s="4">
        <f>B949 * EXP(Risk_Analysis!D950)</f>
        <v>1.5399411081395036</v>
      </c>
      <c r="C950" s="4">
        <f>C949 * EXP(Risk_Analysis!E950)</f>
        <v>1.284730011216147</v>
      </c>
    </row>
    <row r="951" spans="1:3" x14ac:dyDescent="0.25">
      <c r="A951" s="1">
        <f>Risk_Analysis!A951</f>
        <v>45561</v>
      </c>
      <c r="B951" s="4">
        <f>B950 * EXP(Risk_Analysis!D951)</f>
        <v>1.5460464111084098</v>
      </c>
      <c r="C951" s="4">
        <f>C950 * EXP(Risk_Analysis!E951)</f>
        <v>1.2759173209421524</v>
      </c>
    </row>
    <row r="952" spans="1:3" x14ac:dyDescent="0.25">
      <c r="A952" s="1">
        <f>Risk_Analysis!A952</f>
        <v>45562</v>
      </c>
      <c r="B952" s="4">
        <f>B951 * EXP(Risk_Analysis!D952)</f>
        <v>1.5438041980711568</v>
      </c>
      <c r="C952" s="4">
        <f>C951 * EXP(Risk_Analysis!E952)</f>
        <v>1.2885755487902537</v>
      </c>
    </row>
    <row r="953" spans="1:3" x14ac:dyDescent="0.25">
      <c r="A953" s="1">
        <f>Risk_Analysis!A953</f>
        <v>45565</v>
      </c>
      <c r="B953" s="4">
        <f>B952 * EXP(Risk_Analysis!D953)</f>
        <v>1.5499905448847831</v>
      </c>
      <c r="C953" s="4">
        <f>C952 * EXP(Risk_Analysis!E953)</f>
        <v>1.2943438551514137</v>
      </c>
    </row>
    <row r="954" spans="1:3" x14ac:dyDescent="0.25">
      <c r="A954" s="1">
        <f>Risk_Analysis!A954</f>
        <v>45566</v>
      </c>
      <c r="B954" s="4">
        <f>B953 * EXP(Risk_Analysis!D954)</f>
        <v>1.5361050328227575</v>
      </c>
      <c r="C954" s="4">
        <f>C953 * EXP(Risk_Analysis!E954)</f>
        <v>1.3047588527479528</v>
      </c>
    </row>
    <row r="955" spans="1:3" x14ac:dyDescent="0.25">
      <c r="A955" s="1">
        <f>Risk_Analysis!A955</f>
        <v>45567</v>
      </c>
      <c r="B955" s="4">
        <f>B954 * EXP(Risk_Analysis!D955)</f>
        <v>1.5367533835805174</v>
      </c>
      <c r="C955" s="4">
        <f>C954 * EXP(Risk_Analysis!E955)</f>
        <v>1.3053997756769704</v>
      </c>
    </row>
    <row r="956" spans="1:3" x14ac:dyDescent="0.25">
      <c r="A956" s="1">
        <f>Risk_Analysis!A956</f>
        <v>45568</v>
      </c>
      <c r="B956" s="4">
        <f>B955 * EXP(Risk_Analysis!D956)</f>
        <v>1.5339438636302243</v>
      </c>
      <c r="C956" s="4">
        <f>C955 * EXP(Risk_Analysis!E956)</f>
        <v>1.3049190834802071</v>
      </c>
    </row>
    <row r="957" spans="1:3" x14ac:dyDescent="0.25">
      <c r="A957" s="1">
        <f>Risk_Analysis!A957</f>
        <v>45569</v>
      </c>
      <c r="B957" s="4">
        <f>B956 * EXP(Risk_Analysis!D957)</f>
        <v>1.5478834049220629</v>
      </c>
      <c r="C957" s="4">
        <f>C956 * EXP(Risk_Analysis!E957)</f>
        <v>1.3028360839608994</v>
      </c>
    </row>
    <row r="958" spans="1:3" x14ac:dyDescent="0.25">
      <c r="A958" s="1">
        <f>Risk_Analysis!A958</f>
        <v>45572</v>
      </c>
      <c r="B958" s="4">
        <f>B957 * EXP(Risk_Analysis!D958)</f>
        <v>1.5338898344004104</v>
      </c>
      <c r="C958" s="4">
        <f>C957 * EXP(Risk_Analysis!E958)</f>
        <v>1.2728729370293179</v>
      </c>
    </row>
    <row r="959" spans="1:3" x14ac:dyDescent="0.25">
      <c r="A959" s="1">
        <f>Risk_Analysis!A959</f>
        <v>45573</v>
      </c>
      <c r="B959" s="4">
        <f>B958 * EXP(Risk_Analysis!D959)</f>
        <v>1.5483966826052891</v>
      </c>
      <c r="C959" s="4">
        <f>C958 * EXP(Risk_Analysis!E959)</f>
        <v>1.2735138599583358</v>
      </c>
    </row>
    <row r="960" spans="1:3" x14ac:dyDescent="0.25">
      <c r="A960" s="1">
        <f>Risk_Analysis!A960</f>
        <v>45574</v>
      </c>
      <c r="B960" s="4">
        <f>B959 * EXP(Risk_Analysis!D960)</f>
        <v>1.5591214847232349</v>
      </c>
      <c r="C960" s="4">
        <f>C959 * EXP(Risk_Analysis!E960)</f>
        <v>1.2626181701650334</v>
      </c>
    </row>
    <row r="961" spans="1:3" x14ac:dyDescent="0.25">
      <c r="A961" s="1">
        <f>Risk_Analysis!A961</f>
        <v>45575</v>
      </c>
      <c r="B961" s="4">
        <f>B960 * EXP(Risk_Analysis!D961)</f>
        <v>1.5563930086176618</v>
      </c>
      <c r="C961" s="4">
        <f>C960 * EXP(Risk_Analysis!E961)</f>
        <v>1.2587726325909268</v>
      </c>
    </row>
    <row r="962" spans="1:3" x14ac:dyDescent="0.25">
      <c r="A962" s="1">
        <f>Risk_Analysis!A962</f>
        <v>45576</v>
      </c>
      <c r="B962" s="4">
        <f>B961 * EXP(Risk_Analysis!D962)</f>
        <v>1.5657130507604611</v>
      </c>
      <c r="C962" s="4">
        <f>C961 * EXP(Risk_Analysis!E962)</f>
        <v>1.2698285531164835</v>
      </c>
    </row>
    <row r="963" spans="1:3" x14ac:dyDescent="0.25">
      <c r="A963" s="1">
        <f>Risk_Analysis!A963</f>
        <v>45579</v>
      </c>
      <c r="B963" s="4">
        <f>B962 * EXP(Risk_Analysis!D963)</f>
        <v>1.5785179782262202</v>
      </c>
      <c r="C963" s="4">
        <f>C962 * EXP(Risk_Analysis!E963)</f>
        <v>1.285851626341928</v>
      </c>
    </row>
    <row r="964" spans="1:3" x14ac:dyDescent="0.25">
      <c r="A964" s="1">
        <f>Risk_Analysis!A964</f>
        <v>45580</v>
      </c>
      <c r="B964" s="4">
        <f>B963 * EXP(Risk_Analysis!D964)</f>
        <v>1.5662533430585943</v>
      </c>
      <c r="C964" s="4">
        <f>C963 * EXP(Risk_Analysis!E964)</f>
        <v>1.2916199327030882</v>
      </c>
    </row>
    <row r="965" spans="1:3" x14ac:dyDescent="0.25">
      <c r="A965" s="1">
        <f>Risk_Analysis!A965</f>
        <v>45581</v>
      </c>
      <c r="B965" s="4">
        <f>B964 * EXP(Risk_Analysis!D965)</f>
        <v>1.5730610260150737</v>
      </c>
      <c r="C965" s="4">
        <f>C964 * EXP(Risk_Analysis!E965)</f>
        <v>1.3172568498637995</v>
      </c>
    </row>
    <row r="966" spans="1:3" x14ac:dyDescent="0.25">
      <c r="A966" s="1">
        <f>Risk_Analysis!A966</f>
        <v>45582</v>
      </c>
      <c r="B966" s="4">
        <f>B965 * EXP(Risk_Analysis!D966)</f>
        <v>1.5731960990896072</v>
      </c>
      <c r="C966" s="4">
        <f>C965 * EXP(Risk_Analysis!E966)</f>
        <v>1.3055600064092252</v>
      </c>
    </row>
    <row r="967" spans="1:3" x14ac:dyDescent="0.25">
      <c r="A967" s="1">
        <f>Risk_Analysis!A967</f>
        <v>45583</v>
      </c>
      <c r="B967" s="4">
        <f>B966 * EXP(Risk_Analysis!D967)</f>
        <v>1.5792473728287</v>
      </c>
      <c r="C967" s="4">
        <f>C966 * EXP(Risk_Analysis!E967)</f>
        <v>1.3130908508251842</v>
      </c>
    </row>
    <row r="968" spans="1:3" x14ac:dyDescent="0.25">
      <c r="A968" s="1">
        <f>Risk_Analysis!A968</f>
        <v>45586</v>
      </c>
      <c r="B968" s="4">
        <f>B967 * EXP(Risk_Analysis!D968)</f>
        <v>1.57665396979766</v>
      </c>
      <c r="C968" s="4">
        <f>C967 * EXP(Risk_Analysis!E968)</f>
        <v>1.3079634673930418</v>
      </c>
    </row>
    <row r="969" spans="1:3" x14ac:dyDescent="0.25">
      <c r="A969" s="1">
        <f>Risk_Analysis!A969</f>
        <v>45587</v>
      </c>
      <c r="B969" s="4">
        <f>B968 * EXP(Risk_Analysis!D969)</f>
        <v>1.5758165167355536</v>
      </c>
      <c r="C969" s="4">
        <f>C968 * EXP(Risk_Analysis!E969)</f>
        <v>1.3033167761576629</v>
      </c>
    </row>
    <row r="970" spans="1:3" x14ac:dyDescent="0.25">
      <c r="A970" s="1">
        <f>Risk_Analysis!A970</f>
        <v>45588</v>
      </c>
      <c r="B970" s="4">
        <f>B969 * EXP(Risk_Analysis!D970)</f>
        <v>1.5614177269903011</v>
      </c>
      <c r="C970" s="4">
        <f>C969 * EXP(Risk_Analysis!E970)</f>
        <v>1.3158147732735097</v>
      </c>
    </row>
    <row r="971" spans="1:3" x14ac:dyDescent="0.25">
      <c r="A971" s="1">
        <f>Risk_Analysis!A971</f>
        <v>45589</v>
      </c>
      <c r="B971" s="4">
        <f>B970 * EXP(Risk_Analysis!D971)</f>
        <v>1.5647945538536343</v>
      </c>
      <c r="C971" s="4">
        <f>C970 * EXP(Risk_Analysis!E971)</f>
        <v>1.3073225444640242</v>
      </c>
    </row>
    <row r="972" spans="1:3" x14ac:dyDescent="0.25">
      <c r="A972" s="1">
        <f>Risk_Analysis!A972</f>
        <v>45590</v>
      </c>
      <c r="B972" s="4">
        <f>B971 * EXP(Risk_Analysis!D972)</f>
        <v>1.5642542615555008</v>
      </c>
      <c r="C972" s="4">
        <f>C971 * EXP(Risk_Analysis!E972)</f>
        <v>1.2879346258612361</v>
      </c>
    </row>
    <row r="973" spans="1:3" x14ac:dyDescent="0.25">
      <c r="A973" s="1">
        <f>Risk_Analysis!A973</f>
        <v>45593</v>
      </c>
      <c r="B973" s="4">
        <f>B972 * EXP(Risk_Analysis!D973)</f>
        <v>1.569089877623794</v>
      </c>
      <c r="C973" s="4">
        <f>C972 * EXP(Risk_Analysis!E973)</f>
        <v>1.2980291619932662</v>
      </c>
    </row>
    <row r="974" spans="1:3" x14ac:dyDescent="0.25">
      <c r="A974" s="1">
        <f>Risk_Analysis!A974</f>
        <v>45594</v>
      </c>
      <c r="B974" s="4">
        <f>B973 * EXP(Risk_Analysis!D974)</f>
        <v>1.5716292514250205</v>
      </c>
      <c r="C974" s="4">
        <f>C973 * EXP(Risk_Analysis!E974)</f>
        <v>1.270309245313247</v>
      </c>
    </row>
    <row r="975" spans="1:3" x14ac:dyDescent="0.25">
      <c r="A975" s="1">
        <f>Risk_Analysis!A975</f>
        <v>45595</v>
      </c>
      <c r="B975" s="4">
        <f>B974 * EXP(Risk_Analysis!D975)</f>
        <v>1.5668746792014476</v>
      </c>
      <c r="C975" s="4">
        <f>C974 * EXP(Risk_Analysis!E975)</f>
        <v>1.2672648614004125</v>
      </c>
    </row>
    <row r="976" spans="1:3" x14ac:dyDescent="0.25">
      <c r="A976" s="1">
        <f>Risk_Analysis!A976</f>
        <v>45596</v>
      </c>
      <c r="B976" s="4">
        <f>B975 * EXP(Risk_Analysis!D976)</f>
        <v>1.53615906205257</v>
      </c>
      <c r="C976" s="4">
        <f>C975 * EXP(Risk_Analysis!E976)</f>
        <v>1.2804037814452771</v>
      </c>
    </row>
    <row r="977" spans="1:3" x14ac:dyDescent="0.25">
      <c r="A977" s="1">
        <f>Risk_Analysis!A977</f>
        <v>45597</v>
      </c>
      <c r="B977" s="4">
        <f>B976 * EXP(Risk_Analysis!D977)</f>
        <v>1.5426425696301695</v>
      </c>
      <c r="C977" s="4">
        <f>C976 * EXP(Risk_Analysis!E977)</f>
        <v>1.2518827111039856</v>
      </c>
    </row>
    <row r="978" spans="1:3" x14ac:dyDescent="0.25">
      <c r="A978" s="1">
        <f>Risk_Analysis!A978</f>
        <v>45600</v>
      </c>
      <c r="B978" s="4">
        <f>B977 * EXP(Risk_Analysis!D978)</f>
        <v>1.5393197719966498</v>
      </c>
      <c r="C978" s="4">
        <f>C977 * EXP(Risk_Analysis!E978)</f>
        <v>1.2369812530043223</v>
      </c>
    </row>
    <row r="979" spans="1:3" x14ac:dyDescent="0.25">
      <c r="A979" s="1">
        <f>Risk_Analysis!A979</f>
        <v>45601</v>
      </c>
      <c r="B979" s="4">
        <f>B978 * EXP(Risk_Analysis!D979)</f>
        <v>1.5579328416673419</v>
      </c>
      <c r="C979" s="4">
        <f>C978 * EXP(Risk_Analysis!E979)</f>
        <v>1.2555680179458379</v>
      </c>
    </row>
    <row r="980" spans="1:3" x14ac:dyDescent="0.25">
      <c r="A980" s="1">
        <f>Risk_Analysis!A980</f>
        <v>45602</v>
      </c>
      <c r="B980" s="4">
        <f>B979 * EXP(Risk_Analysis!D980)</f>
        <v>1.5966717994434987</v>
      </c>
      <c r="C980" s="4">
        <f>C979 * EXP(Risk_Analysis!E980)</f>
        <v>1.2425893286332277</v>
      </c>
    </row>
    <row r="981" spans="1:3" x14ac:dyDescent="0.25">
      <c r="A981" s="1">
        <f>Risk_Analysis!A981</f>
        <v>45603</v>
      </c>
      <c r="B981" s="4">
        <f>B980 * EXP(Risk_Analysis!D981)</f>
        <v>1.6090174784558444</v>
      </c>
      <c r="C981" s="4">
        <f>C980 * EXP(Risk_Analysis!E981)</f>
        <v>1.2448325588847899</v>
      </c>
    </row>
    <row r="982" spans="1:3" x14ac:dyDescent="0.25">
      <c r="A982" s="1">
        <f>Risk_Analysis!A982</f>
        <v>45604</v>
      </c>
      <c r="B982" s="4">
        <f>B981 * EXP(Risk_Analysis!D982)</f>
        <v>1.6159872491017642</v>
      </c>
      <c r="C982" s="4">
        <f>C981 * EXP(Risk_Analysis!E982)</f>
        <v>1.2687069379907026</v>
      </c>
    </row>
    <row r="983" spans="1:3" x14ac:dyDescent="0.25">
      <c r="A983" s="1">
        <f>Risk_Analysis!A983</f>
        <v>45607</v>
      </c>
      <c r="B983" s="4">
        <f>B982 * EXP(Risk_Analysis!D983)</f>
        <v>1.617527082151444</v>
      </c>
      <c r="C983" s="4">
        <f>C982 * EXP(Risk_Analysis!E983)</f>
        <v>1.2722320141003003</v>
      </c>
    </row>
    <row r="984" spans="1:3" x14ac:dyDescent="0.25">
      <c r="A984" s="1">
        <f>Risk_Analysis!A984</f>
        <v>45608</v>
      </c>
      <c r="B984" s="4">
        <f>B983 * EXP(Risk_Analysis!D984)</f>
        <v>1.6125023637788043</v>
      </c>
      <c r="C984" s="4">
        <f>C983 * EXP(Risk_Analysis!E984)</f>
        <v>1.2576510174651456</v>
      </c>
    </row>
    <row r="985" spans="1:3" x14ac:dyDescent="0.25">
      <c r="A985" s="1">
        <f>Risk_Analysis!A985</f>
        <v>45609</v>
      </c>
      <c r="B985" s="4">
        <f>B984 * EXP(Risk_Analysis!D985)</f>
        <v>1.6132857876110978</v>
      </c>
      <c r="C985" s="4">
        <f>C984 * EXP(Risk_Analysis!E985)</f>
        <v>1.2554077872135834</v>
      </c>
    </row>
    <row r="986" spans="1:3" x14ac:dyDescent="0.25">
      <c r="A986" s="1">
        <f>Risk_Analysis!A986</f>
        <v>45610</v>
      </c>
      <c r="B986" s="4">
        <f>B985 * EXP(Risk_Analysis!D986)</f>
        <v>1.6029121754869384</v>
      </c>
      <c r="C986" s="4">
        <f>C985 * EXP(Risk_Analysis!E986)</f>
        <v>1.2510815574427134</v>
      </c>
    </row>
    <row r="987" spans="1:3" x14ac:dyDescent="0.25">
      <c r="A987" s="1">
        <f>Risk_Analysis!A987</f>
        <v>45611</v>
      </c>
      <c r="B987" s="4">
        <f>B986 * EXP(Risk_Analysis!D987)</f>
        <v>1.5823810681578734</v>
      </c>
      <c r="C987" s="4">
        <f>C986 * EXP(Risk_Analysis!E987)</f>
        <v>1.2698285531164837</v>
      </c>
    </row>
    <row r="988" spans="1:3" x14ac:dyDescent="0.25">
      <c r="A988" s="1">
        <f>Risk_Analysis!A988</f>
        <v>45614</v>
      </c>
      <c r="B988" s="4">
        <f>B987 * EXP(Risk_Analysis!D988)</f>
        <v>1.5888645757354727</v>
      </c>
      <c r="C988" s="4">
        <f>C987 * EXP(Risk_Analysis!E988)</f>
        <v>1.2808844736420404</v>
      </c>
    </row>
    <row r="989" spans="1:3" x14ac:dyDescent="0.25">
      <c r="A989" s="1">
        <f>Risk_Analysis!A989</f>
        <v>45615</v>
      </c>
      <c r="B989" s="4">
        <f>B988 * EXP(Risk_Analysis!D989)</f>
        <v>1.5946727179404054</v>
      </c>
      <c r="C989" s="4">
        <f>C988 * EXP(Risk_Analysis!E989)</f>
        <v>1.2890562409870172</v>
      </c>
    </row>
    <row r="990" spans="1:3" x14ac:dyDescent="0.25">
      <c r="A990" s="1">
        <f>Risk_Analysis!A990</f>
        <v>45616</v>
      </c>
      <c r="B990" s="4">
        <f>B989 * EXP(Risk_Analysis!D990)</f>
        <v>1.5952130102385387</v>
      </c>
      <c r="C990" s="4">
        <f>C989 * EXP(Risk_Analysis!E990)</f>
        <v>1.2896971639160348</v>
      </c>
    </row>
    <row r="991" spans="1:3" x14ac:dyDescent="0.25">
      <c r="A991" s="1">
        <f>Risk_Analysis!A991</f>
        <v>45617</v>
      </c>
      <c r="B991" s="4">
        <f>B990 * EXP(Risk_Analysis!D991)</f>
        <v>1.6037766431639513</v>
      </c>
      <c r="C991" s="4">
        <f>C990 * EXP(Risk_Analysis!E991)</f>
        <v>1.3121294664316574</v>
      </c>
    </row>
    <row r="992" spans="1:3" x14ac:dyDescent="0.25">
      <c r="A992" s="1">
        <f>Risk_Analysis!A992</f>
        <v>45618</v>
      </c>
      <c r="B992" s="4">
        <f>B991 * EXP(Risk_Analysis!D992)</f>
        <v>1.6087473323067776</v>
      </c>
      <c r="C992" s="4">
        <f>C991 * EXP(Risk_Analysis!E992)</f>
        <v>1.3050793142124617</v>
      </c>
    </row>
    <row r="993" spans="1:3" x14ac:dyDescent="0.25">
      <c r="A993" s="1">
        <f>Risk_Analysis!A993</f>
        <v>45621</v>
      </c>
      <c r="B993" s="4">
        <f>B992 * EXP(Risk_Analysis!D993)</f>
        <v>1.6142042845179236</v>
      </c>
      <c r="C993" s="4">
        <f>C992 * EXP(Risk_Analysis!E993)</f>
        <v>1.3074827751962783</v>
      </c>
    </row>
    <row r="994" spans="1:3" x14ac:dyDescent="0.25">
      <c r="A994" s="1">
        <f>Risk_Analysis!A994</f>
        <v>45622</v>
      </c>
      <c r="B994" s="4">
        <f>B993 * EXP(Risk_Analysis!D994)</f>
        <v>1.6226328443688027</v>
      </c>
      <c r="C994" s="4">
        <f>C993 * EXP(Risk_Analysis!E994)</f>
        <v>1.3283127703893565</v>
      </c>
    </row>
    <row r="995" spans="1:3" x14ac:dyDescent="0.25">
      <c r="A995" s="1">
        <f>Risk_Analysis!A995</f>
        <v>45623</v>
      </c>
      <c r="B995" s="4">
        <f>B994 * EXP(Risk_Analysis!D995)</f>
        <v>1.6177161844557899</v>
      </c>
      <c r="C995" s="4">
        <f>C994 * EXP(Risk_Analysis!E995)</f>
        <v>1.3283127703893565</v>
      </c>
    </row>
    <row r="996" spans="1:3" x14ac:dyDescent="0.25">
      <c r="A996" s="1">
        <f>Risk_Analysis!A996</f>
        <v>45625</v>
      </c>
      <c r="B996" s="4">
        <f>B995 * EXP(Risk_Analysis!D996)</f>
        <v>1.6277656212010687</v>
      </c>
      <c r="C996" s="4">
        <f>C995 * EXP(Risk_Analysis!E996)</f>
        <v>1.32879346258612</v>
      </c>
    </row>
    <row r="997" spans="1:3" x14ac:dyDescent="0.25">
      <c r="A997" s="1">
        <f>Risk_Analysis!A997</f>
        <v>45628</v>
      </c>
      <c r="B997" s="4">
        <f>B996 * EXP(Risk_Analysis!D997)</f>
        <v>1.6306831996109885</v>
      </c>
      <c r="C997" s="4">
        <f>C996 * EXP(Risk_Analysis!E997)</f>
        <v>1.3002723922448285</v>
      </c>
    </row>
    <row r="998" spans="1:3" x14ac:dyDescent="0.25">
      <c r="A998" s="1">
        <f>Risk_Analysis!A998</f>
        <v>45629</v>
      </c>
      <c r="B998" s="4">
        <f>B997 * EXP(Risk_Analysis!D998)</f>
        <v>1.6314396088283751</v>
      </c>
      <c r="C998" s="4">
        <f>C997 * EXP(Risk_Analysis!E998)</f>
        <v>1.2890562409870172</v>
      </c>
    </row>
    <row r="999" spans="1:3" x14ac:dyDescent="0.25">
      <c r="A999" s="1">
        <f>Risk_Analysis!A999</f>
        <v>45630</v>
      </c>
      <c r="B999" s="4">
        <f>B998 * EXP(Risk_Analysis!D999)</f>
        <v>1.6415700894183742</v>
      </c>
      <c r="C999" s="4">
        <f>C998 * EXP(Risk_Analysis!E999)</f>
        <v>1.2888960102547626</v>
      </c>
    </row>
    <row r="1000" spans="1:3" x14ac:dyDescent="0.25">
      <c r="A1000" s="1">
        <f>Risk_Analysis!A1000</f>
        <v>45631</v>
      </c>
      <c r="B1000" s="4">
        <f>B999 * EXP(Risk_Analysis!D1000)</f>
        <v>1.6388686279277078</v>
      </c>
      <c r="C1000" s="4">
        <f>C999 * EXP(Risk_Analysis!E1000)</f>
        <v>1.2929017785611239</v>
      </c>
    </row>
    <row r="1001" spans="1:3" x14ac:dyDescent="0.25">
      <c r="A1001" s="1">
        <f>Risk_Analysis!A1001</f>
        <v>45632</v>
      </c>
      <c r="B1001" s="4">
        <f>B1000 * EXP(Risk_Analysis!D1001)</f>
        <v>1.6419753086419744</v>
      </c>
      <c r="C1001" s="4">
        <f>C1000 * EXP(Risk_Analysis!E1001)</f>
        <v>1.2768787053356794</v>
      </c>
    </row>
    <row r="1002" spans="1:3" x14ac:dyDescent="0.25">
      <c r="A1002" s="1">
        <f>Risk_Analysis!A1002</f>
        <v>45635</v>
      </c>
      <c r="B1002" s="4">
        <f>B1001 * EXP(Risk_Analysis!D1002)</f>
        <v>1.6335197341761885</v>
      </c>
      <c r="C1002" s="4">
        <f>C1001 * EXP(Risk_Analysis!E1002)</f>
        <v>1.2608556321102349</v>
      </c>
    </row>
    <row r="1003" spans="1:3" x14ac:dyDescent="0.25">
      <c r="A1003" s="1">
        <f>Risk_Analysis!A1003</f>
        <v>45636</v>
      </c>
      <c r="B1003" s="4">
        <f>B1002 * EXP(Risk_Analysis!D1003)</f>
        <v>1.6284409865737355</v>
      </c>
      <c r="C1003" s="4">
        <f>C1002 * EXP(Risk_Analysis!E1003)</f>
        <v>1.2517224803717317</v>
      </c>
    </row>
    <row r="1004" spans="1:3" x14ac:dyDescent="0.25">
      <c r="A1004" s="1">
        <f>Risk_Analysis!A1004</f>
        <v>45637</v>
      </c>
      <c r="B1004" s="4">
        <f>B1003 * EXP(Risk_Analysis!D1004)</f>
        <v>1.6410297971202412</v>
      </c>
      <c r="C1004" s="4">
        <f>C1003 * EXP(Risk_Analysis!E1004)</f>
        <v>1.2438711744912636</v>
      </c>
    </row>
    <row r="1005" spans="1:3" x14ac:dyDescent="0.25">
      <c r="A1005" s="1">
        <f>Risk_Analysis!A1005</f>
        <v>45638</v>
      </c>
      <c r="B1005" s="4">
        <f>B1004 * EXP(Risk_Analysis!D1005)</f>
        <v>1.6325742226544553</v>
      </c>
      <c r="C1005" s="4">
        <f>C1004 * EXP(Risk_Analysis!E1005)</f>
        <v>1.243230251562246</v>
      </c>
    </row>
    <row r="1006" spans="1:3" x14ac:dyDescent="0.25">
      <c r="A1006" s="1">
        <f>Risk_Analysis!A1006</f>
        <v>45639</v>
      </c>
      <c r="B1006" s="4">
        <f>B1005 * EXP(Risk_Analysis!D1006)</f>
        <v>1.6322500472755752</v>
      </c>
      <c r="C1006" s="4">
        <f>C1005 * EXP(Risk_Analysis!E1006)</f>
        <v>1.2440314052235182</v>
      </c>
    </row>
    <row r="1007" spans="1:3" x14ac:dyDescent="0.25">
      <c r="A1007" s="1">
        <f>Risk_Analysis!A1007</f>
        <v>45642</v>
      </c>
      <c r="B1007" s="4">
        <f>B1006 * EXP(Risk_Analysis!D1007)</f>
        <v>1.6392198179214943</v>
      </c>
      <c r="C1007" s="4">
        <f>C1006 * EXP(Risk_Analysis!E1007)</f>
        <v>1.2340970998237424</v>
      </c>
    </row>
    <row r="1008" spans="1:3" x14ac:dyDescent="0.25">
      <c r="A1008" s="1">
        <f>Risk_Analysis!A1008</f>
        <v>45643</v>
      </c>
      <c r="B1008" s="4">
        <f>B1007 * EXP(Risk_Analysis!D1008)</f>
        <v>1.6324661641948282</v>
      </c>
      <c r="C1008" s="4">
        <f>C1007 * EXP(Risk_Analysis!E1008)</f>
        <v>1.2289697163916002</v>
      </c>
    </row>
    <row r="1009" spans="1:3" x14ac:dyDescent="0.25">
      <c r="A1009" s="1">
        <f>Risk_Analysis!A1009</f>
        <v>45644</v>
      </c>
      <c r="B1009" s="4">
        <f>B1008 * EXP(Risk_Analysis!D1009)</f>
        <v>1.5838128427479254</v>
      </c>
      <c r="C1009" s="4">
        <f>C1008 * EXP(Risk_Analysis!E1009)</f>
        <v>1.1999679538535455</v>
      </c>
    </row>
    <row r="1010" spans="1:3" x14ac:dyDescent="0.25">
      <c r="A1010" s="1">
        <f>Risk_Analysis!A1010</f>
        <v>45645</v>
      </c>
      <c r="B1010" s="4">
        <f>B1009 * EXP(Risk_Analysis!D1010)</f>
        <v>1.5833265796796057</v>
      </c>
      <c r="C1010" s="4">
        <f>C1009 * EXP(Risk_Analysis!E1010)</f>
        <v>1.2054157987501966</v>
      </c>
    </row>
    <row r="1011" spans="1:3" x14ac:dyDescent="0.25">
      <c r="A1011" s="1">
        <f>Risk_Analysis!A1011</f>
        <v>45646</v>
      </c>
      <c r="B1011" s="4">
        <f>B1010 * EXP(Risk_Analysis!D1011)</f>
        <v>1.596968960207471</v>
      </c>
      <c r="C1011" s="4">
        <f>C1010 * EXP(Risk_Analysis!E1011)</f>
        <v>1.2246434866207301</v>
      </c>
    </row>
    <row r="1012" spans="1:3" x14ac:dyDescent="0.25">
      <c r="A1012" s="1">
        <f>Risk_Analysis!A1012</f>
        <v>45649</v>
      </c>
      <c r="B1012" s="4">
        <f>B1011 * EXP(Risk_Analysis!D1012)</f>
        <v>1.6065321338844303</v>
      </c>
      <c r="C1012" s="4">
        <f>C1011 * EXP(Risk_Analysis!E1012)</f>
        <v>1.2187149495273155</v>
      </c>
    </row>
    <row r="1013" spans="1:3" x14ac:dyDescent="0.25">
      <c r="A1013" s="1">
        <f>Risk_Analysis!A1013</f>
        <v>45650</v>
      </c>
      <c r="B1013" s="4">
        <f>B1012 * EXP(Risk_Analysis!D1013)</f>
        <v>1.6243887943377353</v>
      </c>
      <c r="C1013" s="4">
        <f>C1012 * EXP(Risk_Analysis!E1013)</f>
        <v>1.2254446402820023</v>
      </c>
    </row>
    <row r="1014" spans="1:3" x14ac:dyDescent="0.25">
      <c r="A1014" s="1">
        <f>Risk_Analysis!A1014</f>
        <v>45652</v>
      </c>
      <c r="B1014" s="4">
        <f>B1013 * EXP(Risk_Analysis!D1014)</f>
        <v>1.6244968527973622</v>
      </c>
      <c r="C1014" s="4">
        <f>C1013 * EXP(Risk_Analysis!E1014)</f>
        <v>1.2225604871014222</v>
      </c>
    </row>
    <row r="1015" spans="1:3" x14ac:dyDescent="0.25">
      <c r="A1015" s="1">
        <f>Risk_Analysis!A1015</f>
        <v>45653</v>
      </c>
      <c r="B1015" s="4">
        <f>B1014 * EXP(Risk_Analysis!D1015)</f>
        <v>1.6073966015614434</v>
      </c>
      <c r="C1015" s="4">
        <f>C1014 * EXP(Risk_Analysis!E1015)</f>
        <v>1.2190354109918244</v>
      </c>
    </row>
    <row r="1016" spans="1:3" x14ac:dyDescent="0.25">
      <c r="A1016" s="1">
        <f>Risk_Analysis!A1016</f>
        <v>45656</v>
      </c>
      <c r="B1016" s="4">
        <f>B1015 * EXP(Risk_Analysis!D1016)</f>
        <v>1.5890536780398183</v>
      </c>
      <c r="C1016" s="4">
        <f>C1015 * EXP(Risk_Analysis!E1016)</f>
        <v>1.2139080275596823</v>
      </c>
    </row>
    <row r="1017" spans="1:3" x14ac:dyDescent="0.25">
      <c r="A1017" s="1">
        <f>Risk_Analysis!A1017</f>
        <v>45657</v>
      </c>
      <c r="B1017" s="4">
        <f>B1016 * EXP(Risk_Analysis!D1017)</f>
        <v>1.5832725504497922</v>
      </c>
      <c r="C1017" s="4">
        <f>C1016 * EXP(Risk_Analysis!E1017)</f>
        <v>1.2127864124339012</v>
      </c>
    </row>
    <row r="1018" spans="1:3" x14ac:dyDescent="0.25">
      <c r="A1018" s="1">
        <f>Risk_Analysis!A1018</f>
        <v>45659</v>
      </c>
      <c r="B1018" s="4">
        <f>B1017 * EXP(Risk_Analysis!D1018)</f>
        <v>1.5793824459032324</v>
      </c>
      <c r="C1018" s="4">
        <f>C1017 * EXP(Risk_Analysis!E1018)</f>
        <v>1.2220797949046591</v>
      </c>
    </row>
    <row r="1019" spans="1:3" x14ac:dyDescent="0.25">
      <c r="A1019" s="1">
        <f>Risk_Analysis!A1019</f>
        <v>45660</v>
      </c>
      <c r="B1019" s="4">
        <f>B1018 * EXP(Risk_Analysis!D1019)</f>
        <v>1.5991301294000044</v>
      </c>
      <c r="C1019" s="4">
        <f>C1018 * EXP(Risk_Analysis!E1019)</f>
        <v>1.2350584842172694</v>
      </c>
    </row>
    <row r="1020" spans="1:3" x14ac:dyDescent="0.25">
      <c r="A1020" s="1">
        <f>Risk_Analysis!A1020</f>
        <v>45663</v>
      </c>
      <c r="B1020" s="4">
        <f>B1019 * EXP(Risk_Analysis!D1020)</f>
        <v>1.6083421130831768</v>
      </c>
      <c r="C1020" s="4">
        <f>C1019 * EXP(Risk_Analysis!E1020)</f>
        <v>1.2212786412433871</v>
      </c>
    </row>
    <row r="1021" spans="1:3" x14ac:dyDescent="0.25">
      <c r="A1021" s="1">
        <f>Risk_Analysis!A1021</f>
        <v>45664</v>
      </c>
      <c r="B1021" s="4">
        <f>B1020 * EXP(Risk_Analysis!D1021)</f>
        <v>1.5901612772509914</v>
      </c>
      <c r="C1021" s="4">
        <f>C1020 * EXP(Risk_Analysis!E1021)</f>
        <v>1.2182342573305527</v>
      </c>
    </row>
    <row r="1022" spans="1:3" x14ac:dyDescent="0.25">
      <c r="A1022" s="1">
        <f>Risk_Analysis!A1022</f>
        <v>45665</v>
      </c>
      <c r="B1022" s="4">
        <f>B1021 * EXP(Risk_Analysis!D1022)</f>
        <v>1.5924845341329645</v>
      </c>
      <c r="C1022" s="4">
        <f>C1021 * EXP(Risk_Analysis!E1022)</f>
        <v>1.217913795866044</v>
      </c>
    </row>
    <row r="1023" spans="1:3" x14ac:dyDescent="0.25">
      <c r="A1023" s="1">
        <f>Risk_Analysis!A1023</f>
        <v>45667</v>
      </c>
      <c r="B1023" s="4">
        <f>B1022 * EXP(Risk_Analysis!D1023)</f>
        <v>1.5681713807169664</v>
      </c>
      <c r="C1023" s="4">
        <f>C1022 * EXP(Risk_Analysis!E1023)</f>
        <v>1.2110238743791026</v>
      </c>
    </row>
    <row r="1024" spans="1:3" x14ac:dyDescent="0.25">
      <c r="A1024" s="1">
        <f>Risk_Analysis!A1024</f>
        <v>45670</v>
      </c>
      <c r="B1024" s="4">
        <f>B1023 * EXP(Risk_Analysis!D1024)</f>
        <v>1.570602696058566</v>
      </c>
      <c r="C1024" s="4">
        <f>C1023 * EXP(Risk_Analysis!E1024)</f>
        <v>1.1969235699407115</v>
      </c>
    </row>
    <row r="1025" spans="1:3" x14ac:dyDescent="0.25">
      <c r="A1025" s="1">
        <f>Risk_Analysis!A1025</f>
        <v>45671</v>
      </c>
      <c r="B1025" s="4">
        <f>B1024 * EXP(Risk_Analysis!D1025)</f>
        <v>1.5727638652510991</v>
      </c>
      <c r="C1025" s="4">
        <f>C1024 * EXP(Risk_Analysis!E1025)</f>
        <v>1.2126261817016473</v>
      </c>
    </row>
    <row r="1026" spans="1:3" x14ac:dyDescent="0.25">
      <c r="A1026" s="1">
        <f>Risk_Analysis!A1026</f>
        <v>45672</v>
      </c>
      <c r="B1026" s="4">
        <f>B1025 * EXP(Risk_Analysis!D1026)</f>
        <v>1.6013723424372563</v>
      </c>
      <c r="C1026" s="4">
        <f>C1025 * EXP(Risk_Analysis!E1026)</f>
        <v>1.230411792981891</v>
      </c>
    </row>
    <row r="1027" spans="1:3" x14ac:dyDescent="0.25">
      <c r="A1027" s="1">
        <f>Risk_Analysis!A1027</f>
        <v>45673</v>
      </c>
      <c r="B1027" s="4">
        <f>B1026 * EXP(Risk_Analysis!D1027)</f>
        <v>1.5982926763378966</v>
      </c>
      <c r="C1027" s="4">
        <f>C1026 * EXP(Risk_Analysis!E1027)</f>
        <v>1.2614965550392534</v>
      </c>
    </row>
    <row r="1028" spans="1:3" x14ac:dyDescent="0.25">
      <c r="A1028" s="1">
        <f>Risk_Analysis!A1028</f>
        <v>45674</v>
      </c>
      <c r="B1028" s="4">
        <f>B1027 * EXP(Risk_Analysis!D1028)</f>
        <v>1.6143393575924554</v>
      </c>
      <c r="C1028" s="4">
        <f>C1027 * EXP(Risk_Analysis!E1028)</f>
        <v>1.2632590930940524</v>
      </c>
    </row>
    <row r="1029" spans="1:3" x14ac:dyDescent="0.25">
      <c r="A1029" s="1">
        <f>Risk_Analysis!A1029</f>
        <v>45678</v>
      </c>
      <c r="B1029" s="4">
        <f>B1028 * EXP(Risk_Analysis!D1029)</f>
        <v>1.6291163519464005</v>
      </c>
      <c r="C1029" s="4">
        <f>C1028 * EXP(Risk_Analysis!E1029)</f>
        <v>1.28264701169684</v>
      </c>
    </row>
    <row r="1030" spans="1:3" x14ac:dyDescent="0.25">
      <c r="A1030" s="1">
        <f>Risk_Analysis!A1030</f>
        <v>45679</v>
      </c>
      <c r="B1030" s="4">
        <f>B1029 * EXP(Risk_Analysis!D1030)</f>
        <v>1.63827430639976</v>
      </c>
      <c r="C1030" s="4">
        <f>C1029 * EXP(Risk_Analysis!E1030)</f>
        <v>1.2549270950168208</v>
      </c>
    </row>
    <row r="1031" spans="1:3" x14ac:dyDescent="0.25">
      <c r="A1031" s="1">
        <f>Risk_Analysis!A1031</f>
        <v>45680</v>
      </c>
      <c r="B1031" s="4">
        <f>B1030 * EXP(Risk_Analysis!D1031)</f>
        <v>1.647216143933866</v>
      </c>
      <c r="C1031" s="4">
        <f>C1030 * EXP(Risk_Analysis!E1031)</f>
        <v>1.2608556321102353</v>
      </c>
    </row>
    <row r="1032" spans="1:3" x14ac:dyDescent="0.25">
      <c r="A1032" s="1">
        <f>Risk_Analysis!A1032</f>
        <v>45681</v>
      </c>
      <c r="B1032" s="4">
        <f>B1031 * EXP(Risk_Analysis!D1032)</f>
        <v>1.6424075424804796</v>
      </c>
      <c r="C1032" s="4">
        <f>C1031 * EXP(Risk_Analysis!E1032)</f>
        <v>1.2736740906905908</v>
      </c>
    </row>
    <row r="1033" spans="1:3" x14ac:dyDescent="0.25">
      <c r="A1033" s="1">
        <f>Risk_Analysis!A1033</f>
        <v>45684</v>
      </c>
      <c r="B1033" s="4">
        <f>B1032 * EXP(Risk_Analysis!D1033)</f>
        <v>1.6191749736607481</v>
      </c>
      <c r="C1033" s="4">
        <f>C1032 * EXP(Risk_Analysis!E1033)</f>
        <v>1.244191635955773</v>
      </c>
    </row>
    <row r="1034" spans="1:3" x14ac:dyDescent="0.25">
      <c r="A1034" s="1">
        <f>Risk_Analysis!A1034</f>
        <v>45685</v>
      </c>
      <c r="B1034" s="4">
        <f>B1033 * EXP(Risk_Analysis!D1034)</f>
        <v>1.6330875003376804</v>
      </c>
      <c r="C1034" s="4">
        <f>C1033 * EXP(Risk_Analysis!E1034)</f>
        <v>1.2270469476045471</v>
      </c>
    </row>
    <row r="1035" spans="1:3" x14ac:dyDescent="0.25">
      <c r="A1035" s="1">
        <f>Risk_Analysis!A1035</f>
        <v>45686</v>
      </c>
      <c r="B1035" s="4">
        <f>B1034 * EXP(Risk_Analysis!D1035)</f>
        <v>1.6257665396979741</v>
      </c>
      <c r="C1035" s="4">
        <f>C1034 * EXP(Risk_Analysis!E1035)</f>
        <v>1.2296106393206183</v>
      </c>
    </row>
    <row r="1036" spans="1:3" x14ac:dyDescent="0.25">
      <c r="A1036" s="1">
        <f>Risk_Analysis!A1036</f>
        <v>45687</v>
      </c>
      <c r="B1036" s="4">
        <f>B1035 * EXP(Risk_Analysis!D1036)</f>
        <v>1.6344922603128269</v>
      </c>
      <c r="C1036" s="4">
        <f>C1035 * EXP(Risk_Analysis!E1036)</f>
        <v>1.2552475564813299</v>
      </c>
    </row>
    <row r="1037" spans="1:3" x14ac:dyDescent="0.25">
      <c r="A1037" s="1">
        <f>Risk_Analysis!A1037</f>
        <v>45688</v>
      </c>
      <c r="B1037" s="4">
        <f>B1036 * EXP(Risk_Analysis!D1037)</f>
        <v>1.6257935543128812</v>
      </c>
      <c r="C1037" s="4">
        <f>C1036 * EXP(Risk_Analysis!E1037)</f>
        <v>1.2478769427976253</v>
      </c>
    </row>
    <row r="1038" spans="1:3" x14ac:dyDescent="0.25">
      <c r="A1038" s="1">
        <f>Risk_Analysis!A1038</f>
        <v>45691</v>
      </c>
      <c r="B1038" s="4">
        <f>B1037 * EXP(Risk_Analysis!D1038)</f>
        <v>1.614852635275682</v>
      </c>
      <c r="C1038" s="4">
        <f>C1037 * EXP(Risk_Analysis!E1038)</f>
        <v>1.2546066335523123</v>
      </c>
    </row>
    <row r="1039" spans="1:3" x14ac:dyDescent="0.25">
      <c r="A1039" s="1">
        <f>Risk_Analysis!A1039</f>
        <v>45692</v>
      </c>
      <c r="B1039" s="4">
        <f>B1038 * EXP(Risk_Analysis!D1039)</f>
        <v>1.6256854958532545</v>
      </c>
      <c r="C1039" s="4">
        <f>C1038 * EXP(Risk_Analysis!E1039)</f>
        <v>1.2435507130267556</v>
      </c>
    </row>
    <row r="1040" spans="1:3" x14ac:dyDescent="0.25">
      <c r="A1040" s="1">
        <f>Risk_Analysis!A1040</f>
        <v>45693</v>
      </c>
      <c r="B1040" s="4">
        <f>B1039 * EXP(Risk_Analysis!D1040)</f>
        <v>1.6322770618904807</v>
      </c>
      <c r="C1040" s="4">
        <f>C1039 * EXP(Risk_Analysis!E1040)</f>
        <v>1.2560487101426023</v>
      </c>
    </row>
    <row r="1041" spans="1:3" x14ac:dyDescent="0.25">
      <c r="A1041" s="1">
        <f>Risk_Analysis!A1041</f>
        <v>45694</v>
      </c>
      <c r="B1041" s="4">
        <f>B1040 * EXP(Risk_Analysis!D1041)</f>
        <v>1.6379501310208802</v>
      </c>
      <c r="C1041" s="4">
        <f>C1040 * EXP(Risk_Analysis!E1041)</f>
        <v>1.2546066335523123</v>
      </c>
    </row>
    <row r="1042" spans="1:3" x14ac:dyDescent="0.25">
      <c r="A1042" s="1">
        <f>Risk_Analysis!A1042</f>
        <v>45695</v>
      </c>
      <c r="B1042" s="4">
        <f>B1041 * EXP(Risk_Analysis!D1042)</f>
        <v>1.622957019747681</v>
      </c>
      <c r="C1042" s="4">
        <f>C1041 * EXP(Risk_Analysis!E1042)</f>
        <v>1.2520429418362411</v>
      </c>
    </row>
    <row r="1043" spans="1:3" x14ac:dyDescent="0.25">
      <c r="A1043" s="1">
        <f>Risk_Analysis!A1043</f>
        <v>45698</v>
      </c>
      <c r="B1043" s="4">
        <f>B1042 * EXP(Risk_Analysis!D1043)</f>
        <v>1.6339789826296001</v>
      </c>
      <c r="C1043" s="4">
        <f>C1042 * EXP(Risk_Analysis!E1043)</f>
        <v>1.265662554077869</v>
      </c>
    </row>
    <row r="1044" spans="1:3" x14ac:dyDescent="0.25">
      <c r="A1044" s="1">
        <f>Risk_Analysis!A1044</f>
        <v>45699</v>
      </c>
      <c r="B1044" s="4">
        <f>B1043 * EXP(Risk_Analysis!D1044)</f>
        <v>1.6352216549153065</v>
      </c>
      <c r="C1044" s="4">
        <f>C1043 * EXP(Risk_Analysis!E1044)</f>
        <v>1.2720717833680468</v>
      </c>
    </row>
    <row r="1045" spans="1:3" x14ac:dyDescent="0.25">
      <c r="A1045" s="1">
        <f>Risk_Analysis!A1045</f>
        <v>45700</v>
      </c>
      <c r="B1045" s="4">
        <f>B1044 * EXP(Risk_Analysis!D1045)</f>
        <v>1.6299538050085072</v>
      </c>
      <c r="C1045" s="4">
        <f>C1044 * EXP(Risk_Analysis!E1045)</f>
        <v>1.2698285531164846</v>
      </c>
    </row>
    <row r="1046" spans="1:3" x14ac:dyDescent="0.25">
      <c r="A1046" s="1">
        <f>Risk_Analysis!A1046</f>
        <v>45701</v>
      </c>
      <c r="B1046" s="4">
        <f>B1045 * EXP(Risk_Analysis!D1046)</f>
        <v>1.6471621147040523</v>
      </c>
      <c r="C1046" s="4">
        <f>C1045 * EXP(Risk_Analysis!E1046)</f>
        <v>1.2727127062970647</v>
      </c>
    </row>
    <row r="1047" spans="1:3" x14ac:dyDescent="0.25">
      <c r="A1047" s="1">
        <f>Risk_Analysis!A1047</f>
        <v>45702</v>
      </c>
      <c r="B1047" s="4">
        <f>B1046 * EXP(Risk_Analysis!D1047)</f>
        <v>1.6470810708593322</v>
      </c>
      <c r="C1047" s="4">
        <f>C1046 * EXP(Risk_Analysis!E1047)</f>
        <v>1.2674250921326677</v>
      </c>
    </row>
    <row r="1048" spans="1:3" x14ac:dyDescent="0.25">
      <c r="A1048" s="1">
        <f>Risk_Analysis!A1048</f>
        <v>45706</v>
      </c>
      <c r="B1048" s="4">
        <f>B1047 * EXP(Risk_Analysis!D1048)</f>
        <v>1.6519166869276252</v>
      </c>
      <c r="C1048" s="4">
        <f>C1047 * EXP(Risk_Analysis!E1048)</f>
        <v>1.2792821663194969</v>
      </c>
    </row>
    <row r="1049" spans="1:3" x14ac:dyDescent="0.25">
      <c r="A1049" s="1">
        <f>Risk_Analysis!A1049</f>
        <v>45707</v>
      </c>
      <c r="B1049" s="4">
        <f>B1048 * EXP(Risk_Analysis!D1049)</f>
        <v>1.6558067914741845</v>
      </c>
      <c r="C1049" s="4">
        <f>C1048 * EXP(Risk_Analysis!E1049)</f>
        <v>1.2860118570741836</v>
      </c>
    </row>
    <row r="1050" spans="1:3" x14ac:dyDescent="0.25">
      <c r="A1050" s="1">
        <f>Risk_Analysis!A1050</f>
        <v>45708</v>
      </c>
      <c r="B1050" s="4">
        <f>B1049 * EXP(Risk_Analysis!D1050)</f>
        <v>1.6489180646729853</v>
      </c>
      <c r="C1050" s="4">
        <f>C1049 * EXP(Risk_Analysis!E1050)</f>
        <v>1.2858516263419291</v>
      </c>
    </row>
    <row r="1051" spans="1:3" x14ac:dyDescent="0.25">
      <c r="A1051" s="1">
        <f>Risk_Analysis!A1051</f>
        <v>45709</v>
      </c>
      <c r="B1051" s="4">
        <f>B1050 * EXP(Risk_Analysis!D1051)</f>
        <v>1.6207148067104278</v>
      </c>
      <c r="C1051" s="4">
        <f>C1050 * EXP(Risk_Analysis!E1051)</f>
        <v>1.2861720878064378</v>
      </c>
    </row>
    <row r="1052" spans="1:3" x14ac:dyDescent="0.25">
      <c r="A1052" s="1">
        <f>Risk_Analysis!A1052</f>
        <v>45712</v>
      </c>
      <c r="B1052" s="4">
        <f>B1051 * EXP(Risk_Analysis!D1052)</f>
        <v>1.6133398168409083</v>
      </c>
      <c r="C1052" s="4">
        <f>C1051 * EXP(Risk_Analysis!E1052)</f>
        <v>1.2797628585162601</v>
      </c>
    </row>
    <row r="1053" spans="1:3" x14ac:dyDescent="0.25">
      <c r="A1053" s="1">
        <f>Risk_Analysis!A1053</f>
        <v>45713</v>
      </c>
      <c r="B1053" s="4">
        <f>B1052 * EXP(Risk_Analysis!D1053)</f>
        <v>1.6053164762136289</v>
      </c>
      <c r="C1053" s="4">
        <f>C1052 * EXP(Risk_Analysis!E1053)</f>
        <v>1.2733536292260821</v>
      </c>
    </row>
    <row r="1054" spans="1:3" x14ac:dyDescent="0.25">
      <c r="A1054" s="1">
        <f>Risk_Analysis!A1054</f>
        <v>45714</v>
      </c>
      <c r="B1054" s="4">
        <f>B1053 * EXP(Risk_Analysis!D1054)</f>
        <v>1.6061269146608286</v>
      </c>
      <c r="C1054" s="4">
        <f>C1053 * EXP(Risk_Analysis!E1054)</f>
        <v>1.2786412433904786</v>
      </c>
    </row>
    <row r="1055" spans="1:3" x14ac:dyDescent="0.25">
      <c r="A1055" s="1">
        <f>Risk_Analysis!A1055</f>
        <v>45715</v>
      </c>
      <c r="B1055" s="4">
        <f>B1054 * EXP(Risk_Analysis!D1055)</f>
        <v>1.5804900451144039</v>
      </c>
      <c r="C1055" s="4">
        <f>C1054 * EXP(Risk_Analysis!E1055)</f>
        <v>1.2502804037814417</v>
      </c>
    </row>
    <row r="1056" spans="1:3" x14ac:dyDescent="0.25">
      <c r="A1056" s="1">
        <f>Risk_Analysis!A1056</f>
        <v>45716</v>
      </c>
      <c r="B1056" s="4">
        <f>B1055 * EXP(Risk_Analysis!D1056)</f>
        <v>1.6051543885241886</v>
      </c>
      <c r="C1056" s="4">
        <f>C1055 * EXP(Risk_Analysis!E1056)</f>
        <v>1.2693478609197206</v>
      </c>
    </row>
    <row r="1057" spans="1:3" x14ac:dyDescent="0.25">
      <c r="A1057" s="1">
        <f>Risk_Analysis!A1057</f>
        <v>45719</v>
      </c>
      <c r="B1057" s="4">
        <f>B1056 * EXP(Risk_Analysis!D1057)</f>
        <v>1.5770321744063509</v>
      </c>
      <c r="C1057" s="4">
        <f>C1056 * EXP(Risk_Analysis!E1057)</f>
        <v>1.2711103989745196</v>
      </c>
    </row>
    <row r="1058" spans="1:3" x14ac:dyDescent="0.25">
      <c r="A1058" s="1">
        <f>Risk_Analysis!A1058</f>
        <v>45720</v>
      </c>
      <c r="B1058" s="4">
        <f>B1057 * EXP(Risk_Analysis!D1058)</f>
        <v>1.558365075505846</v>
      </c>
      <c r="C1058" s="4">
        <f>C1057 * EXP(Risk_Analysis!E1058)</f>
        <v>1.2504406345136962</v>
      </c>
    </row>
    <row r="1059" spans="1:3" x14ac:dyDescent="0.25">
      <c r="A1059" s="1">
        <f>Risk_Analysis!A1059</f>
        <v>45721</v>
      </c>
      <c r="B1059" s="4">
        <f>B1058 * EXP(Risk_Analysis!D1059)</f>
        <v>1.5751141367479777</v>
      </c>
      <c r="C1059" s="4">
        <f>C1058 * EXP(Risk_Analysis!E1059)</f>
        <v>1.2416279442397016</v>
      </c>
    </row>
    <row r="1060" spans="1:3" x14ac:dyDescent="0.25">
      <c r="A1060" s="1">
        <f>Risk_Analysis!A1060</f>
        <v>45722</v>
      </c>
      <c r="B1060" s="4">
        <f>B1059 * EXP(Risk_Analysis!D1060)</f>
        <v>1.5471540103195802</v>
      </c>
      <c r="C1060" s="4">
        <f>C1059 * EXP(Risk_Analysis!E1060)</f>
        <v>1.2158307963467359</v>
      </c>
    </row>
    <row r="1061" spans="1:3" x14ac:dyDescent="0.25">
      <c r="A1061" s="1">
        <f>Risk_Analysis!A1061</f>
        <v>45723</v>
      </c>
      <c r="B1061" s="4">
        <f>B1060 * EXP(Risk_Analysis!D1061)</f>
        <v>1.5558257017046193</v>
      </c>
      <c r="C1061" s="4">
        <f>C1060 * EXP(Risk_Analysis!E1061)</f>
        <v>1.238423329594613</v>
      </c>
    </row>
    <row r="1062" spans="1:3" x14ac:dyDescent="0.25">
      <c r="A1062" s="1">
        <f>Risk_Analysis!A1062</f>
        <v>45726</v>
      </c>
      <c r="B1062" s="4">
        <f>B1061 * EXP(Risk_Analysis!D1062)</f>
        <v>1.5143852824377964</v>
      </c>
      <c r="C1062" s="4">
        <f>C1061 * EXP(Risk_Analysis!E1062)</f>
        <v>1.2520429418362409</v>
      </c>
    </row>
    <row r="1063" spans="1:3" x14ac:dyDescent="0.25">
      <c r="A1063" s="1">
        <f>Risk_Analysis!A1063</f>
        <v>45727</v>
      </c>
      <c r="B1063" s="4">
        <f>B1062 * EXP(Risk_Analysis!D1063)</f>
        <v>1.5017964718912906</v>
      </c>
      <c r="C1063" s="4">
        <f>C1062 * EXP(Risk_Analysis!E1063)</f>
        <v>1.2403460983816663</v>
      </c>
    </row>
    <row r="1064" spans="1:3" x14ac:dyDescent="0.25">
      <c r="A1064" s="1">
        <f>Risk_Analysis!A1064</f>
        <v>45728</v>
      </c>
      <c r="B1064" s="4">
        <f>B1063 * EXP(Risk_Analysis!D1064)</f>
        <v>1.5097657832887565</v>
      </c>
      <c r="C1064" s="4">
        <f>C1063 * EXP(Risk_Analysis!E1064)</f>
        <v>1.2365005608075597</v>
      </c>
    </row>
    <row r="1065" spans="1:3" x14ac:dyDescent="0.25">
      <c r="A1065" s="1">
        <f>Risk_Analysis!A1065</f>
        <v>45729</v>
      </c>
      <c r="B1065" s="4">
        <f>B1064 * EXP(Risk_Analysis!D1065)</f>
        <v>1.4896398951832914</v>
      </c>
      <c r="C1065" s="4">
        <f>C1064 * EXP(Risk_Analysis!E1065)</f>
        <v>1.2395449447203941</v>
      </c>
    </row>
    <row r="1066" spans="1:3" x14ac:dyDescent="0.25">
      <c r="A1066" s="1">
        <f>Risk_Analysis!A1066</f>
        <v>45730</v>
      </c>
      <c r="B1066" s="4">
        <f>B1065 * EXP(Risk_Analysis!D1066)</f>
        <v>1.5204095415619823</v>
      </c>
      <c r="C1066" s="4">
        <f>C1065 * EXP(Risk_Analysis!E1066)</f>
        <v>1.2637397852908157</v>
      </c>
    </row>
    <row r="1067" spans="1:3" x14ac:dyDescent="0.25">
      <c r="A1067" s="1">
        <f>Risk_Analysis!A1067</f>
        <v>45733</v>
      </c>
      <c r="B1067" s="4">
        <f>B1066 * EXP(Risk_Analysis!D1067)</f>
        <v>1.5321338844314747</v>
      </c>
      <c r="C1067" s="4">
        <f>C1066 * EXP(Risk_Analysis!E1067)</f>
        <v>1.2690273994552124</v>
      </c>
    </row>
    <row r="1068" spans="1:3" x14ac:dyDescent="0.25">
      <c r="A1068" s="1">
        <f>Risk_Analysis!A1068</f>
        <v>45734</v>
      </c>
      <c r="B1068" s="4">
        <f>B1067 * EXP(Risk_Analysis!D1068)</f>
        <v>1.5155739254936893</v>
      </c>
      <c r="C1068" s="4">
        <f>C1067 * EXP(Risk_Analysis!E1068)</f>
        <v>1.2602147091812179</v>
      </c>
    </row>
    <row r="1069" spans="1:3" x14ac:dyDescent="0.25">
      <c r="A1069" s="1">
        <f>Risk_Analysis!A1069</f>
        <v>45735</v>
      </c>
      <c r="B1069" s="4">
        <f>B1068 * EXP(Risk_Analysis!D1069)</f>
        <v>1.5320798552016612</v>
      </c>
      <c r="C1069" s="4">
        <f>C1068 * EXP(Risk_Analysis!E1069)</f>
        <v>1.2648614004165968</v>
      </c>
    </row>
    <row r="1070" spans="1:3" x14ac:dyDescent="0.25">
      <c r="A1070" s="1">
        <f>Risk_Analysis!A1070</f>
        <v>45736</v>
      </c>
      <c r="B1070" s="4">
        <f>B1069 * EXP(Risk_Analysis!D1070)</f>
        <v>1.5276494583569682</v>
      </c>
      <c r="C1070" s="4">
        <f>C1069 * EXP(Risk_Analysis!E1070)</f>
        <v>1.2699887838487391</v>
      </c>
    </row>
    <row r="1071" spans="1:3" x14ac:dyDescent="0.25">
      <c r="A1071" s="1">
        <f>Risk_Analysis!A1071</f>
        <v>45737</v>
      </c>
      <c r="B1071" s="4">
        <f>B1070 * EXP(Risk_Analysis!D1071)</f>
        <v>1.5235702515060618</v>
      </c>
      <c r="C1071" s="4">
        <f>C1070 * EXP(Risk_Analysis!E1071)</f>
        <v>1.2618170165037623</v>
      </c>
    </row>
    <row r="1072" spans="1:3" x14ac:dyDescent="0.25">
      <c r="A1072" s="1">
        <f>Risk_Analysis!A1072</f>
        <v>45740</v>
      </c>
      <c r="B1072" s="4">
        <f>B1071 * EXP(Risk_Analysis!D1072)</f>
        <v>1.550855012561793</v>
      </c>
      <c r="C1072" s="4">
        <f>C1071 * EXP(Risk_Analysis!E1072)</f>
        <v>1.2525236340330044</v>
      </c>
    </row>
    <row r="1073" spans="1:3" x14ac:dyDescent="0.25">
      <c r="A1073" s="1">
        <f>Risk_Analysis!A1073</f>
        <v>45741</v>
      </c>
      <c r="B1073" s="4">
        <f>B1072 * EXP(Risk_Analysis!D1073)</f>
        <v>1.5545830294189129</v>
      </c>
      <c r="C1073" s="4">
        <f>C1072 * EXP(Risk_Analysis!E1073)</f>
        <v>1.2324947925011986</v>
      </c>
    </row>
    <row r="1074" spans="1:3" x14ac:dyDescent="0.25">
      <c r="A1074" s="1">
        <f>Risk_Analysis!A1074</f>
        <v>45742</v>
      </c>
      <c r="B1074" s="4">
        <f>B1073 * EXP(Risk_Analysis!D1074)</f>
        <v>1.5360239889780345</v>
      </c>
      <c r="C1074" s="4">
        <f>C1073 * EXP(Risk_Analysis!E1074)</f>
        <v>1.2406665598461755</v>
      </c>
    </row>
    <row r="1075" spans="1:3" x14ac:dyDescent="0.25">
      <c r="A1075" s="1">
        <f>Risk_Analysis!A1075</f>
        <v>45743</v>
      </c>
      <c r="B1075" s="4">
        <f>B1074 * EXP(Risk_Analysis!D1075)</f>
        <v>1.5319447821271281</v>
      </c>
      <c r="C1075" s="4">
        <f>C1074 * EXP(Risk_Analysis!E1075)</f>
        <v>1.2403460983816663</v>
      </c>
    </row>
    <row r="1076" spans="1:3" x14ac:dyDescent="0.25">
      <c r="A1076" s="1">
        <f>Risk_Analysis!A1076</f>
        <v>45744</v>
      </c>
      <c r="B1076" s="4">
        <f>B1075 * EXP(Risk_Analysis!D1076)</f>
        <v>1.501094091903717</v>
      </c>
      <c r="C1076" s="4">
        <f>C1075 * EXP(Risk_Analysis!E1076)</f>
        <v>1.2494792501201697</v>
      </c>
    </row>
    <row r="1077" spans="1:3" x14ac:dyDescent="0.25">
      <c r="A1077" s="1">
        <f>Risk_Analysis!A1077</f>
        <v>45747</v>
      </c>
      <c r="B1077" s="4">
        <f>B1076 * EXP(Risk_Analysis!D1077)</f>
        <v>1.5111705432639029</v>
      </c>
      <c r="C1077" s="4">
        <f>C1076 * EXP(Risk_Analysis!E1077)</f>
        <v>1.2634193238263065</v>
      </c>
    </row>
    <row r="1078" spans="1:3" x14ac:dyDescent="0.25">
      <c r="A1078" s="1">
        <f>Risk_Analysis!A1078</f>
        <v>45748</v>
      </c>
      <c r="B1078" s="4">
        <f>B1077 * EXP(Risk_Analysis!D1078)</f>
        <v>1.515438852419156</v>
      </c>
      <c r="C1078" s="4">
        <f>C1077 * EXP(Risk_Analysis!E1078)</f>
        <v>1.2666239384713953</v>
      </c>
    </row>
    <row r="1079" spans="1:3" x14ac:dyDescent="0.25">
      <c r="A1079" s="1">
        <f>Risk_Analysis!A1079</f>
        <v>45749</v>
      </c>
      <c r="B1079" s="4">
        <f>B1078 * EXP(Risk_Analysis!D1079)</f>
        <v>1.5250290407110219</v>
      </c>
      <c r="C1079" s="4">
        <f>C1078 * EXP(Risk_Analysis!E1079)</f>
        <v>1.2725524755648097</v>
      </c>
    </row>
    <row r="1080" spans="1:3" x14ac:dyDescent="0.25">
      <c r="A1080" s="1">
        <f>Risk_Analysis!A1080</f>
        <v>45750</v>
      </c>
      <c r="B1080" s="4">
        <f>B1079 * EXP(Risk_Analysis!D1080)</f>
        <v>1.4498743820406814</v>
      </c>
      <c r="C1080" s="4">
        <f>C1079 * EXP(Risk_Analysis!E1080)</f>
        <v>1.2645409389520874</v>
      </c>
    </row>
    <row r="1081" spans="1:3" x14ac:dyDescent="0.25">
      <c r="A1081" s="1">
        <f>Risk_Analysis!A1081</f>
        <v>45751</v>
      </c>
      <c r="B1081" s="4">
        <f>B1080 * EXP(Risk_Analysis!D1081)</f>
        <v>1.3649944620039414</v>
      </c>
      <c r="C1081" s="4">
        <f>C1080 * EXP(Risk_Analysis!E1081)</f>
        <v>1.1941996474923857</v>
      </c>
    </row>
    <row r="1082" spans="1:3" x14ac:dyDescent="0.25">
      <c r="A1082" s="1">
        <f>Risk_Analysis!A1082</f>
        <v>45754</v>
      </c>
      <c r="B1082" s="4">
        <f>B1081 * EXP(Risk_Analysis!D1082)</f>
        <v>1.3625631466623418</v>
      </c>
      <c r="C1082" s="4">
        <f>C1081 * EXP(Risk_Analysis!E1082)</f>
        <v>1.1759333440153787</v>
      </c>
    </row>
    <row r="1083" spans="1:3" x14ac:dyDescent="0.25">
      <c r="A1083" s="1">
        <f>Risk_Analysis!A1083</f>
        <v>45755</v>
      </c>
      <c r="B1083" s="4">
        <f>B1082 * EXP(Risk_Analysis!D1083)</f>
        <v>1.3412216008860769</v>
      </c>
      <c r="C1083" s="4">
        <f>C1082 * EXP(Risk_Analysis!E1083)</f>
        <v>1.1711264220477453</v>
      </c>
    </row>
    <row r="1084" spans="1:3" x14ac:dyDescent="0.25">
      <c r="A1084" s="1">
        <f>Risk_Analysis!A1084</f>
        <v>45756</v>
      </c>
      <c r="B1084" s="4">
        <f>B1083 * EXP(Risk_Analysis!D1084)</f>
        <v>1.4820758030094254</v>
      </c>
      <c r="C1084" s="4">
        <f>C1083 * EXP(Risk_Analysis!E1084)</f>
        <v>1.2172728729370257</v>
      </c>
    </row>
    <row r="1085" spans="1:3" x14ac:dyDescent="0.25">
      <c r="A1085" s="1">
        <f>Risk_Analysis!A1085</f>
        <v>45757</v>
      </c>
      <c r="B1085" s="4">
        <f>B1084 * EXP(Risk_Analysis!D1085)</f>
        <v>1.4171326687738042</v>
      </c>
      <c r="C1085" s="4">
        <f>C1084 * EXP(Risk_Analysis!E1085)</f>
        <v>1.2081397211985223</v>
      </c>
    </row>
    <row r="1086" spans="1:3" x14ac:dyDescent="0.25">
      <c r="A1086" s="1">
        <f>Risk_Analysis!A1086</f>
        <v>45758</v>
      </c>
      <c r="B1086" s="4">
        <f>B1085 * EXP(Risk_Analysis!D1086)</f>
        <v>1.4424183483264421</v>
      </c>
      <c r="C1086" s="4">
        <f>C1085 * EXP(Risk_Analysis!E1086)</f>
        <v>1.2228809485659311</v>
      </c>
    </row>
    <row r="1087" spans="1:3" x14ac:dyDescent="0.25">
      <c r="A1087" s="1">
        <f>Risk_Analysis!A1087</f>
        <v>45761</v>
      </c>
      <c r="B1087" s="4">
        <f>B1086 * EXP(Risk_Analysis!D1087)</f>
        <v>1.4564119188480942</v>
      </c>
      <c r="C1087" s="4">
        <f>C1086 * EXP(Risk_Analysis!E1087)</f>
        <v>1.2448325588847902</v>
      </c>
    </row>
    <row r="1088" spans="1:3" x14ac:dyDescent="0.25">
      <c r="A1088" s="1">
        <f>Risk_Analysis!A1088</f>
        <v>45762</v>
      </c>
      <c r="B1088" s="4">
        <f>B1087 * EXP(Risk_Analysis!D1088)</f>
        <v>1.4523327119971878</v>
      </c>
      <c r="C1088" s="4">
        <f>C1087 * EXP(Risk_Analysis!E1088)</f>
        <v>1.2446723281525358</v>
      </c>
    </row>
    <row r="1089" spans="1:3" x14ac:dyDescent="0.25">
      <c r="A1089" s="1">
        <f>Risk_Analysis!A1089</f>
        <v>45763</v>
      </c>
      <c r="B1089" s="4">
        <f>B1088 * EXP(Risk_Analysis!D1089)</f>
        <v>1.4200502471837235</v>
      </c>
      <c r="C1089" s="4">
        <f>C1088 * EXP(Risk_Analysis!E1089)</f>
        <v>1.2334561768947245</v>
      </c>
    </row>
    <row r="1090" spans="1:3" x14ac:dyDescent="0.25">
      <c r="A1090" s="1">
        <f>Risk_Analysis!A1090</f>
        <v>45764</v>
      </c>
      <c r="B1090" s="4">
        <f>B1089 * EXP(Risk_Analysis!D1090)</f>
        <v>1.4220763433017234</v>
      </c>
      <c r="C1090" s="4">
        <f>C1089 * EXP(Risk_Analysis!E1090)</f>
        <v>1.2461144047428256</v>
      </c>
    </row>
    <row r="1091" spans="1:3" x14ac:dyDescent="0.25">
      <c r="A1091" s="1">
        <f>Risk_Analysis!A1091</f>
        <v>45768</v>
      </c>
      <c r="B1091" s="4">
        <f>B1090 * EXP(Risk_Analysis!D1091)</f>
        <v>1.388227030823673</v>
      </c>
      <c r="C1091" s="4">
        <f>C1090 * EXP(Risk_Analysis!E1091)</f>
        <v>1.2166319500080078</v>
      </c>
    </row>
    <row r="1092" spans="1:3" x14ac:dyDescent="0.25">
      <c r="A1092" s="1">
        <f>Risk_Analysis!A1092</f>
        <v>45769</v>
      </c>
      <c r="B1092" s="4">
        <f>B1091 * EXP(Risk_Analysis!D1092)</f>
        <v>1.4243455709538835</v>
      </c>
      <c r="C1092" s="4">
        <f>C1091 * EXP(Risk_Analysis!E1092)</f>
        <v>1.2497997115846782</v>
      </c>
    </row>
    <row r="1093" spans="1:3" x14ac:dyDescent="0.25">
      <c r="A1093" s="1">
        <f>Risk_Analysis!A1093</f>
        <v>45770</v>
      </c>
      <c r="B1093" s="4">
        <f>B1092 * EXP(Risk_Analysis!D1093)</f>
        <v>1.4464165113326282</v>
      </c>
      <c r="C1093" s="4">
        <f>C1092 * EXP(Risk_Analysis!E1093)</f>
        <v>1.2550873257490749</v>
      </c>
    </row>
    <row r="1094" spans="1:3" x14ac:dyDescent="0.25">
      <c r="A1094" s="1">
        <f>Risk_Analysis!A1094</f>
        <v>45771</v>
      </c>
      <c r="B1094" s="4">
        <f>B1093 * EXP(Risk_Analysis!D1094)</f>
        <v>1.4768619823324394</v>
      </c>
      <c r="C1094" s="4">
        <f>C1093 * EXP(Risk_Analysis!E1094)</f>
        <v>1.2570100945361284</v>
      </c>
    </row>
    <row r="1095" spans="1:3" x14ac:dyDescent="0.25">
      <c r="A1095" s="1">
        <f>Risk_Analysis!A1095</f>
        <v>45772</v>
      </c>
      <c r="B1095" s="4">
        <f>B1094 * EXP(Risk_Analysis!D1095)</f>
        <v>1.4875327552205715</v>
      </c>
      <c r="C1095" s="4">
        <f>C1094 * EXP(Risk_Analysis!E1095)</f>
        <v>1.2531645569620216</v>
      </c>
    </row>
    <row r="1096" spans="1:3" x14ac:dyDescent="0.25">
      <c r="A1096" s="1">
        <f>Risk_Analysis!A1096</f>
        <v>45775</v>
      </c>
      <c r="B1096" s="4">
        <f>B1095 * EXP(Risk_Analysis!D1096)</f>
        <v>1.4881000621336116</v>
      </c>
      <c r="C1096" s="4">
        <f>C1095 * EXP(Risk_Analysis!E1096)</f>
        <v>1.2608556321102349</v>
      </c>
    </row>
    <row r="1097" spans="1:3" x14ac:dyDescent="0.25">
      <c r="A1097" s="1">
        <f>Risk_Analysis!A1097</f>
        <v>45776</v>
      </c>
      <c r="B1097" s="4">
        <f>B1096 * EXP(Risk_Analysis!D1097)</f>
        <v>1.497474133506224</v>
      </c>
      <c r="C1097" s="4">
        <f>C1096 * EXP(Risk_Analysis!E1097)</f>
        <v>1.2706297067777561</v>
      </c>
    </row>
    <row r="1098" spans="1:3" x14ac:dyDescent="0.25">
      <c r="A1098" s="1">
        <f>Risk_Analysis!A1098</f>
        <v>45777</v>
      </c>
      <c r="B1098" s="4">
        <f>B1097 * EXP(Risk_Analysis!D1098)</f>
        <v>1.4980684550341703</v>
      </c>
      <c r="C1098" s="4">
        <f>C1097 * EXP(Risk_Analysis!E1098)</f>
        <v>1.2642204774875783</v>
      </c>
    </row>
    <row r="1099" spans="1:3" x14ac:dyDescent="0.25">
      <c r="A1099" s="1">
        <f>Risk_Analysis!A1099</f>
        <v>45778</v>
      </c>
      <c r="B1099" s="4">
        <f>B1098 * EXP(Risk_Analysis!D1099)</f>
        <v>1.5086851986924896</v>
      </c>
      <c r="C1099" s="4">
        <f>C1098 * EXP(Risk_Analysis!E1099)</f>
        <v>1.2679057843294304</v>
      </c>
    </row>
    <row r="1100" spans="1:3" x14ac:dyDescent="0.25">
      <c r="A1100" s="1">
        <f>Risk_Analysis!A1100</f>
        <v>45779</v>
      </c>
      <c r="B1100" s="4">
        <f>B1099 * EXP(Risk_Analysis!D1100)</f>
        <v>1.5310803144501144</v>
      </c>
      <c r="C1100" s="4">
        <f>C1099 * EXP(Risk_Analysis!E1100)</f>
        <v>1.2778400897292062</v>
      </c>
    </row>
    <row r="1101" spans="1:3" x14ac:dyDescent="0.25">
      <c r="A1101" s="1">
        <f>Risk_Analysis!A1101</f>
        <v>45782</v>
      </c>
      <c r="B1101" s="4">
        <f>B1100 * EXP(Risk_Analysis!D1101)</f>
        <v>1.5223005646054486</v>
      </c>
      <c r="C1101" s="4">
        <f>C1100 * EXP(Risk_Analysis!E1101)</f>
        <v>1.2746354750841171</v>
      </c>
    </row>
    <row r="1102" spans="1:3" x14ac:dyDescent="0.25">
      <c r="A1102" s="1">
        <f>Risk_Analysis!A1102</f>
        <v>45783</v>
      </c>
      <c r="B1102" s="4">
        <f>B1101 * EXP(Risk_Analysis!D1102)</f>
        <v>1.5095766809844096</v>
      </c>
      <c r="C1102" s="4">
        <f>C1101 * EXP(Risk_Analysis!E1102)</f>
        <v>1.2901778561127983</v>
      </c>
    </row>
    <row r="1103" spans="1:3" x14ac:dyDescent="0.25">
      <c r="A1103" s="1">
        <f>Risk_Analysis!A1103</f>
        <v>45784</v>
      </c>
      <c r="B1103" s="4">
        <f>B1102 * EXP(Risk_Analysis!D1103)</f>
        <v>1.5159251154874758</v>
      </c>
      <c r="C1103" s="4">
        <f>C1102 * EXP(Risk_Analysis!E1103)</f>
        <v>1.2938631629546509</v>
      </c>
    </row>
    <row r="1104" spans="1:3" x14ac:dyDescent="0.25">
      <c r="A1104" s="1">
        <f>Risk_Analysis!A1104</f>
        <v>45785</v>
      </c>
      <c r="B1104" s="4">
        <f>B1103 * EXP(Risk_Analysis!D1104)</f>
        <v>1.5264878299159814</v>
      </c>
      <c r="C1104" s="4">
        <f>C1103 * EXP(Risk_Analysis!E1104)</f>
        <v>1.2834481653581118</v>
      </c>
    </row>
    <row r="1105" spans="1:3" x14ac:dyDescent="0.25">
      <c r="A1105" s="1">
        <f>Risk_Analysis!A1105</f>
        <v>45786</v>
      </c>
      <c r="B1105" s="4">
        <f>B1104 * EXP(Risk_Analysis!D1105)</f>
        <v>1.5245427776427019</v>
      </c>
      <c r="C1105" s="4">
        <f>C1104 * EXP(Risk_Analysis!E1105)</f>
        <v>1.285691395609674</v>
      </c>
    </row>
    <row r="1106" spans="1:3" x14ac:dyDescent="0.25">
      <c r="A1106" s="1">
        <f>Risk_Analysis!A1106</f>
        <v>45789</v>
      </c>
      <c r="B1106" s="4">
        <f>B1105 * EXP(Risk_Analysis!D1106)</f>
        <v>1.5749250344436307</v>
      </c>
      <c r="C1106" s="4">
        <f>C1105 * EXP(Risk_Analysis!E1106)</f>
        <v>1.2780003204614609</v>
      </c>
    </row>
    <row r="1107" spans="1:3" x14ac:dyDescent="0.25">
      <c r="A1107" s="1">
        <f>Risk_Analysis!A1107</f>
        <v>45790</v>
      </c>
      <c r="B1107" s="4">
        <f>B1106 * EXP(Risk_Analysis!D1107)</f>
        <v>1.5853256611826967</v>
      </c>
      <c r="C1107" s="4">
        <f>C1106 * EXP(Risk_Analysis!E1107)</f>
        <v>1.276237782406662</v>
      </c>
    </row>
    <row r="1108" spans="1:3" x14ac:dyDescent="0.25">
      <c r="A1108" s="1">
        <f>Risk_Analysis!A1108</f>
        <v>45791</v>
      </c>
      <c r="B1108" s="4">
        <f>B1107 * EXP(Risk_Analysis!D1108)</f>
        <v>1.5873517573006966</v>
      </c>
      <c r="C1108" s="4">
        <f>C1107 * EXP(Risk_Analysis!E1108)</f>
        <v>1.2706297067777561</v>
      </c>
    </row>
    <row r="1109" spans="1:3" x14ac:dyDescent="0.25">
      <c r="A1109" s="1">
        <f>Risk_Analysis!A1109</f>
        <v>45792</v>
      </c>
      <c r="B1109" s="4">
        <f>B1108 * EXP(Risk_Analysis!D1109)</f>
        <v>1.5951049517789093</v>
      </c>
      <c r="C1109" s="4">
        <f>C1108 * EXP(Risk_Analysis!E1109)</f>
        <v>1.2977087005287573</v>
      </c>
    </row>
    <row r="1110" spans="1:3" x14ac:dyDescent="0.25">
      <c r="A1110" s="1">
        <f>Risk_Analysis!A1110</f>
        <v>45793</v>
      </c>
      <c r="B1110" s="4">
        <f>B1109 * EXP(Risk_Analysis!D1110)</f>
        <v>1.605208417754002</v>
      </c>
      <c r="C1110" s="4">
        <f>C1109 * EXP(Risk_Analysis!E1110)</f>
        <v>1.3167761576670365</v>
      </c>
    </row>
    <row r="1111" spans="1:3" x14ac:dyDescent="0.25">
      <c r="A1111" s="1">
        <f>Risk_Analysis!A1111</f>
        <v>45796</v>
      </c>
      <c r="B1111" s="4">
        <f>B1110 * EXP(Risk_Analysis!D1111)</f>
        <v>1.6069643677229353</v>
      </c>
      <c r="C1111" s="4">
        <f>C1110 * EXP(Risk_Analysis!E1111)</f>
        <v>1.3223842332959421</v>
      </c>
    </row>
    <row r="1112" spans="1:3" x14ac:dyDescent="0.25">
      <c r="A1112" s="1">
        <f>Risk_Analysis!A1112</f>
        <v>45797</v>
      </c>
      <c r="B1112" s="4">
        <f>B1111 * EXP(Risk_Analysis!D1112)</f>
        <v>1.6015614447416024</v>
      </c>
      <c r="C1112" s="4">
        <f>C1111 * EXP(Risk_Analysis!E1112)</f>
        <v>1.3262297708700488</v>
      </c>
    </row>
    <row r="1113" spans="1:3" x14ac:dyDescent="0.25">
      <c r="A1113" s="1">
        <f>Risk_Analysis!A1113</f>
        <v>45798</v>
      </c>
      <c r="B1113" s="4">
        <f>B1112 * EXP(Risk_Analysis!D1113)</f>
        <v>1.5745738444498447</v>
      </c>
      <c r="C1113" s="4">
        <f>C1112 * EXP(Risk_Analysis!E1113)</f>
        <v>1.3020349302996277</v>
      </c>
    </row>
    <row r="1114" spans="1:3" x14ac:dyDescent="0.25">
      <c r="A1114" s="1">
        <f>Risk_Analysis!A1114</f>
        <v>45799</v>
      </c>
      <c r="B1114" s="4">
        <f>B1113 * EXP(Risk_Analysis!D1114)</f>
        <v>1.5751951805926983</v>
      </c>
      <c r="C1114" s="4">
        <f>C1113 * EXP(Risk_Analysis!E1114)</f>
        <v>1.2834481653581118</v>
      </c>
    </row>
    <row r="1115" spans="1:3" x14ac:dyDescent="0.25">
      <c r="A1115" s="1">
        <f>Risk_Analysis!A1115</f>
        <v>45800</v>
      </c>
      <c r="B1115" s="4">
        <f>B1114 * EXP(Risk_Analysis!D1115)</f>
        <v>1.5644433638598456</v>
      </c>
      <c r="C1115" s="4">
        <f>C1114 * EXP(Risk_Analysis!E1115)</f>
        <v>1.2988303156545389</v>
      </c>
    </row>
    <row r="1116" spans="1:3" x14ac:dyDescent="0.25">
      <c r="A1116" s="1">
        <f>Risk_Analysis!A1116</f>
        <v>45804</v>
      </c>
      <c r="B1116" s="4">
        <f>B1115 * EXP(Risk_Analysis!D1116)</f>
        <v>1.5969689602074697</v>
      </c>
      <c r="C1116" s="4">
        <f>C1115 * EXP(Risk_Analysis!E1116)</f>
        <v>1.3086043903220599</v>
      </c>
    </row>
    <row r="1117" spans="1:3" x14ac:dyDescent="0.25">
      <c r="A1117" s="1">
        <f>Risk_Analysis!A1117</f>
        <v>45805</v>
      </c>
      <c r="B1117" s="4">
        <f>B1116 * EXP(Risk_Analysis!D1117)</f>
        <v>1.5877299619093905</v>
      </c>
      <c r="C1117" s="4">
        <f>C1116 * EXP(Risk_Analysis!E1117)</f>
        <v>1.2903380868450531</v>
      </c>
    </row>
    <row r="1118" spans="1:3" x14ac:dyDescent="0.25">
      <c r="A1118" s="1">
        <f>Risk_Analysis!A1118</f>
        <v>45806</v>
      </c>
      <c r="B1118" s="4">
        <f>B1117 * EXP(Risk_Analysis!D1118)</f>
        <v>1.5939973525677367</v>
      </c>
      <c r="C1118" s="4">
        <f>C1117 * EXP(Risk_Analysis!E1118)</f>
        <v>1.2993110078513024</v>
      </c>
    </row>
    <row r="1119" spans="1:3" x14ac:dyDescent="0.25">
      <c r="A1119" s="1">
        <f>Risk_Analysis!A1119</f>
        <v>45807</v>
      </c>
      <c r="B1119" s="4">
        <f>B1118 * EXP(Risk_Analysis!D1119)</f>
        <v>1.592214387983897</v>
      </c>
      <c r="C1119" s="4">
        <f>C1118 * EXP(Risk_Analysis!E1119)</f>
        <v>1.3126101586284211</v>
      </c>
    </row>
    <row r="1120" spans="1:3" x14ac:dyDescent="0.25">
      <c r="A1120" s="1">
        <f>Risk_Analysis!A1120</f>
        <v>45810</v>
      </c>
      <c r="B1120" s="4">
        <f>B1119 * EXP(Risk_Analysis!D1120)</f>
        <v>1.6011832401329098</v>
      </c>
      <c r="C1120" s="4">
        <f>C1119 * EXP(Risk_Analysis!E1120)</f>
        <v>1.3167761576670367</v>
      </c>
    </row>
    <row r="1121" spans="1:3" x14ac:dyDescent="0.25">
      <c r="A1121" s="1">
        <f>Risk_Analysis!A1121</f>
        <v>45811</v>
      </c>
      <c r="B1121" s="4">
        <f>B1120 * EXP(Risk_Analysis!D1121)</f>
        <v>1.6103141799713625</v>
      </c>
      <c r="C1121" s="4">
        <f>C1120 * EXP(Risk_Analysis!E1121)</f>
        <v>1.3203012337766344</v>
      </c>
    </row>
    <row r="1122" spans="1:3" x14ac:dyDescent="0.25">
      <c r="A1122" s="1">
        <f>Risk_Analysis!A1122</f>
        <v>45812</v>
      </c>
      <c r="B1122" s="4">
        <f>B1121 * EXP(Risk_Analysis!D1122)</f>
        <v>1.6098819461328555</v>
      </c>
      <c r="C1122" s="4">
        <f>C1121 * EXP(Risk_Analysis!E1122)</f>
        <v>1.297228008331994</v>
      </c>
    </row>
    <row r="1123" spans="1:3" x14ac:dyDescent="0.25">
      <c r="A1123" s="1">
        <f>Risk_Analysis!A1123</f>
        <v>45813</v>
      </c>
      <c r="B1123" s="4">
        <f>B1122 * EXP(Risk_Analysis!D1123)</f>
        <v>1.6021017370397361</v>
      </c>
      <c r="C1123" s="4">
        <f>C1122 * EXP(Risk_Analysis!E1123)</f>
        <v>1.2951450088126863</v>
      </c>
    </row>
    <row r="1124" spans="1:3" x14ac:dyDescent="0.25">
      <c r="A1124" s="1">
        <f>Risk_Analysis!A1124</f>
        <v>45814</v>
      </c>
      <c r="B1124" s="4">
        <f>B1123 * EXP(Risk_Analysis!D1124)</f>
        <v>1.6185536375178948</v>
      </c>
      <c r="C1124" s="4">
        <f>C1123 * EXP(Risk_Analysis!E1124)</f>
        <v>1.3009133151738463</v>
      </c>
    </row>
    <row r="1125" spans="1:3" x14ac:dyDescent="0.25">
      <c r="A1125" s="1">
        <f>Risk_Analysis!A1125</f>
        <v>45817</v>
      </c>
      <c r="B1125" s="4">
        <f>B1124 * EXP(Risk_Analysis!D1125)</f>
        <v>1.6200124267228546</v>
      </c>
      <c r="C1125" s="4">
        <f>C1124 * EXP(Risk_Analysis!E1125)</f>
        <v>1.2925813170966152</v>
      </c>
    </row>
    <row r="1126" spans="1:3" x14ac:dyDescent="0.25">
      <c r="A1126" s="1">
        <f>Risk_Analysis!A1126</f>
        <v>45818</v>
      </c>
      <c r="B1126" s="4">
        <f>B1125 * EXP(Risk_Analysis!D1126)</f>
        <v>1.6291973957911206</v>
      </c>
      <c r="C1126" s="4">
        <f>C1125 * EXP(Risk_Analysis!E1126)</f>
        <v>1.2956257010094496</v>
      </c>
    </row>
    <row r="1127" spans="1:3" x14ac:dyDescent="0.25">
      <c r="A1127" s="1">
        <f>Risk_Analysis!A1127</f>
        <v>45819</v>
      </c>
      <c r="B1127" s="4">
        <f>B1126 * EXP(Risk_Analysis!D1127)</f>
        <v>1.6245508820271743</v>
      </c>
      <c r="C1127" s="4">
        <f>C1126 * EXP(Risk_Analysis!E1127)</f>
        <v>1.2964268546707216</v>
      </c>
    </row>
    <row r="1128" spans="1:3" x14ac:dyDescent="0.25">
      <c r="A1128" s="1">
        <f>Risk_Analysis!A1128</f>
        <v>45820</v>
      </c>
      <c r="B1128" s="4">
        <f>B1127 * EXP(Risk_Analysis!D1128)</f>
        <v>1.631007374989867</v>
      </c>
      <c r="C1128" s="4">
        <f>C1127 * EXP(Risk_Analysis!E1128)</f>
        <v>1.3121294664316574</v>
      </c>
    </row>
    <row r="1129" spans="1:3" x14ac:dyDescent="0.25">
      <c r="A1129" s="1">
        <f>Risk_Analysis!A1129</f>
        <v>45821</v>
      </c>
      <c r="B1129" s="4">
        <f>B1128 * EXP(Risk_Analysis!D1129)</f>
        <v>1.6127725099278685</v>
      </c>
      <c r="C1129" s="4">
        <f>C1128 * EXP(Risk_Analysis!E1129)</f>
        <v>1.3045986220156984</v>
      </c>
    </row>
    <row r="1130" spans="1:3" x14ac:dyDescent="0.25">
      <c r="A1130" s="1">
        <f>Risk_Analysis!A1130</f>
        <v>45824</v>
      </c>
      <c r="B1130" s="4">
        <f>B1129 * EXP(Risk_Analysis!D1130)</f>
        <v>1.6281168111948536</v>
      </c>
      <c r="C1130" s="4">
        <f>C1129 * EXP(Risk_Analysis!E1130)</f>
        <v>1.2981893927255204</v>
      </c>
    </row>
    <row r="1131" spans="1:3" x14ac:dyDescent="0.25">
      <c r="A1131" s="1">
        <f>Risk_Analysis!A1131</f>
        <v>45825</v>
      </c>
      <c r="B1131" s="4">
        <f>B1130 * EXP(Risk_Analysis!D1131)</f>
        <v>1.6142042845179216</v>
      </c>
      <c r="C1131" s="4">
        <f>C1130 * EXP(Risk_Analysis!E1131)</f>
        <v>1.2874539336644726</v>
      </c>
    </row>
    <row r="1132" spans="1:3" x14ac:dyDescent="0.25">
      <c r="A1132" s="1">
        <f>Risk_Analysis!A1132</f>
        <v>45826</v>
      </c>
      <c r="B1132" s="4">
        <f>B1131 * EXP(Risk_Analysis!D1132)</f>
        <v>1.6139611529837619</v>
      </c>
      <c r="C1132" s="4">
        <f>C1131 * EXP(Risk_Analysis!E1132)</f>
        <v>1.2908187790418162</v>
      </c>
    </row>
    <row r="1133" spans="1:3" x14ac:dyDescent="0.25">
      <c r="A1133" s="1">
        <f>Risk_Analysis!A1133</f>
        <v>45828</v>
      </c>
      <c r="B1133" s="4">
        <f>B1132 * EXP(Risk_Analysis!D1133)</f>
        <v>1.6054245346732556</v>
      </c>
      <c r="C1133" s="4">
        <f>C1132 * EXP(Risk_Analysis!E1133)</f>
        <v>1.2943438551514141</v>
      </c>
    </row>
    <row r="1134" spans="1:3" x14ac:dyDescent="0.25">
      <c r="A1134" s="1">
        <f>Risk_Analysis!A1134</f>
        <v>45831</v>
      </c>
      <c r="B1134" s="4">
        <f>B1133 * EXP(Risk_Analysis!D1134)</f>
        <v>1.6212821136234676</v>
      </c>
      <c r="C1134" s="4">
        <f>C1133 * EXP(Risk_Analysis!E1134)</f>
        <v>1.3017144688351185</v>
      </c>
    </row>
    <row r="1135" spans="1:3" x14ac:dyDescent="0.25">
      <c r="A1135" s="1">
        <f>Risk_Analysis!A1135</f>
        <v>45832</v>
      </c>
      <c r="B1135" s="4">
        <f>B1134 * EXP(Risk_Analysis!D1135)</f>
        <v>1.6391928033065859</v>
      </c>
      <c r="C1135" s="4">
        <f>C1134 * EXP(Risk_Analysis!E1135)</f>
        <v>1.3073225444640242</v>
      </c>
    </row>
    <row r="1136" spans="1:3" x14ac:dyDescent="0.25">
      <c r="A1136" s="1">
        <f>Risk_Analysis!A1136</f>
        <v>45833</v>
      </c>
      <c r="B1136" s="4">
        <f>B1135 * EXP(Risk_Analysis!D1136)</f>
        <v>1.6401113002134124</v>
      </c>
      <c r="C1136" s="4">
        <f>C1135 * EXP(Risk_Analysis!E1136)</f>
        <v>1.2898573946482894</v>
      </c>
    </row>
    <row r="1137" spans="1:3" x14ac:dyDescent="0.25">
      <c r="A1137" s="1">
        <f>Risk_Analysis!A1137</f>
        <v>45834</v>
      </c>
      <c r="B1137" s="4">
        <f>B1136 * EXP(Risk_Analysis!D1137)</f>
        <v>1.652943242294078</v>
      </c>
      <c r="C1137" s="4">
        <f>C1136 * EXP(Risk_Analysis!E1137)</f>
        <v>1.3005928537093372</v>
      </c>
    </row>
    <row r="1138" spans="1:3" x14ac:dyDescent="0.25">
      <c r="A1138" s="1">
        <f>Risk_Analysis!A1138</f>
        <v>45835</v>
      </c>
      <c r="B1138" s="4">
        <f>B1137 * EXP(Risk_Analysis!D1138)</f>
        <v>1.6611556852257039</v>
      </c>
      <c r="C1138" s="4">
        <f>C1137 * EXP(Risk_Analysis!E1138)</f>
        <v>1.3031565454254084</v>
      </c>
    </row>
    <row r="1139" spans="1:3" x14ac:dyDescent="0.25">
      <c r="A1139" s="1">
        <f>Risk_Analysis!A1139</f>
        <v>45838</v>
      </c>
      <c r="B1139" s="4">
        <f>B1138 * EXP(Risk_Analysis!D1139)</f>
        <v>1.6690979820082632</v>
      </c>
      <c r="C1139" s="4">
        <f>C1138 * EXP(Risk_Analysis!E1139)</f>
        <v>1.3084441595898051</v>
      </c>
    </row>
    <row r="1140" spans="1:3" x14ac:dyDescent="0.25">
      <c r="A1140" s="1">
        <f>Risk_Analysis!A1140</f>
        <v>45839</v>
      </c>
      <c r="B1140" s="4">
        <f>B1139 * EXP(Risk_Analysis!D1140)</f>
        <v>1.6685576897101297</v>
      </c>
      <c r="C1140" s="4">
        <f>C1139 * EXP(Risk_Analysis!E1140)</f>
        <v>1.3129306200929296</v>
      </c>
    </row>
    <row r="1141" spans="1:3" x14ac:dyDescent="0.25">
      <c r="A1141" s="1">
        <f>Risk_Analysis!A1141</f>
        <v>45840</v>
      </c>
      <c r="B1141" s="4">
        <f>B1140 * EXP(Risk_Analysis!D1141)</f>
        <v>1.676121781883996</v>
      </c>
      <c r="C1141" s="4">
        <f>C1140 * EXP(Risk_Analysis!E1141)</f>
        <v>1.301554238102864</v>
      </c>
    </row>
    <row r="1142" spans="1:3" x14ac:dyDescent="0.25">
      <c r="A1142" s="1">
        <f>Risk_Analysis!A1142</f>
        <v>45841</v>
      </c>
      <c r="B1142" s="4">
        <f>B1141 * EXP(Risk_Analysis!D1142)</f>
        <v>1.6893319285733548</v>
      </c>
      <c r="C1142" s="4">
        <f>C1141 * EXP(Risk_Analysis!E1142)</f>
        <v>1.3113283127703852</v>
      </c>
    </row>
    <row r="1143" spans="1:3" x14ac:dyDescent="0.25">
      <c r="A1143" s="1">
        <f>Risk_Analysis!A1143</f>
        <v>45845</v>
      </c>
      <c r="B1143" s="4">
        <f>B1142 * EXP(Risk_Analysis!D1143)</f>
        <v>1.6767431180268488</v>
      </c>
      <c r="C1143" s="4">
        <f>C1142 * EXP(Risk_Analysis!E1143)</f>
        <v>1.314052235218711</v>
      </c>
    </row>
    <row r="1144" spans="1:3" x14ac:dyDescent="0.25">
      <c r="A1144" s="1">
        <f>Risk_Analysis!A1144</f>
        <v>45846</v>
      </c>
      <c r="B1144" s="4">
        <f>B1143 * EXP(Risk_Analysis!D1144)</f>
        <v>1.6758246211200225</v>
      </c>
      <c r="C1144" s="4">
        <f>C1143 * EXP(Risk_Analysis!E1144)</f>
        <v>1.3001121615125741</v>
      </c>
    </row>
    <row r="1145" spans="1:3" x14ac:dyDescent="0.25">
      <c r="A1145" s="1">
        <f>Risk_Analysis!A1145</f>
        <v>45847</v>
      </c>
      <c r="B1145" s="4">
        <f>B1144 * EXP(Risk_Analysis!D1145)</f>
        <v>1.6858740578653013</v>
      </c>
      <c r="C1145" s="4">
        <f>C1144 * EXP(Risk_Analysis!E1145)</f>
        <v>1.3122896971639122</v>
      </c>
    </row>
    <row r="1146" spans="1:3" x14ac:dyDescent="0.25">
      <c r="A1146" s="1">
        <f>Risk_Analysis!A1146</f>
        <v>45848</v>
      </c>
      <c r="B1146" s="4">
        <f>B1145 * EXP(Risk_Analysis!D1146)</f>
        <v>1.6906286300888747</v>
      </c>
      <c r="C1146" s="4">
        <f>C1145 * EXP(Risk_Analysis!E1146)</f>
        <v>1.3230251562249598</v>
      </c>
    </row>
    <row r="1147" spans="1:3" x14ac:dyDescent="0.25">
      <c r="A1147" s="1">
        <f>Risk_Analysis!A1147</f>
        <v>45849</v>
      </c>
      <c r="B1147" s="4">
        <f>B1146 * EXP(Risk_Analysis!D1147)</f>
        <v>1.6846854148094084</v>
      </c>
      <c r="C1147" s="4">
        <f>C1146 * EXP(Risk_Analysis!E1147)</f>
        <v>1.3211023874379066</v>
      </c>
    </row>
    <row r="1148" spans="1:3" x14ac:dyDescent="0.25">
      <c r="A1148" s="1">
        <f>Risk_Analysis!A1148</f>
        <v>45852</v>
      </c>
      <c r="B1148" s="4">
        <f>B1147 * EXP(Risk_Analysis!D1148)</f>
        <v>1.6879001539833012</v>
      </c>
      <c r="C1148" s="4">
        <f>C1147 * EXP(Risk_Analysis!E1148)</f>
        <v>1.3263900016023034</v>
      </c>
    </row>
    <row r="1149" spans="1:3" x14ac:dyDescent="0.25">
      <c r="A1149" s="1">
        <f>Risk_Analysis!A1149</f>
        <v>45853</v>
      </c>
      <c r="B1149" s="4">
        <f>B1148 * EXP(Risk_Analysis!D1149)</f>
        <v>1.6806872518032219</v>
      </c>
      <c r="C1149" s="4">
        <f>C1148 * EXP(Risk_Analysis!E1149)</f>
        <v>1.313731773754202</v>
      </c>
    </row>
    <row r="1150" spans="1:3" x14ac:dyDescent="0.25">
      <c r="A1150" s="1">
        <f>Risk_Analysis!A1150</f>
        <v>45854</v>
      </c>
      <c r="B1150" s="4">
        <f>B1149 * EXP(Risk_Analysis!D1150)</f>
        <v>1.6863062917038083</v>
      </c>
      <c r="C1150" s="4">
        <f>C1149 * EXP(Risk_Analysis!E1150)</f>
        <v>1.3143726966832201</v>
      </c>
    </row>
    <row r="1151" spans="1:3" x14ac:dyDescent="0.25">
      <c r="A1151" s="1">
        <f>Risk_Analysis!A1151</f>
        <v>45855</v>
      </c>
      <c r="B1151" s="4">
        <f>B1150 * EXP(Risk_Analysis!D1151)</f>
        <v>1.6966258745981539</v>
      </c>
      <c r="C1151" s="4">
        <f>C1150 * EXP(Risk_Analysis!E1151)</f>
        <v>1.3198205415798714</v>
      </c>
    </row>
    <row r="1152" spans="1:3" x14ac:dyDescent="0.25">
      <c r="A1152" s="1">
        <f>Risk_Analysis!A1152</f>
        <v>45856</v>
      </c>
      <c r="B1152" s="4">
        <f>B1151 * EXP(Risk_Analysis!D1152)</f>
        <v>1.6953832023124475</v>
      </c>
      <c r="C1152" s="4">
        <f>C1151 * EXP(Risk_Analysis!E1152)</f>
        <v>1.3419323826309848</v>
      </c>
    </row>
    <row r="1153" spans="1:3" x14ac:dyDescent="0.25">
      <c r="A1153" s="1">
        <f>Risk_Analysis!A1153</f>
        <v>45859</v>
      </c>
      <c r="B1153" s="4">
        <f>B1152 * EXP(Risk_Analysis!D1153)</f>
        <v>1.6985979414863404</v>
      </c>
      <c r="C1153" s="4">
        <f>C1152 * EXP(Risk_Analysis!E1153)</f>
        <v>1.3462586124018547</v>
      </c>
    </row>
    <row r="1154" spans="1:3" x14ac:dyDescent="0.25">
      <c r="A1154" s="1">
        <f>Risk_Analysis!A1154</f>
        <v>45860</v>
      </c>
      <c r="B1154" s="4">
        <f>B1153 * EXP(Risk_Analysis!D1154)</f>
        <v>1.6988410730205004</v>
      </c>
      <c r="C1154" s="4">
        <f>C1153 * EXP(Risk_Analysis!E1154)</f>
        <v>1.3627623778240627</v>
      </c>
    </row>
    <row r="1155" spans="1:3" x14ac:dyDescent="0.25">
      <c r="A1155" s="1">
        <f>Risk_Analysis!A1155</f>
        <v>45861</v>
      </c>
      <c r="B1155" s="4">
        <f>B1154 * EXP(Risk_Analysis!D1155)</f>
        <v>1.713293891995566</v>
      </c>
      <c r="C1155" s="4">
        <f>C1154 * EXP(Risk_Analysis!E1155)</f>
        <v>1.3525076109597782</v>
      </c>
    </row>
    <row r="1156" spans="1:3" x14ac:dyDescent="0.25">
      <c r="A1156" s="1">
        <f>Risk_Analysis!A1156</f>
        <v>45862</v>
      </c>
      <c r="B1156" s="4">
        <f>B1155 * EXP(Risk_Analysis!D1156)</f>
        <v>1.7138611989086057</v>
      </c>
      <c r="C1156" s="4">
        <f>C1155 * EXP(Risk_Analysis!E1156)</f>
        <v>1.3507450729049795</v>
      </c>
    </row>
    <row r="1157" spans="1:3" x14ac:dyDescent="0.25">
      <c r="A1157" s="1">
        <f>Risk_Analysis!A1157</f>
        <v>45863</v>
      </c>
      <c r="B1157" s="4">
        <f>B1156 * EXP(Risk_Analysis!D1157)</f>
        <v>1.7211011157035918</v>
      </c>
      <c r="C1157" s="4">
        <f>C1156 * EXP(Risk_Analysis!E1157)</f>
        <v>1.3542701490145772</v>
      </c>
    </row>
    <row r="1158" spans="1:3" x14ac:dyDescent="0.25">
      <c r="A1158" s="1">
        <f>Risk_Analysis!A1158</f>
        <v>45866</v>
      </c>
      <c r="B1158" s="4">
        <f>B1157 * EXP(Risk_Analysis!D1158)</f>
        <v>1.7206688818650853</v>
      </c>
      <c r="C1158" s="4">
        <f>C1157 * EXP(Risk_Analysis!E1158)</f>
        <v>1.3398493831116771</v>
      </c>
    </row>
    <row r="1159" spans="1:3" x14ac:dyDescent="0.25">
      <c r="A1159" s="1">
        <f>Risk_Analysis!A1159</f>
        <v>45867</v>
      </c>
      <c r="B1159" s="4">
        <f>B1158 * EXP(Risk_Analysis!D1159)</f>
        <v>1.7161304265607653</v>
      </c>
      <c r="C1159" s="4">
        <f>C1158 * EXP(Risk_Analysis!E1159)</f>
        <v>1.3552315334081038</v>
      </c>
    </row>
    <row r="1160" spans="1:3" x14ac:dyDescent="0.25">
      <c r="A1160" s="1">
        <f>Risk_Analysis!A1160</f>
        <v>45868</v>
      </c>
      <c r="B1160" s="4">
        <f>B1159 * EXP(Risk_Analysis!D1160)</f>
        <v>1.7139692573682321</v>
      </c>
      <c r="C1160" s="4">
        <f>C1159 * EXP(Risk_Analysis!E1160)</f>
        <v>1.3653260695401339</v>
      </c>
    </row>
    <row r="1161" spans="1:3" x14ac:dyDescent="0.25">
      <c r="A1161" s="1">
        <f>Risk_Analysis!A1161</f>
        <v>45869</v>
      </c>
      <c r="B1161" s="4">
        <f>B1160 * EXP(Risk_Analysis!D1161)</f>
        <v>1.7075397790204461</v>
      </c>
      <c r="C1161" s="4">
        <f>C1160 * EXP(Risk_Analysis!E1161)</f>
        <v>1.3726966832238385</v>
      </c>
    </row>
    <row r="1162" spans="1:3" x14ac:dyDescent="0.25">
      <c r="A1162" s="1">
        <f>Risk_Analysis!A1162</f>
        <v>45870</v>
      </c>
      <c r="B1162" s="4">
        <f>B1161 * EXP(Risk_Analysis!D1162)</f>
        <v>1.6795526379771417</v>
      </c>
      <c r="C1162" s="4">
        <f>C1161 * EXP(Risk_Analysis!E1162)</f>
        <v>1.3747796827431464</v>
      </c>
    </row>
    <row r="1163" spans="1:3" x14ac:dyDescent="0.25">
      <c r="A1163" s="1">
        <f>Risk_Analysis!A1163</f>
        <v>45873</v>
      </c>
      <c r="B1163" s="4">
        <f>B1162 * EXP(Risk_Analysis!D1163)</f>
        <v>1.7050814490639392</v>
      </c>
      <c r="C1163" s="4">
        <f>C1162 * EXP(Risk_Analysis!E1163)</f>
        <v>1.3991347540458221</v>
      </c>
    </row>
    <row r="1164" spans="1:3" x14ac:dyDescent="0.25">
      <c r="A1164" s="1">
        <f>Risk_Analysis!A1164</f>
        <v>45874</v>
      </c>
      <c r="B1164" s="4">
        <f>B1163 * EXP(Risk_Analysis!D1164)</f>
        <v>1.6964367722938067</v>
      </c>
      <c r="C1164" s="4">
        <f>C1163 * EXP(Risk_Analysis!E1164)</f>
        <v>1.3842332959461587</v>
      </c>
    </row>
    <row r="1165" spans="1:3" x14ac:dyDescent="0.25">
      <c r="A1165" s="1">
        <f>Risk_Analysis!A1165</f>
        <v>45875</v>
      </c>
      <c r="B1165" s="4">
        <f>B1164 * EXP(Risk_Analysis!D1165)</f>
        <v>1.7094308020639122</v>
      </c>
      <c r="C1165" s="4">
        <f>C1164 * EXP(Risk_Analysis!E1165)</f>
        <v>1.3718955295625666</v>
      </c>
    </row>
    <row r="1166" spans="1:3" x14ac:dyDescent="0.25">
      <c r="A1166" s="1">
        <f>Risk_Analysis!A1166</f>
        <v>45876</v>
      </c>
      <c r="B1166" s="4">
        <f>B1165 * EXP(Risk_Analysis!D1166)</f>
        <v>1.707999027473859</v>
      </c>
      <c r="C1166" s="4">
        <f>C1165 * EXP(Risk_Analysis!E1166)</f>
        <v>1.3867969876622301</v>
      </c>
    </row>
    <row r="1167" spans="1:3" x14ac:dyDescent="0.25">
      <c r="A1167" s="1">
        <f>Risk_Analysis!A1167</f>
        <v>45877</v>
      </c>
      <c r="B1167" s="4">
        <f>B1166 * EXP(Risk_Analysis!D1167)</f>
        <v>1.7213172326228445</v>
      </c>
      <c r="C1167" s="4">
        <f>C1166 * EXP(Risk_Analysis!E1167)</f>
        <v>1.3808684505688158</v>
      </c>
    </row>
    <row r="1168" spans="1:3" x14ac:dyDescent="0.25">
      <c r="A1168" s="1">
        <f>Risk_Analysis!A1168</f>
        <v>45880</v>
      </c>
      <c r="B1168" s="4">
        <f>B1167 * EXP(Risk_Analysis!D1168)</f>
        <v>1.7179133911446047</v>
      </c>
      <c r="C1168" s="4">
        <f>C1167 * EXP(Risk_Analysis!E1168)</f>
        <v>1.3765422207979456</v>
      </c>
    </row>
    <row r="1169" spans="1:3" x14ac:dyDescent="0.25">
      <c r="A1169" s="1">
        <f>Risk_Analysis!A1169</f>
        <v>45881</v>
      </c>
      <c r="B1169" s="4">
        <f>B1168 * EXP(Risk_Analysis!D1169)</f>
        <v>1.736202285436417</v>
      </c>
      <c r="C1169" s="4">
        <f>C1168 * EXP(Risk_Analysis!E1169)</f>
        <v>1.3824707578913602</v>
      </c>
    </row>
    <row r="1170" spans="1:3" x14ac:dyDescent="0.25">
      <c r="A1170" s="1">
        <f>Risk_Analysis!A1170</f>
        <v>45882</v>
      </c>
      <c r="B1170" s="4">
        <f>B1169 * EXP(Risk_Analysis!D1170)</f>
        <v>1.742145500715883</v>
      </c>
      <c r="C1170" s="4">
        <f>C1169 * EXP(Risk_Analysis!E1170)</f>
        <v>1.3855151418041949</v>
      </c>
    </row>
    <row r="1171" spans="1:3" x14ac:dyDescent="0.25">
      <c r="A1171" s="1">
        <f>Risk_Analysis!A1171</f>
        <v>45883</v>
      </c>
      <c r="B1171" s="4">
        <f>B1170 * EXP(Risk_Analysis!D1171)</f>
        <v>1.742307588405323</v>
      </c>
      <c r="C1171" s="4">
        <f>C1170 * EXP(Risk_Analysis!E1171)</f>
        <v>1.3759012978689282</v>
      </c>
    </row>
    <row r="1172" spans="1:3" x14ac:dyDescent="0.25">
      <c r="A1172" s="1">
        <f>Risk_Analysis!A1172</f>
        <v>45884</v>
      </c>
      <c r="B1172" s="4">
        <f>B1171 * EXP(Risk_Analysis!D1172)</f>
        <v>1.7382283815544166</v>
      </c>
      <c r="C1172" s="4">
        <f>C1171 * EXP(Risk_Analysis!E1172)</f>
        <v>1.371895529562567</v>
      </c>
    </row>
    <row r="1173" spans="1:3" x14ac:dyDescent="0.25">
      <c r="A1173" s="1">
        <f>Risk_Analysis!A1173</f>
        <v>45887</v>
      </c>
      <c r="B1173" s="4">
        <f>B1172 * EXP(Risk_Analysis!D1173)</f>
        <v>1.7378501769457231</v>
      </c>
      <c r="C1173" s="4">
        <f>C1172 * EXP(Risk_Analysis!E1173)</f>
        <v>1.3659669924691524</v>
      </c>
    </row>
    <row r="1174" spans="1:3" x14ac:dyDescent="0.25">
      <c r="A1174" s="1">
        <f>Risk_Analysis!A1174</f>
        <v>45888</v>
      </c>
      <c r="B1174" s="4">
        <f>B1173 * EXP(Risk_Analysis!D1174)</f>
        <v>1.7284220763432971</v>
      </c>
      <c r="C1174" s="4">
        <f>C1173 * EXP(Risk_Analysis!E1174)</f>
        <v>1.3792661432462714</v>
      </c>
    </row>
    <row r="1175" spans="1:3" x14ac:dyDescent="0.25">
      <c r="A1175" s="1">
        <f>Risk_Analysis!A1175</f>
        <v>45889</v>
      </c>
      <c r="B1175" s="4">
        <f>B1174 * EXP(Risk_Analysis!D1175)</f>
        <v>1.7238295918091644</v>
      </c>
      <c r="C1175" s="4">
        <f>C1174 * EXP(Risk_Analysis!E1175)</f>
        <v>1.3807082198365617</v>
      </c>
    </row>
    <row r="1176" spans="1:3" x14ac:dyDescent="0.25">
      <c r="A1176" s="1">
        <f>Risk_Analysis!A1176</f>
        <v>45890</v>
      </c>
      <c r="B1176" s="4">
        <f>B1175 * EXP(Risk_Analysis!D1176)</f>
        <v>1.7169138503930581</v>
      </c>
      <c r="C1176" s="4">
        <f>C1175 * EXP(Risk_Analysis!E1176)</f>
        <v>1.3712546066335494</v>
      </c>
    </row>
    <row r="1177" spans="1:3" x14ac:dyDescent="0.25">
      <c r="A1177" s="1">
        <f>Risk_Analysis!A1177</f>
        <v>45891</v>
      </c>
      <c r="B1177" s="4">
        <f>B1176 * EXP(Risk_Analysis!D1177)</f>
        <v>1.7432801145419627</v>
      </c>
      <c r="C1177" s="4">
        <f>C1176 * EXP(Risk_Analysis!E1177)</f>
        <v>1.378625220317254</v>
      </c>
    </row>
    <row r="1178" spans="1:3" x14ac:dyDescent="0.25">
      <c r="A1178" s="1">
        <f>Risk_Analysis!A1178</f>
        <v>45894</v>
      </c>
      <c r="B1178" s="4">
        <f>B1177 * EXP(Risk_Analysis!D1178)</f>
        <v>1.7356079639084703</v>
      </c>
      <c r="C1178" s="4">
        <f>C1177 * EXP(Risk_Analysis!E1178)</f>
        <v>1.3630828392885725</v>
      </c>
    </row>
    <row r="1179" spans="1:3" x14ac:dyDescent="0.25">
      <c r="A1179" s="1">
        <f>Risk_Analysis!A1179</f>
        <v>45895</v>
      </c>
      <c r="B1179" s="4">
        <f>B1178 * EXP(Risk_Analysis!D1179)</f>
        <v>1.742874895318363</v>
      </c>
      <c r="C1179" s="4">
        <f>C1178 * EXP(Risk_Analysis!E1179)</f>
        <v>1.3661272232014072</v>
      </c>
    </row>
    <row r="1180" spans="1:3" x14ac:dyDescent="0.25">
      <c r="A1180" s="1">
        <f>Risk_Analysis!A1180</f>
        <v>45896</v>
      </c>
      <c r="B1180" s="4">
        <f>B1179 * EXP(Risk_Analysis!D1180)</f>
        <v>1.7468460437096427</v>
      </c>
      <c r="C1180" s="4">
        <f>C1179 * EXP(Risk_Analysis!E1180)</f>
        <v>1.3664476846659162</v>
      </c>
    </row>
    <row r="1181" spans="1:3" x14ac:dyDescent="0.25">
      <c r="A1181" s="1">
        <f>Risk_Analysis!A1181</f>
        <v>45897</v>
      </c>
      <c r="B1181" s="4">
        <f>B1180 * EXP(Risk_Analysis!D1181)</f>
        <v>1.7530323905232688</v>
      </c>
      <c r="C1181" s="4">
        <f>C1180 * EXP(Risk_Analysis!E1181)</f>
        <v>1.3560326870693771</v>
      </c>
    </row>
    <row r="1182" spans="1:3" x14ac:dyDescent="0.25">
      <c r="A1182" s="1">
        <f>Risk_Analysis!A1182</f>
        <v>45898</v>
      </c>
      <c r="B1182" s="4">
        <f>B1181 * EXP(Risk_Analysis!D1182)</f>
        <v>1.7425777345543896</v>
      </c>
      <c r="C1182" s="4">
        <f>C1181 * EXP(Risk_Analysis!E1182)</f>
        <v>1.3510655343694893</v>
      </c>
    </row>
    <row r="1183" spans="1:3" x14ac:dyDescent="0.25">
      <c r="A1183" s="1">
        <f>Risk_Analysis!A1183</f>
        <v>45902</v>
      </c>
      <c r="B1183" s="4">
        <f>B1182 * EXP(Risk_Analysis!D1183)</f>
        <v>1.7296647486290042</v>
      </c>
      <c r="C1183" s="4">
        <f>C1182 * EXP(Risk_Analysis!E1183)</f>
        <v>1.346579073866365</v>
      </c>
    </row>
    <row r="1184" spans="1:3" x14ac:dyDescent="0.25">
      <c r="A1184" s="1">
        <f>Risk_Analysis!A1184</f>
        <v>45903</v>
      </c>
      <c r="B1184" s="4">
        <f>B1183 * EXP(Risk_Analysis!D1184)</f>
        <v>1.7390388200016169</v>
      </c>
      <c r="C1184" s="4">
        <f>C1183 * EXP(Risk_Analysis!E1184)</f>
        <v>1.3432142284890216</v>
      </c>
    </row>
    <row r="1185" spans="1:3" x14ac:dyDescent="0.25">
      <c r="A1185" s="1">
        <f>Risk_Analysis!A1185</f>
        <v>45904</v>
      </c>
      <c r="B1185" s="4">
        <f>B1184 * EXP(Risk_Analysis!D1185)</f>
        <v>1.7535726828214024</v>
      </c>
      <c r="C1185" s="4">
        <f>C1184 * EXP(Risk_Analysis!E1185)</f>
        <v>1.3416119211664772</v>
      </c>
    </row>
    <row r="1186" spans="1:3" x14ac:dyDescent="0.25">
      <c r="A1186" s="1">
        <f>Risk_Analysis!A1186</f>
        <v>45905</v>
      </c>
      <c r="B1186" s="4">
        <f>B1185 * EXP(Risk_Analysis!D1186)</f>
        <v>1.7484939352189495</v>
      </c>
      <c r="C1186" s="4">
        <f>C1185 * EXP(Risk_Analysis!E1186)</f>
        <v>1.3374459221278616</v>
      </c>
    </row>
    <row r="1187" spans="1:3" x14ac:dyDescent="0.25">
      <c r="A1187" s="1">
        <f>Risk_Analysis!A1187</f>
        <v>45908</v>
      </c>
      <c r="B1187" s="4">
        <f>B1186 * EXP(Risk_Analysis!D1187)</f>
        <v>1.7527892589891092</v>
      </c>
      <c r="C1187" s="4">
        <f>C1186 * EXP(Risk_Analysis!E1187)</f>
        <v>1.3238263098862337</v>
      </c>
    </row>
    <row r="1188" spans="1:3" x14ac:dyDescent="0.25">
      <c r="A1188" s="1">
        <f>Risk_Analysis!A1188</f>
        <v>45909</v>
      </c>
      <c r="B1188" s="4">
        <f>B1187 * EXP(Risk_Analysis!D1188)</f>
        <v>1.7568414512251087</v>
      </c>
      <c r="C1188" s="4">
        <f>C1187 * EXP(Risk_Analysis!E1188)</f>
        <v>1.3329594616247371</v>
      </c>
    </row>
    <row r="1189" spans="1:3" x14ac:dyDescent="0.25">
      <c r="A1189" s="1">
        <f>Risk_Analysis!A1189</f>
        <v>45910</v>
      </c>
      <c r="B1189" s="4">
        <f>B1188 * EXP(Risk_Analysis!D1189)</f>
        <v>1.7619201988275617</v>
      </c>
      <c r="C1189" s="4">
        <f>C1188 * EXP(Risk_Analysis!E1189)</f>
        <v>1.3558724563371229</v>
      </c>
    </row>
    <row r="1190" spans="1:3" x14ac:dyDescent="0.25">
      <c r="A1190" s="1">
        <f>Risk_Analysis!A1190</f>
        <v>45911</v>
      </c>
      <c r="B1190" s="4">
        <f>B1189 * EXP(Risk_Analysis!D1190)</f>
        <v>1.7765621201069737</v>
      </c>
      <c r="C1190" s="4">
        <f>C1189 * EXP(Risk_Analysis!E1190)</f>
        <v>1.3630828392885728</v>
      </c>
    </row>
    <row r="1191" spans="1:3" x14ac:dyDescent="0.25">
      <c r="A1191" s="1">
        <f>Risk_Analysis!A1191</f>
        <v>45912</v>
      </c>
      <c r="B1191" s="4">
        <f>B1190 * EXP(Risk_Analysis!D1191)</f>
        <v>1.775967798579027</v>
      </c>
      <c r="C1191" s="4">
        <f>C1190 * EXP(Risk_Analysis!E1191)</f>
        <v>1.3699727607755141</v>
      </c>
    </row>
    <row r="1192" spans="1:3" x14ac:dyDescent="0.25">
      <c r="A1192" s="1">
        <f>Risk_Analysis!A1192</f>
        <v>45915</v>
      </c>
      <c r="B1192" s="4">
        <f>B1191 * EXP(Risk_Analysis!D1192)</f>
        <v>1.7854229137963595</v>
      </c>
      <c r="C1192" s="4">
        <f>C1191 * EXP(Risk_Analysis!E1192)</f>
        <v>1.3731773754206029</v>
      </c>
    </row>
    <row r="1193" spans="1:3" x14ac:dyDescent="0.25">
      <c r="A1193" s="1">
        <f>Risk_Analysis!A1193</f>
        <v>45916</v>
      </c>
      <c r="B1193" s="4">
        <f>B1192 * EXP(Risk_Analysis!D1193)</f>
        <v>1.7829645838398531</v>
      </c>
      <c r="C1193" s="4">
        <f>C1192 * EXP(Risk_Analysis!E1193)</f>
        <v>1.3481813811889094</v>
      </c>
    </row>
    <row r="1194" spans="1:3" x14ac:dyDescent="0.25">
      <c r="A1194" s="1">
        <f>Risk_Analysis!A1194</f>
        <v>45917</v>
      </c>
      <c r="B1194" s="4">
        <f>B1193 * EXP(Risk_Analysis!D1194)</f>
        <v>1.7807493854175065</v>
      </c>
      <c r="C1194" s="4">
        <f>C1193 * EXP(Risk_Analysis!E1194)</f>
        <v>1.3515462265662528</v>
      </c>
    </row>
    <row r="1195" spans="1:3" x14ac:dyDescent="0.25">
      <c r="A1195" s="1">
        <f>Risk_Analysis!A1195</f>
        <v>45918</v>
      </c>
      <c r="B1195" s="4">
        <f>B1194 * EXP(Risk_Analysis!D1195)</f>
        <v>1.7890698868087591</v>
      </c>
      <c r="C1195" s="4">
        <f>C1194 * EXP(Risk_Analysis!E1195)</f>
        <v>1.3525076109597796</v>
      </c>
    </row>
    <row r="1196" spans="1:3" x14ac:dyDescent="0.25">
      <c r="A1196" s="1">
        <f>Risk_Analysis!A1196</f>
        <v>45919</v>
      </c>
      <c r="B1196" s="4">
        <f>B1195 * EXP(Risk_Analysis!D1196)</f>
        <v>1.7929599913553189</v>
      </c>
      <c r="C1196" s="4">
        <f>C1195 * EXP(Risk_Analysis!E1196)</f>
        <v>1.3611600705015199</v>
      </c>
    </row>
    <row r="1197" spans="1:3" x14ac:dyDescent="0.25">
      <c r="A1197" s="1">
        <f>Risk_Analysis!A1197</f>
        <v>45922</v>
      </c>
      <c r="B1197" s="4">
        <f>B1196 * EXP(Risk_Analysis!D1197)</f>
        <v>1.8014425804360115</v>
      </c>
      <c r="C1197" s="4">
        <f>C1196 * EXP(Risk_Analysis!E1197)</f>
        <v>1.3651658388078811</v>
      </c>
    </row>
    <row r="1198" spans="1:3" x14ac:dyDescent="0.25">
      <c r="A1198" s="1">
        <f>Risk_Analysis!A1198</f>
        <v>45923</v>
      </c>
      <c r="B1198" s="4">
        <f>B1197 * EXP(Risk_Analysis!D1198)</f>
        <v>1.7916362752248922</v>
      </c>
      <c r="C1198" s="4">
        <f>C1197 * EXP(Risk_Analysis!E1198)</f>
        <v>1.3722159910270766</v>
      </c>
    </row>
    <row r="1199" spans="1:3" x14ac:dyDescent="0.25">
      <c r="A1199" s="1">
        <f>Risk_Analysis!A1199</f>
        <v>45924</v>
      </c>
      <c r="B1199" s="4">
        <f>B1198 * EXP(Risk_Analysis!D1199)</f>
        <v>1.7859361914795859</v>
      </c>
      <c r="C1199" s="4">
        <f>C1198 * EXP(Risk_Analysis!E1199)</f>
        <v>1.3819900656945976</v>
      </c>
    </row>
    <row r="1200" spans="1:3" x14ac:dyDescent="0.25">
      <c r="A1200" s="1">
        <f>Risk_Analysis!A1200</f>
        <v>45925</v>
      </c>
      <c r="B1200" s="4">
        <f>B1199 * EXP(Risk_Analysis!D1200)</f>
        <v>1.7776967339330532</v>
      </c>
      <c r="C1200" s="4">
        <f>C1199 * EXP(Risk_Analysis!E1200)</f>
        <v>1.3686909149174786</v>
      </c>
    </row>
    <row r="1201" spans="1:3" x14ac:dyDescent="0.25">
      <c r="A1201" s="1">
        <f>Risk_Analysis!A1201</f>
        <v>45926</v>
      </c>
      <c r="B1201" s="4">
        <f>B1200 * EXP(Risk_Analysis!D1201)</f>
        <v>1.7878812437528659</v>
      </c>
      <c r="C1201" s="4">
        <f>C1200 * EXP(Risk_Analysis!E1201)</f>
        <v>1.3909629867008466</v>
      </c>
    </row>
    <row r="1202" spans="1:3" x14ac:dyDescent="0.25">
      <c r="A1202" s="1">
        <f>Risk_Analysis!A1202</f>
        <v>45929</v>
      </c>
      <c r="B1202" s="4">
        <f>B1201 * EXP(Risk_Analysis!D1202)</f>
        <v>1.7929059621255052</v>
      </c>
      <c r="C1202" s="4">
        <f>C1201 * EXP(Risk_Analysis!E1202)</f>
        <v>1.3949687550072079</v>
      </c>
    </row>
    <row r="1203" spans="1:3" x14ac:dyDescent="0.25">
      <c r="A1203" s="1">
        <f>Risk_Analysis!A1203</f>
        <v>45930</v>
      </c>
      <c r="B1203" s="4">
        <f>B1202 * EXP(Risk_Analysis!D1203)</f>
        <v>1.7996596158521714</v>
      </c>
      <c r="C1203" s="4">
        <f>C1202 * EXP(Risk_Analysis!E1203)</f>
        <v>1.3973722159910245</v>
      </c>
    </row>
    <row r="1204" spans="1:3" x14ac:dyDescent="0.25">
      <c r="A1204" s="1">
        <f>Risk_Analysis!A1204</f>
        <v>45931</v>
      </c>
      <c r="B1204" s="4">
        <f>B1203 * EXP(Risk_Analysis!D1204)</f>
        <v>1.8057919334359847</v>
      </c>
      <c r="C1204" s="4">
        <f>C1203 * EXP(Risk_Analysis!E1204)</f>
        <v>1.410831597500398</v>
      </c>
    </row>
    <row r="1205" spans="1:3" x14ac:dyDescent="0.25">
      <c r="A1205" s="1">
        <f>Risk_Analysis!A1205</f>
        <v>45932</v>
      </c>
      <c r="B1205" s="4">
        <f>B1204 * EXP(Risk_Analysis!D1205)</f>
        <v>1.8078720587837978</v>
      </c>
      <c r="C1205" s="4">
        <f>C1204 * EXP(Risk_Analysis!E1205)</f>
        <v>1.408267905784327</v>
      </c>
    </row>
    <row r="1206" spans="1:3" x14ac:dyDescent="0.25">
      <c r="A1206" s="1">
        <f>Risk_Analysis!A1206</f>
        <v>45933</v>
      </c>
      <c r="B1206" s="4">
        <f>B1205 * EXP(Risk_Analysis!D1206)</f>
        <v>1.8078450441688911</v>
      </c>
      <c r="C1206" s="4">
        <f>C1205 * EXP(Risk_Analysis!E1206)</f>
        <v>1.4246114404742807</v>
      </c>
    </row>
    <row r="1207" spans="1:3" x14ac:dyDescent="0.25">
      <c r="A1207" s="1">
        <f>Risk_Analysis!A1207</f>
        <v>45936</v>
      </c>
      <c r="B1207" s="4">
        <f>B1206 * EXP(Risk_Analysis!D1207)</f>
        <v>1.8143285517464907</v>
      </c>
      <c r="C1207" s="4">
        <f>C1206 * EXP(Risk_Analysis!E1207)</f>
        <v>1.4383912834481631</v>
      </c>
    </row>
    <row r="1208" spans="1:3" x14ac:dyDescent="0.25">
      <c r="A1208" s="1">
        <f>Risk_Analysis!A1208</f>
        <v>45937</v>
      </c>
      <c r="B1208" s="4">
        <f>B1207 * EXP(Risk_Analysis!D1208)</f>
        <v>1.8076019126347311</v>
      </c>
      <c r="C1208" s="4">
        <f>C1207 * EXP(Risk_Analysis!E1208)</f>
        <v>1.4449607434705956</v>
      </c>
    </row>
    <row r="1209" spans="1:3" x14ac:dyDescent="0.25">
      <c r="A1209" s="1">
        <f>Risk_Analysis!A1209</f>
        <v>45938</v>
      </c>
      <c r="B1209" s="4">
        <f>B1208 * EXP(Risk_Analysis!D1209)</f>
        <v>1.8183807439824902</v>
      </c>
      <c r="C1209" s="4">
        <f>C1208 * EXP(Risk_Analysis!E1209)</f>
        <v>1.4548950488703711</v>
      </c>
    </row>
    <row r="1210" spans="1:3" x14ac:dyDescent="0.25">
      <c r="A1210" s="1">
        <f>Risk_Analysis!A1210</f>
        <v>45939</v>
      </c>
      <c r="B1210" s="4">
        <f>B1209 * EXP(Risk_Analysis!D1210)</f>
        <v>1.8131128940756907</v>
      </c>
      <c r="C1210" s="4">
        <f>C1209 * EXP(Risk_Analysis!E1210)</f>
        <v>1.4512097420285188</v>
      </c>
    </row>
    <row r="1211" spans="1:3" x14ac:dyDescent="0.25">
      <c r="A1211" s="1">
        <f>Risk_Analysis!A1211</f>
        <v>45940</v>
      </c>
      <c r="B1211" s="4">
        <f>B1210 * EXP(Risk_Analysis!D1211)</f>
        <v>1.7641083826350015</v>
      </c>
      <c r="C1211" s="4">
        <f>C1210 * EXP(Risk_Analysis!E1211)</f>
        <v>1.4452812049351045</v>
      </c>
    </row>
    <row r="1212" spans="1:3" x14ac:dyDescent="0.25">
      <c r="A1212" s="1">
        <f>Risk_Analysis!A1212</f>
        <v>45943</v>
      </c>
      <c r="B1212" s="4">
        <f>B1211 * EXP(Risk_Analysis!D1212)</f>
        <v>1.7911770267714791</v>
      </c>
      <c r="C1212" s="4">
        <f>C1211 * EXP(Risk_Analysis!E1212)</f>
        <v>1.4563371254606612</v>
      </c>
    </row>
    <row r="1213" spans="1:3" x14ac:dyDescent="0.25">
      <c r="A1213" s="1">
        <f>Risk_Analysis!A1213</f>
        <v>45944</v>
      </c>
      <c r="B1213" s="4">
        <f>B1212 * EXP(Risk_Analysis!D1213)</f>
        <v>1.7889888429640395</v>
      </c>
      <c r="C1213" s="4">
        <f>C1212 * EXP(Risk_Analysis!E1213)</f>
        <v>1.4693158147732714</v>
      </c>
    </row>
    <row r="1214" spans="1:3" x14ac:dyDescent="0.25">
      <c r="A1214" s="1">
        <f>Risk_Analysis!A1214</f>
        <v>45945</v>
      </c>
      <c r="B1214" s="4">
        <f>B1213 * EXP(Risk_Analysis!D1214)</f>
        <v>1.7969311397465988</v>
      </c>
      <c r="C1214" s="4">
        <f>C1213 * EXP(Risk_Analysis!E1214)</f>
        <v>1.488543502643805</v>
      </c>
    </row>
    <row r="1215" spans="1:3" x14ac:dyDescent="0.25">
      <c r="A1215" s="1">
        <f>Risk_Analysis!A1215</f>
        <v>45946</v>
      </c>
      <c r="B1215" s="4">
        <f>B1214 * EXP(Risk_Analysis!D1215)</f>
        <v>1.78469351919388</v>
      </c>
      <c r="C1215" s="4">
        <f>C1214 * EXP(Risk_Analysis!E1215)</f>
        <v>1.4723601986861057</v>
      </c>
    </row>
    <row r="1216" spans="1:3" x14ac:dyDescent="0.25">
      <c r="A1216" s="1">
        <f>Risk_Analysis!A1216</f>
        <v>45947</v>
      </c>
      <c r="B1216" s="4">
        <f>B1215 * EXP(Risk_Analysis!D1216)</f>
        <v>1.7948239997838793</v>
      </c>
      <c r="C1216" s="4">
        <f>C1215 * EXP(Risk_Analysis!E1216)</f>
        <v>1.4672328152539633</v>
      </c>
    </row>
    <row r="1217" spans="1:3" x14ac:dyDescent="0.25">
      <c r="A1217" s="1">
        <f>Risk_Analysis!A1217</f>
        <v>45950</v>
      </c>
      <c r="B1217" s="4">
        <f>B1216 * EXP(Risk_Analysis!D1217)</f>
        <v>1.8134910986843844</v>
      </c>
      <c r="C1217" s="4">
        <f>C1216 * EXP(Risk_Analysis!E1217)</f>
        <v>1.4667521230572003</v>
      </c>
    </row>
    <row r="1218" spans="1:3" x14ac:dyDescent="0.25">
      <c r="A1218" s="1">
        <f>Risk_Analysis!A1218</f>
        <v>45951</v>
      </c>
      <c r="B1218" s="4">
        <f>B1217 * EXP(Risk_Analysis!D1218)</f>
        <v>1.8134640840694778</v>
      </c>
      <c r="C1218" s="4">
        <f>C1217 * EXP(Risk_Analysis!E1218)</f>
        <v>1.4518506649575367</v>
      </c>
    </row>
    <row r="1219" spans="1:3" x14ac:dyDescent="0.25">
      <c r="A1219" s="1">
        <f>Risk_Analysis!A1219</f>
        <v>45952</v>
      </c>
      <c r="B1219" s="4">
        <f>B1218 * EXP(Risk_Analysis!D1219)</f>
        <v>1.8040359834670519</v>
      </c>
      <c r="C1219" s="4">
        <f>C1218 * EXP(Risk_Analysis!E1219)</f>
        <v>1.4484858195801933</v>
      </c>
    </row>
    <row r="1220" spans="1:3" x14ac:dyDescent="0.25">
      <c r="A1220" s="1">
        <f>Risk_Analysis!A1220</f>
        <v>45953</v>
      </c>
      <c r="B1220" s="4">
        <f>B1219 * EXP(Risk_Analysis!D1220)</f>
        <v>1.8147337709700913</v>
      </c>
      <c r="C1220" s="4">
        <f>C1219 * EXP(Risk_Analysis!E1220)</f>
        <v>1.4473642044544122</v>
      </c>
    </row>
    <row r="1221" spans="1:3" x14ac:dyDescent="0.25">
      <c r="A1221" s="1">
        <f>Risk_Analysis!A1221</f>
        <v>45954</v>
      </c>
      <c r="B1221" s="4">
        <f>B1220 * EXP(Risk_Analysis!D1221)</f>
        <v>1.82956479455385</v>
      </c>
      <c r="C1221" s="4">
        <f>C1220 * EXP(Risk_Analysis!E1221)</f>
        <v>1.4643486620733837</v>
      </c>
    </row>
    <row r="1222" spans="1:3" x14ac:dyDescent="0.25">
      <c r="A1222" s="1">
        <f>Risk_Analysis!A1222</f>
        <v>45957</v>
      </c>
      <c r="B1222" s="4">
        <f>B1221 * EXP(Risk_Analysis!D1222)</f>
        <v>1.8511494718642749</v>
      </c>
      <c r="C1222" s="4">
        <f>C1221 * EXP(Risk_Analysis!E1222)</f>
        <v>1.4683544303797447</v>
      </c>
    </row>
    <row r="1223" spans="1:3" x14ac:dyDescent="0.25">
      <c r="A1223" s="1">
        <f>Risk_Analysis!A1223</f>
        <v>45958</v>
      </c>
      <c r="B1223" s="4">
        <f>B1222 * EXP(Risk_Analysis!D1223)</f>
        <v>1.856066131777288</v>
      </c>
      <c r="C1223" s="4">
        <f>C1222 * EXP(Risk_Analysis!E1223)</f>
        <v>1.4441595898093231</v>
      </c>
    </row>
    <row r="1224" spans="1:3" x14ac:dyDescent="0.25">
      <c r="A1224" s="1">
        <f>Risk_Analysis!A1224</f>
        <v>45959</v>
      </c>
      <c r="B1224" s="4">
        <f>B1223 * EXP(Risk_Analysis!D1224)</f>
        <v>1.8569576140692079</v>
      </c>
      <c r="C1224" s="4">
        <f>C1223 * EXP(Risk_Analysis!E1224)</f>
        <v>1.4436788976125599</v>
      </c>
    </row>
    <row r="1225" spans="1:3" x14ac:dyDescent="0.25">
      <c r="A1225" s="1">
        <f>Risk_Analysis!A1225</f>
        <v>45960</v>
      </c>
      <c r="B1225" s="4">
        <f>B1224 * EXP(Risk_Analysis!D1225)</f>
        <v>1.8365345651997698</v>
      </c>
      <c r="C1225" s="4">
        <f>C1224 * EXP(Risk_Analysis!E1225)</f>
        <v>1.4375901297868909</v>
      </c>
    </row>
    <row r="1226" spans="1:3" x14ac:dyDescent="0.25">
      <c r="A1226" s="1">
        <f>Risk_Analysis!A1226</f>
        <v>45961</v>
      </c>
      <c r="B1226" s="4">
        <f>B1225 * EXP(Risk_Analysis!D1226)</f>
        <v>1.8425588243239557</v>
      </c>
      <c r="C1226" s="4">
        <f>C1225 * EXP(Risk_Analysis!E1226)</f>
        <v>1.4276558243871151</v>
      </c>
    </row>
    <row r="1227" spans="1:3" x14ac:dyDescent="0.25">
      <c r="A1227" s="1">
        <f>Risk_Analysis!A1227</f>
        <v>45964</v>
      </c>
      <c r="B1227" s="4">
        <f>B1226 * EXP(Risk_Analysis!D1227)</f>
        <v>1.8460166950320087</v>
      </c>
      <c r="C1227" s="4">
        <f>C1226 * EXP(Risk_Analysis!E1227)</f>
        <v>1.4284569780483876</v>
      </c>
    </row>
    <row r="1228" spans="1:3" x14ac:dyDescent="0.25">
      <c r="A1228" s="1">
        <f>Risk_Analysis!A1228</f>
        <v>45965</v>
      </c>
      <c r="B1228" s="4">
        <f>B1227 * EXP(Risk_Analysis!D1228)</f>
        <v>1.8241348569576106</v>
      </c>
      <c r="C1228" s="4">
        <f>C1227 * EXP(Risk_Analysis!E1228)</f>
        <v>1.4233295946162452</v>
      </c>
    </row>
    <row r="1229" spans="1:3" x14ac:dyDescent="0.25">
      <c r="A1229" s="1">
        <f>Risk_Analysis!A1229</f>
        <v>45966</v>
      </c>
      <c r="B1229" s="4">
        <f>B1228 * EXP(Risk_Analysis!D1229)</f>
        <v>1.8304562768457699</v>
      </c>
      <c r="C1229" s="4">
        <f>C1228 * EXP(Risk_Analysis!E1229)</f>
        <v>1.4236500560807541</v>
      </c>
    </row>
    <row r="1230" spans="1:3" x14ac:dyDescent="0.25">
      <c r="A1230" s="1">
        <f>Risk_Analysis!A1230</f>
        <v>45967</v>
      </c>
      <c r="B1230" s="4">
        <f>B1229 * EXP(Risk_Analysis!D1230)</f>
        <v>1.8108166518086246</v>
      </c>
      <c r="C1230" s="4">
        <f>C1229 * EXP(Risk_Analysis!E1230)</f>
        <v>1.4174010575228306</v>
      </c>
    </row>
    <row r="1231" spans="1:3" x14ac:dyDescent="0.25">
      <c r="A1231" s="1">
        <f>Risk_Analysis!A1231</f>
        <v>45968</v>
      </c>
      <c r="B1231" s="4">
        <f>B1230 * EXP(Risk_Analysis!D1231)</f>
        <v>1.8125996163924645</v>
      </c>
      <c r="C1231" s="4">
        <f>C1230 * EXP(Risk_Analysis!E1231)</f>
        <v>1.4371094375901277</v>
      </c>
    </row>
    <row r="1232" spans="1:3" x14ac:dyDescent="0.25">
      <c r="A1232" s="1">
        <f>Risk_Analysis!A1232</f>
        <v>45971</v>
      </c>
      <c r="B1232" s="4">
        <f>B1231 * EXP(Risk_Analysis!D1232)</f>
        <v>1.8408839181997423</v>
      </c>
      <c r="C1232" s="4">
        <f>C1231 * EXP(Risk_Analysis!E1232)</f>
        <v>1.4366287453933644</v>
      </c>
    </row>
    <row r="1233" spans="1:3" x14ac:dyDescent="0.25">
      <c r="A1233" s="1">
        <f>Risk_Analysis!A1233</f>
        <v>45972</v>
      </c>
      <c r="B1233" s="4">
        <f>B1232 * EXP(Risk_Analysis!D1233)</f>
        <v>1.8450981981251817</v>
      </c>
      <c r="C1233" s="4">
        <f>C1232 * EXP(Risk_Analysis!E1233)</f>
        <v>1.4374298990546366</v>
      </c>
    </row>
    <row r="1234" spans="1:3" x14ac:dyDescent="0.25">
      <c r="A1234" s="1">
        <f>Risk_Analysis!A1234</f>
        <v>45973</v>
      </c>
      <c r="B1234" s="4">
        <f>B1233 * EXP(Risk_Analysis!D1234)</f>
        <v>1.8461247534916352</v>
      </c>
      <c r="C1234" s="4">
        <f>C1233 * EXP(Risk_Analysis!E1234)</f>
        <v>1.4407947444319802</v>
      </c>
    </row>
    <row r="1235" spans="1:3" x14ac:dyDescent="0.25">
      <c r="A1235" s="1">
        <f>Risk_Analysis!A1235</f>
        <v>45974</v>
      </c>
      <c r="B1235" s="4">
        <f>B1234 * EXP(Risk_Analysis!D1235)</f>
        <v>1.8154901801874774</v>
      </c>
      <c r="C1235" s="4">
        <f>C1234 * EXP(Risk_Analysis!E1235)</f>
        <v>1.4209261336324288</v>
      </c>
    </row>
    <row r="1236" spans="1:3" x14ac:dyDescent="0.25">
      <c r="A1236" s="1">
        <f>Risk_Analysis!A1236</f>
        <v>45975</v>
      </c>
      <c r="B1236" s="4">
        <f>B1235 * EXP(Risk_Analysis!D1236)</f>
        <v>1.8151930194235042</v>
      </c>
      <c r="C1236" s="4">
        <f>C1235 * EXP(Risk_Analysis!E1236)</f>
        <v>1.4222079794904645</v>
      </c>
    </row>
    <row r="1237" spans="1:3" x14ac:dyDescent="0.25">
      <c r="A1237" s="1">
        <f>Risk_Analysis!A1237</f>
        <v>45978</v>
      </c>
      <c r="B1237" s="4">
        <f>B1236 * EXP(Risk_Analysis!D1237)</f>
        <v>1.7982818704919323</v>
      </c>
      <c r="C1237" s="4">
        <f>C1236 * EXP(Risk_Analysis!E1237)</f>
        <v>1.4350264380708202</v>
      </c>
    </row>
    <row r="1238" spans="1:3" x14ac:dyDescent="0.25">
      <c r="A1238" s="1">
        <f>Risk_Analysis!A1238</f>
        <v>45979</v>
      </c>
      <c r="B1238" s="4">
        <f>B1237 * EXP(Risk_Analysis!D1238)</f>
        <v>1.7831807007591072</v>
      </c>
      <c r="C1238" s="4">
        <f>C1237 * EXP(Risk_Analysis!E1238)</f>
        <v>1.4295785931741689</v>
      </c>
    </row>
    <row r="1239" spans="1:3" x14ac:dyDescent="0.25">
      <c r="A1239" s="1">
        <f>Risk_Analysis!A1239</f>
        <v>45980</v>
      </c>
      <c r="B1239" s="4">
        <f>B1238 * EXP(Risk_Analysis!D1239)</f>
        <v>1.7900694275603064</v>
      </c>
      <c r="C1239" s="4">
        <f>C1238 * EXP(Risk_Analysis!E1239)</f>
        <v>1.4175612882550854</v>
      </c>
    </row>
    <row r="1240" spans="1:3" x14ac:dyDescent="0.25">
      <c r="A1240" s="1">
        <f>Risk_Analysis!A1240</f>
        <v>45981</v>
      </c>
      <c r="B1240" s="4">
        <f>B1239 * EXP(Risk_Analysis!D1240)</f>
        <v>1.7627846665045752</v>
      </c>
      <c r="C1240" s="4">
        <f>C1239 * EXP(Risk_Analysis!E1240)</f>
        <v>1.4103509053036354</v>
      </c>
    </row>
    <row r="1241" spans="1:3" x14ac:dyDescent="0.25">
      <c r="A1241" s="1">
        <f>Risk_Analysis!A1241</f>
        <v>45982</v>
      </c>
      <c r="B1241" s="4">
        <f>B1240 * EXP(Risk_Analysis!D1241)</f>
        <v>1.780344166193907</v>
      </c>
      <c r="C1241" s="4">
        <f>C1240 * EXP(Risk_Analysis!E1241)</f>
        <v>1.4124339048229433</v>
      </c>
    </row>
    <row r="1242" spans="1:3" x14ac:dyDescent="0.25">
      <c r="A1242" s="1">
        <f>Risk_Analysis!A1242</f>
        <v>45985</v>
      </c>
      <c r="B1242" s="4">
        <f>B1241 * EXP(Risk_Analysis!D1242)</f>
        <v>1.8065483426533715</v>
      </c>
      <c r="C1242" s="4">
        <f>C1241 * EXP(Risk_Analysis!E1242)</f>
        <v>1.428456978048388</v>
      </c>
    </row>
    <row r="1243" spans="1:3" x14ac:dyDescent="0.25">
      <c r="A1243" s="1">
        <f>Risk_Analysis!A1243</f>
        <v>45986</v>
      </c>
      <c r="B1243" s="4">
        <f>B1242 * EXP(Risk_Analysis!D1243)</f>
        <v>1.8235405354296632</v>
      </c>
      <c r="C1243" s="4">
        <f>C1242 * EXP(Risk_Analysis!E1243)</f>
        <v>1.4230091331517367</v>
      </c>
    </row>
    <row r="1244" spans="1:3" x14ac:dyDescent="0.25">
      <c r="A1244" s="1">
        <f>Risk_Analysis!A1244</f>
        <v>45987</v>
      </c>
      <c r="B1244" s="4">
        <f>B1243 * EXP(Risk_Analysis!D1244)</f>
        <v>1.8361293459761687</v>
      </c>
      <c r="C1244" s="4">
        <f>C1243 * EXP(Risk_Analysis!E1244)</f>
        <v>1.4419163595577613</v>
      </c>
    </row>
    <row r="1245" spans="1:3" x14ac:dyDescent="0.25">
      <c r="A1245" s="1">
        <f>Risk_Analysis!A1245</f>
        <v>45989</v>
      </c>
      <c r="B1245" s="4">
        <f>B1244 * EXP(Risk_Analysis!D1245)</f>
        <v>1.8461517681065414</v>
      </c>
      <c r="C1245" s="4">
        <f>C1244 * EXP(Risk_Analysis!E1245)</f>
        <v>1.4521711264220458</v>
      </c>
    </row>
    <row r="1246" spans="1:3" x14ac:dyDescent="0.25">
      <c r="A1246" s="1">
        <f>Risk_Analysis!A1246</f>
        <v>45992</v>
      </c>
      <c r="B1246" s="4">
        <f>B1245 * EXP(Risk_Analysis!D1246)</f>
        <v>1.837723208255662</v>
      </c>
      <c r="C1246" s="4">
        <f>C1245 * EXP(Risk_Analysis!E1246)</f>
        <v>1.4182022111841035</v>
      </c>
    </row>
    <row r="1247" spans="1:3" x14ac:dyDescent="0.25">
      <c r="A1247" s="1">
        <f>Risk_Analysis!A1247</f>
        <v>45993</v>
      </c>
      <c r="B1247" s="4">
        <f>B1246 * EXP(Risk_Analysis!D1247)</f>
        <v>1.8411270497339016</v>
      </c>
      <c r="C1247" s="4">
        <f>C1246 * EXP(Risk_Analysis!E1247)</f>
        <v>1.4081076750520731</v>
      </c>
    </row>
    <row r="1248" spans="1:3" x14ac:dyDescent="0.25">
      <c r="A1248" s="1">
        <f>Risk_Analysis!A1248</f>
        <v>45994</v>
      </c>
      <c r="B1248" s="4">
        <f>B1247 * EXP(Risk_Analysis!D1248)</f>
        <v>1.8475024988518747</v>
      </c>
      <c r="C1248" s="4">
        <f>C1247 * EXP(Risk_Analysis!E1248)</f>
        <v>1.4036212145489486</v>
      </c>
    </row>
    <row r="1249" spans="1:3" x14ac:dyDescent="0.25">
      <c r="A1249" s="1">
        <f>Risk_Analysis!A1249</f>
        <v>45995</v>
      </c>
      <c r="B1249" s="4">
        <f>B1248 * EXP(Risk_Analysis!D1249)</f>
        <v>1.8488532295972078</v>
      </c>
      <c r="C1249" s="4">
        <f>C1248 * EXP(Risk_Analysis!E1249)</f>
        <v>1.4007370613683687</v>
      </c>
    </row>
    <row r="1250" spans="1:3" x14ac:dyDescent="0.25">
      <c r="A1250" s="1">
        <f>Risk_Analysis!A1250</f>
        <v>45996</v>
      </c>
      <c r="B1250" s="4">
        <f>B1249 * EXP(Risk_Analysis!D1250)</f>
        <v>1.8523651295350743</v>
      </c>
      <c r="C1250" s="4">
        <f>C1249 * EXP(Risk_Analysis!E1250)</f>
        <v>1.3875981413235041</v>
      </c>
    </row>
    <row r="1251" spans="1:3" x14ac:dyDescent="0.25">
      <c r="A1251" s="1">
        <f>Risk_Analysis!A1251</f>
        <v>45999</v>
      </c>
      <c r="B1251" s="4">
        <f>B1250 * EXP(Risk_Analysis!D1251)</f>
        <v>1.8468001188643013</v>
      </c>
      <c r="C1251" s="4">
        <f>C1250 * EXP(Risk_Analysis!E1251)</f>
        <v>1.3690113763819884</v>
      </c>
    </row>
    <row r="1252" spans="1:3" x14ac:dyDescent="0.25">
      <c r="A1252" s="1">
        <f>Risk_Analysis!A1252</f>
        <v>46000</v>
      </c>
      <c r="B1252" s="4">
        <f>B1251 * EXP(Risk_Analysis!D1252)</f>
        <v>1.845206256584808</v>
      </c>
      <c r="C1252" s="4">
        <f>C1251 * EXP(Risk_Analysis!E1252)</f>
        <v>1.369972760775515</v>
      </c>
    </row>
    <row r="1253" spans="1:3" x14ac:dyDescent="0.25">
      <c r="A1253" s="1">
        <f>Risk_Analysis!A1253</f>
        <v>46001</v>
      </c>
      <c r="B1253" s="4">
        <f>B1252 * EXP(Risk_Analysis!D1253)</f>
        <v>1.8574438771375272</v>
      </c>
      <c r="C1253" s="4">
        <f>C1252 * EXP(Risk_Analysis!E1253)</f>
        <v>1.3693318378464971</v>
      </c>
    </row>
    <row r="1254" spans="1:3" x14ac:dyDescent="0.25">
      <c r="A1254" s="1">
        <f>Risk_Analysis!A1254</f>
        <v>46002</v>
      </c>
      <c r="B1254" s="4">
        <f>B1253 * EXP(Risk_Analysis!D1254)</f>
        <v>1.8617662155225934</v>
      </c>
      <c r="C1254" s="4">
        <f>C1253 * EXP(Risk_Analysis!E1254)</f>
        <v>1.3792661432462727</v>
      </c>
    </row>
    <row r="1255" spans="1:3" x14ac:dyDescent="0.25">
      <c r="A1255" s="1">
        <f>Risk_Analysis!A1255</f>
        <v>46003</v>
      </c>
      <c r="B1255" s="4">
        <f>B1254 * EXP(Risk_Analysis!D1255)</f>
        <v>1.8417483858767552</v>
      </c>
      <c r="C1255" s="4">
        <f>C1254 * EXP(Risk_Analysis!E1255)</f>
        <v>1.372536452491586</v>
      </c>
    </row>
    <row r="1256" spans="1:3" x14ac:dyDescent="0.25">
      <c r="A1256" s="1">
        <f>Risk_Analysis!A1256</f>
        <v>46006</v>
      </c>
      <c r="B1256" s="4">
        <f>B1255 * EXP(Risk_Analysis!D1256)</f>
        <v>1.8389658805413687</v>
      </c>
      <c r="C1256" s="4">
        <f>C1255 * EXP(Risk_Analysis!E1256)</f>
        <v>1.3850344496074329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00AD59-83DA-4209-A7C9-B23CFBD15AFA}">
  <dimension ref="A1:F1256"/>
  <sheetViews>
    <sheetView workbookViewId="0">
      <selection activeCell="A6" sqref="A6"/>
    </sheetView>
  </sheetViews>
  <sheetFormatPr defaultRowHeight="15" x14ac:dyDescent="0.25"/>
  <cols>
    <col min="1" max="1" width="10.42578125" bestFit="1" customWidth="1"/>
    <col min="2" max="2" width="13" bestFit="1" customWidth="1"/>
    <col min="3" max="3" width="10.140625" bestFit="1" customWidth="1"/>
    <col min="4" max="6" width="9" bestFit="1" customWidth="1"/>
  </cols>
  <sheetData>
    <row r="1" spans="1:6" x14ac:dyDescent="0.25">
      <c r="A1" t="s">
        <v>0</v>
      </c>
      <c r="B1" t="s">
        <v>5</v>
      </c>
      <c r="C1" t="s">
        <v>6</v>
      </c>
      <c r="D1" t="s">
        <v>7</v>
      </c>
      <c r="E1" t="s">
        <v>8</v>
      </c>
      <c r="F1" t="s">
        <v>9</v>
      </c>
    </row>
    <row r="2" spans="1:6" x14ac:dyDescent="0.25">
      <c r="A2" s="1">
        <v>44181</v>
      </c>
      <c r="B2">
        <v>370.17</v>
      </c>
      <c r="C2">
        <v>58420520</v>
      </c>
      <c r="D2">
        <v>369.82</v>
      </c>
      <c r="E2">
        <v>371.16</v>
      </c>
      <c r="F2">
        <v>368.86759999999998</v>
      </c>
    </row>
    <row r="3" spans="1:6" x14ac:dyDescent="0.25">
      <c r="A3" s="1">
        <v>44182</v>
      </c>
      <c r="B3">
        <v>372.24</v>
      </c>
      <c r="C3">
        <v>64119470</v>
      </c>
      <c r="D3">
        <v>371.94</v>
      </c>
      <c r="E3">
        <v>372.46</v>
      </c>
      <c r="F3">
        <v>371.05</v>
      </c>
    </row>
    <row r="4" spans="1:6" x14ac:dyDescent="0.25">
      <c r="A4" s="1">
        <v>44183</v>
      </c>
      <c r="B4">
        <v>369.18</v>
      </c>
      <c r="C4">
        <v>136542300</v>
      </c>
      <c r="D4">
        <v>370.97</v>
      </c>
      <c r="E4">
        <v>371.15</v>
      </c>
      <c r="F4">
        <v>367.02</v>
      </c>
    </row>
    <row r="5" spans="1:6" x14ac:dyDescent="0.25">
      <c r="A5" s="1">
        <v>44186</v>
      </c>
      <c r="B5">
        <v>367.86</v>
      </c>
      <c r="C5">
        <v>96386750</v>
      </c>
      <c r="D5">
        <v>364.97</v>
      </c>
      <c r="E5">
        <v>378.46</v>
      </c>
      <c r="F5">
        <v>362.03</v>
      </c>
    </row>
    <row r="6" spans="1:6" x14ac:dyDescent="0.25">
      <c r="A6" s="1">
        <v>44187</v>
      </c>
      <c r="B6">
        <v>367.24</v>
      </c>
      <c r="C6">
        <v>48388460</v>
      </c>
      <c r="D6">
        <v>368.21</v>
      </c>
      <c r="E6">
        <v>368.33170000000001</v>
      </c>
      <c r="F6">
        <v>366.03</v>
      </c>
    </row>
    <row r="7" spans="1:6" x14ac:dyDescent="0.25">
      <c r="A7" s="1">
        <v>44188</v>
      </c>
      <c r="B7">
        <v>367.57</v>
      </c>
      <c r="C7">
        <v>46201400</v>
      </c>
      <c r="D7">
        <v>368.28</v>
      </c>
      <c r="E7">
        <v>369.62</v>
      </c>
      <c r="F7">
        <v>367.21719999999999</v>
      </c>
    </row>
    <row r="8" spans="1:6" x14ac:dyDescent="0.25">
      <c r="A8" s="1">
        <v>44189</v>
      </c>
      <c r="B8">
        <v>369</v>
      </c>
      <c r="C8">
        <v>26457850</v>
      </c>
      <c r="D8">
        <v>368.08</v>
      </c>
      <c r="E8">
        <v>369.03</v>
      </c>
      <c r="F8">
        <v>367.45</v>
      </c>
    </row>
    <row r="9" spans="1:6" x14ac:dyDescent="0.25">
      <c r="A9" s="1">
        <v>44193</v>
      </c>
      <c r="B9">
        <v>372.17</v>
      </c>
      <c r="C9">
        <v>39000400</v>
      </c>
      <c r="D9">
        <v>371.74</v>
      </c>
      <c r="E9">
        <v>372.59</v>
      </c>
      <c r="F9">
        <v>371.07</v>
      </c>
    </row>
    <row r="10" spans="1:6" x14ac:dyDescent="0.25">
      <c r="A10" s="1">
        <v>44194</v>
      </c>
      <c r="B10">
        <v>371.46</v>
      </c>
      <c r="C10">
        <v>53680450</v>
      </c>
      <c r="D10">
        <v>373.81</v>
      </c>
      <c r="E10">
        <v>374</v>
      </c>
      <c r="F10">
        <v>370.83</v>
      </c>
    </row>
    <row r="11" spans="1:6" x14ac:dyDescent="0.25">
      <c r="A11" s="1">
        <v>44195</v>
      </c>
      <c r="B11">
        <v>371.99</v>
      </c>
      <c r="C11">
        <v>49455260</v>
      </c>
      <c r="D11">
        <v>372.34</v>
      </c>
      <c r="E11">
        <v>373.1</v>
      </c>
      <c r="F11">
        <v>371.57</v>
      </c>
    </row>
    <row r="12" spans="1:6" x14ac:dyDescent="0.25">
      <c r="A12" s="1">
        <v>44196</v>
      </c>
      <c r="B12">
        <v>373.88</v>
      </c>
      <c r="C12">
        <v>78520700</v>
      </c>
      <c r="D12">
        <v>371.78</v>
      </c>
      <c r="E12">
        <v>374.66</v>
      </c>
      <c r="F12">
        <v>371.23200000000003</v>
      </c>
    </row>
    <row r="13" spans="1:6" x14ac:dyDescent="0.25">
      <c r="A13" s="1">
        <v>44200</v>
      </c>
      <c r="B13">
        <v>368.79</v>
      </c>
      <c r="C13">
        <v>110210800</v>
      </c>
      <c r="D13">
        <v>375.31</v>
      </c>
      <c r="E13">
        <v>375.45</v>
      </c>
      <c r="F13">
        <v>364.82</v>
      </c>
    </row>
    <row r="14" spans="1:6" x14ac:dyDescent="0.25">
      <c r="A14" s="1">
        <v>44201</v>
      </c>
      <c r="B14">
        <v>371.33</v>
      </c>
      <c r="C14">
        <v>66426230</v>
      </c>
      <c r="D14">
        <v>368.1</v>
      </c>
      <c r="E14">
        <v>372.5</v>
      </c>
      <c r="F14">
        <v>368.05</v>
      </c>
    </row>
    <row r="15" spans="1:6" x14ac:dyDescent="0.25">
      <c r="A15" s="1">
        <v>44202</v>
      </c>
      <c r="B15">
        <v>373.55</v>
      </c>
      <c r="C15">
        <v>107997700</v>
      </c>
      <c r="D15">
        <v>369.71</v>
      </c>
      <c r="E15">
        <v>376.98</v>
      </c>
      <c r="F15">
        <v>369.12</v>
      </c>
    </row>
    <row r="16" spans="1:6" x14ac:dyDescent="0.25">
      <c r="A16" s="1">
        <v>44203</v>
      </c>
      <c r="B16">
        <v>379.1</v>
      </c>
      <c r="C16">
        <v>68766810</v>
      </c>
      <c r="D16">
        <v>376.1</v>
      </c>
      <c r="E16">
        <v>379.9</v>
      </c>
      <c r="F16">
        <v>375.91</v>
      </c>
    </row>
    <row r="17" spans="1:6" x14ac:dyDescent="0.25">
      <c r="A17" s="1">
        <v>44204</v>
      </c>
      <c r="B17">
        <v>381.26</v>
      </c>
      <c r="C17">
        <v>71677210</v>
      </c>
      <c r="D17">
        <v>380.59</v>
      </c>
      <c r="E17">
        <v>381.49</v>
      </c>
      <c r="F17">
        <v>377.1</v>
      </c>
    </row>
    <row r="18" spans="1:6" x14ac:dyDescent="0.25">
      <c r="A18" s="1">
        <v>44207</v>
      </c>
      <c r="B18">
        <v>378.69</v>
      </c>
      <c r="C18">
        <v>51176720</v>
      </c>
      <c r="D18">
        <v>377.85</v>
      </c>
      <c r="E18">
        <v>380.58</v>
      </c>
      <c r="F18">
        <v>377.71890000000002</v>
      </c>
    </row>
    <row r="19" spans="1:6" x14ac:dyDescent="0.25">
      <c r="A19" s="1">
        <v>44208</v>
      </c>
      <c r="B19">
        <v>378.77</v>
      </c>
      <c r="C19">
        <v>52547720</v>
      </c>
      <c r="D19">
        <v>378.89</v>
      </c>
      <c r="E19">
        <v>379.86</v>
      </c>
      <c r="F19">
        <v>376.36</v>
      </c>
    </row>
    <row r="20" spans="1:6" x14ac:dyDescent="0.25">
      <c r="A20" s="1">
        <v>44209</v>
      </c>
      <c r="B20">
        <v>379.79</v>
      </c>
      <c r="C20">
        <v>45303620</v>
      </c>
      <c r="D20">
        <v>378.69</v>
      </c>
      <c r="E20">
        <v>380.86</v>
      </c>
      <c r="F20">
        <v>377.85</v>
      </c>
    </row>
    <row r="21" spans="1:6" x14ac:dyDescent="0.25">
      <c r="A21" s="1">
        <v>44210</v>
      </c>
      <c r="B21">
        <v>378.46</v>
      </c>
      <c r="C21">
        <v>49989110</v>
      </c>
      <c r="D21">
        <v>380.59</v>
      </c>
      <c r="E21">
        <v>381.13</v>
      </c>
      <c r="F21">
        <v>378.1</v>
      </c>
    </row>
    <row r="22" spans="1:6" x14ac:dyDescent="0.25">
      <c r="A22" s="1">
        <v>44211</v>
      </c>
      <c r="B22">
        <v>375.7</v>
      </c>
      <c r="C22">
        <v>107160000</v>
      </c>
      <c r="D22">
        <v>376.72</v>
      </c>
      <c r="E22">
        <v>377.58</v>
      </c>
      <c r="F22">
        <v>373.7</v>
      </c>
    </row>
    <row r="23" spans="1:6" x14ac:dyDescent="0.25">
      <c r="A23" s="1">
        <v>44215</v>
      </c>
      <c r="B23">
        <v>378.65</v>
      </c>
      <c r="C23">
        <v>51233300</v>
      </c>
      <c r="D23">
        <v>378.34</v>
      </c>
      <c r="E23">
        <v>379.23</v>
      </c>
      <c r="F23">
        <v>376.75</v>
      </c>
    </row>
    <row r="24" spans="1:6" x14ac:dyDescent="0.25">
      <c r="A24" s="1">
        <v>44216</v>
      </c>
      <c r="B24">
        <v>383.89</v>
      </c>
      <c r="C24">
        <v>61836060</v>
      </c>
      <c r="D24">
        <v>381.11</v>
      </c>
      <c r="E24">
        <v>384.79</v>
      </c>
      <c r="F24">
        <v>380.69</v>
      </c>
    </row>
    <row r="25" spans="1:6" x14ac:dyDescent="0.25">
      <c r="A25" s="1">
        <v>44217</v>
      </c>
      <c r="B25">
        <v>384.24</v>
      </c>
      <c r="C25">
        <v>47955810</v>
      </c>
      <c r="D25">
        <v>384.49</v>
      </c>
      <c r="E25">
        <v>384.95</v>
      </c>
      <c r="F25">
        <v>383.25</v>
      </c>
    </row>
    <row r="26" spans="1:6" x14ac:dyDescent="0.25">
      <c r="A26" s="1">
        <v>44218</v>
      </c>
      <c r="B26">
        <v>382.88</v>
      </c>
      <c r="C26">
        <v>52136930</v>
      </c>
      <c r="D26">
        <v>382.25</v>
      </c>
      <c r="E26">
        <v>384.12560000000002</v>
      </c>
      <c r="F26">
        <v>381.83499999999998</v>
      </c>
    </row>
    <row r="27" spans="1:6" x14ac:dyDescent="0.25">
      <c r="A27" s="1">
        <v>44221</v>
      </c>
      <c r="B27">
        <v>384.39</v>
      </c>
      <c r="C27">
        <v>70401970</v>
      </c>
      <c r="D27">
        <v>383.67</v>
      </c>
      <c r="E27">
        <v>384.77</v>
      </c>
      <c r="F27">
        <v>378.46</v>
      </c>
    </row>
    <row r="28" spans="1:6" x14ac:dyDescent="0.25">
      <c r="A28" s="1">
        <v>44222</v>
      </c>
      <c r="B28">
        <v>383.79</v>
      </c>
      <c r="C28">
        <v>42665280</v>
      </c>
      <c r="D28">
        <v>385.41</v>
      </c>
      <c r="E28">
        <v>385.85</v>
      </c>
      <c r="F28">
        <v>383.54</v>
      </c>
    </row>
    <row r="29" spans="1:6" x14ac:dyDescent="0.25">
      <c r="A29" s="1">
        <v>44223</v>
      </c>
      <c r="B29">
        <v>374.41</v>
      </c>
      <c r="C29">
        <v>123351100</v>
      </c>
      <c r="D29">
        <v>380.22</v>
      </c>
      <c r="E29">
        <v>380.32</v>
      </c>
      <c r="F29">
        <v>372.01</v>
      </c>
    </row>
    <row r="30" spans="1:6" x14ac:dyDescent="0.25">
      <c r="A30" s="1">
        <v>44224</v>
      </c>
      <c r="B30">
        <v>377.63</v>
      </c>
      <c r="C30">
        <v>94198100</v>
      </c>
      <c r="D30">
        <v>376.36</v>
      </c>
      <c r="E30">
        <v>381.93</v>
      </c>
      <c r="F30">
        <v>375.89</v>
      </c>
    </row>
    <row r="31" spans="1:6" x14ac:dyDescent="0.25">
      <c r="A31" s="1">
        <v>44225</v>
      </c>
      <c r="B31">
        <v>370.07</v>
      </c>
      <c r="C31">
        <v>126765100</v>
      </c>
      <c r="D31">
        <v>375.63</v>
      </c>
      <c r="E31">
        <v>376.67</v>
      </c>
      <c r="F31">
        <v>368.27</v>
      </c>
    </row>
    <row r="32" spans="1:6" x14ac:dyDescent="0.25">
      <c r="A32" s="1">
        <v>44228</v>
      </c>
      <c r="B32">
        <v>376.23</v>
      </c>
      <c r="C32">
        <v>75817600</v>
      </c>
      <c r="D32">
        <v>373.72</v>
      </c>
      <c r="E32">
        <v>377.34</v>
      </c>
      <c r="F32">
        <v>370.37599999999998</v>
      </c>
    </row>
    <row r="33" spans="1:6" x14ac:dyDescent="0.25">
      <c r="A33" s="1">
        <v>44229</v>
      </c>
      <c r="B33">
        <v>381.55</v>
      </c>
      <c r="C33">
        <v>64450660</v>
      </c>
      <c r="D33">
        <v>379.65</v>
      </c>
      <c r="E33">
        <v>383.22</v>
      </c>
      <c r="F33">
        <v>376.31810000000002</v>
      </c>
    </row>
    <row r="34" spans="1:6" x14ac:dyDescent="0.25">
      <c r="A34" s="1">
        <v>44230</v>
      </c>
      <c r="B34">
        <v>381.85</v>
      </c>
      <c r="C34">
        <v>52427090</v>
      </c>
      <c r="D34">
        <v>382.435</v>
      </c>
      <c r="E34">
        <v>383.7</v>
      </c>
      <c r="F34">
        <v>380.48</v>
      </c>
    </row>
    <row r="35" spans="1:6" x14ac:dyDescent="0.25">
      <c r="A35" s="1">
        <v>44231</v>
      </c>
      <c r="B35">
        <v>386.19</v>
      </c>
      <c r="C35">
        <v>47142560</v>
      </c>
      <c r="D35">
        <v>382.96</v>
      </c>
      <c r="E35">
        <v>386.24</v>
      </c>
      <c r="F35">
        <v>381.96550000000002</v>
      </c>
    </row>
    <row r="36" spans="1:6" x14ac:dyDescent="0.25">
      <c r="A36" s="1">
        <v>44232</v>
      </c>
      <c r="B36">
        <v>387.71</v>
      </c>
      <c r="C36">
        <v>48669770</v>
      </c>
      <c r="D36">
        <v>388.2</v>
      </c>
      <c r="E36">
        <v>388.47</v>
      </c>
      <c r="F36">
        <v>386.14440000000002</v>
      </c>
    </row>
    <row r="37" spans="1:6" x14ac:dyDescent="0.25">
      <c r="A37" s="1">
        <v>44235</v>
      </c>
      <c r="B37">
        <v>390.51</v>
      </c>
      <c r="C37">
        <v>38365190</v>
      </c>
      <c r="D37">
        <v>389.27</v>
      </c>
      <c r="E37">
        <v>390.56</v>
      </c>
      <c r="F37">
        <v>388.35</v>
      </c>
    </row>
    <row r="38" spans="1:6" x14ac:dyDescent="0.25">
      <c r="A38" s="1">
        <v>44236</v>
      </c>
      <c r="B38">
        <v>390.25</v>
      </c>
      <c r="C38">
        <v>35551060</v>
      </c>
      <c r="D38">
        <v>389.61</v>
      </c>
      <c r="E38">
        <v>390.89</v>
      </c>
      <c r="F38">
        <v>389.17</v>
      </c>
    </row>
    <row r="39" spans="1:6" x14ac:dyDescent="0.25">
      <c r="A39" s="1">
        <v>44237</v>
      </c>
      <c r="B39">
        <v>390.08</v>
      </c>
      <c r="C39">
        <v>59154370</v>
      </c>
      <c r="D39">
        <v>392.12</v>
      </c>
      <c r="E39">
        <v>392.28</v>
      </c>
      <c r="F39">
        <v>387.5</v>
      </c>
    </row>
    <row r="40" spans="1:6" x14ac:dyDescent="0.25">
      <c r="A40" s="1">
        <v>44238</v>
      </c>
      <c r="B40">
        <v>390.71</v>
      </c>
      <c r="C40">
        <v>42913290</v>
      </c>
      <c r="D40">
        <v>391.24</v>
      </c>
      <c r="E40">
        <v>391.69</v>
      </c>
      <c r="F40">
        <v>388.1</v>
      </c>
    </row>
    <row r="41" spans="1:6" x14ac:dyDescent="0.25">
      <c r="A41" s="1">
        <v>44239</v>
      </c>
      <c r="B41">
        <v>392.64</v>
      </c>
      <c r="C41">
        <v>50593270</v>
      </c>
      <c r="D41">
        <v>389.85</v>
      </c>
      <c r="E41">
        <v>392.9</v>
      </c>
      <c r="F41">
        <v>389.77</v>
      </c>
    </row>
    <row r="42" spans="1:6" x14ac:dyDescent="0.25">
      <c r="A42" s="1">
        <v>44243</v>
      </c>
      <c r="B42">
        <v>392.3</v>
      </c>
      <c r="C42">
        <v>50972370</v>
      </c>
      <c r="D42">
        <v>393.96</v>
      </c>
      <c r="E42">
        <v>394.17</v>
      </c>
      <c r="F42">
        <v>391.53</v>
      </c>
    </row>
    <row r="43" spans="1:6" x14ac:dyDescent="0.25">
      <c r="A43" s="1">
        <v>44244</v>
      </c>
      <c r="B43">
        <v>392.39</v>
      </c>
      <c r="C43">
        <v>52806680</v>
      </c>
      <c r="D43">
        <v>390.42</v>
      </c>
      <c r="E43">
        <v>392.66</v>
      </c>
      <c r="F43">
        <v>389.33</v>
      </c>
    </row>
    <row r="44" spans="1:6" x14ac:dyDescent="0.25">
      <c r="A44" s="1">
        <v>44245</v>
      </c>
      <c r="B44">
        <v>390.72</v>
      </c>
      <c r="C44">
        <v>59712770</v>
      </c>
      <c r="D44">
        <v>389.59</v>
      </c>
      <c r="E44">
        <v>391.51499999999999</v>
      </c>
      <c r="F44">
        <v>387.74</v>
      </c>
    </row>
    <row r="45" spans="1:6" x14ac:dyDescent="0.25">
      <c r="A45" s="1">
        <v>44246</v>
      </c>
      <c r="B45">
        <v>390.03</v>
      </c>
      <c r="C45">
        <v>83240970</v>
      </c>
      <c r="D45">
        <v>392.07</v>
      </c>
      <c r="E45">
        <v>392.38</v>
      </c>
      <c r="F45">
        <v>389.55</v>
      </c>
    </row>
    <row r="46" spans="1:6" x14ac:dyDescent="0.25">
      <c r="A46" s="1">
        <v>44249</v>
      </c>
      <c r="B46">
        <v>387.03</v>
      </c>
      <c r="C46">
        <v>67414170</v>
      </c>
      <c r="D46">
        <v>387.06</v>
      </c>
      <c r="E46">
        <v>389.62</v>
      </c>
      <c r="F46">
        <v>386.74</v>
      </c>
    </row>
    <row r="47" spans="1:6" x14ac:dyDescent="0.25">
      <c r="A47" s="1">
        <v>44250</v>
      </c>
      <c r="B47">
        <v>387.5</v>
      </c>
      <c r="C47">
        <v>107284100</v>
      </c>
      <c r="D47">
        <v>384.66</v>
      </c>
      <c r="E47">
        <v>388.94499999999999</v>
      </c>
      <c r="F47">
        <v>380.2</v>
      </c>
    </row>
    <row r="48" spans="1:6" x14ac:dyDescent="0.25">
      <c r="A48" s="1">
        <v>44251</v>
      </c>
      <c r="B48">
        <v>391.77</v>
      </c>
      <c r="C48">
        <v>72433950</v>
      </c>
      <c r="D48">
        <v>386.33</v>
      </c>
      <c r="E48">
        <v>392.23</v>
      </c>
      <c r="F48">
        <v>385.27</v>
      </c>
    </row>
    <row r="49" spans="1:6" x14ac:dyDescent="0.25">
      <c r="A49" s="1">
        <v>44252</v>
      </c>
      <c r="B49">
        <v>382.33</v>
      </c>
      <c r="C49">
        <v>146670500</v>
      </c>
      <c r="D49">
        <v>390.41</v>
      </c>
      <c r="E49">
        <v>391.88</v>
      </c>
      <c r="F49">
        <v>380.77890000000002</v>
      </c>
    </row>
    <row r="50" spans="1:6" x14ac:dyDescent="0.25">
      <c r="A50" s="1">
        <v>44253</v>
      </c>
      <c r="B50">
        <v>380.36</v>
      </c>
      <c r="C50">
        <v>152701600</v>
      </c>
      <c r="D50">
        <v>384.35</v>
      </c>
      <c r="E50">
        <v>385.58</v>
      </c>
      <c r="F50">
        <v>378.23</v>
      </c>
    </row>
    <row r="51" spans="1:6" x14ac:dyDescent="0.25">
      <c r="A51" s="1">
        <v>44256</v>
      </c>
      <c r="B51">
        <v>389.58</v>
      </c>
      <c r="C51">
        <v>105348800</v>
      </c>
      <c r="D51">
        <v>385.59</v>
      </c>
      <c r="E51">
        <v>390.92</v>
      </c>
      <c r="F51">
        <v>380.572</v>
      </c>
    </row>
    <row r="52" spans="1:6" x14ac:dyDescent="0.25">
      <c r="A52" s="1">
        <v>44257</v>
      </c>
      <c r="B52">
        <v>386.54</v>
      </c>
      <c r="C52">
        <v>79595330</v>
      </c>
      <c r="D52">
        <v>389.82</v>
      </c>
      <c r="E52">
        <v>390.07</v>
      </c>
      <c r="F52">
        <v>386</v>
      </c>
    </row>
    <row r="53" spans="1:6" x14ac:dyDescent="0.25">
      <c r="A53" s="1">
        <v>44258</v>
      </c>
      <c r="B53">
        <v>381.42</v>
      </c>
      <c r="C53">
        <v>119940200</v>
      </c>
      <c r="D53">
        <v>385.79</v>
      </c>
      <c r="E53">
        <v>386.83</v>
      </c>
      <c r="F53">
        <v>381.31</v>
      </c>
    </row>
    <row r="54" spans="1:6" x14ac:dyDescent="0.25">
      <c r="A54" s="1">
        <v>44259</v>
      </c>
      <c r="B54">
        <v>376.7</v>
      </c>
      <c r="C54">
        <v>183433000</v>
      </c>
      <c r="D54">
        <v>381.22</v>
      </c>
      <c r="E54">
        <v>384</v>
      </c>
      <c r="F54">
        <v>371.88</v>
      </c>
    </row>
    <row r="55" spans="1:6" x14ac:dyDescent="0.25">
      <c r="A55" s="1">
        <v>44260</v>
      </c>
      <c r="B55">
        <v>383.63</v>
      </c>
      <c r="C55">
        <v>152039600</v>
      </c>
      <c r="D55">
        <v>380.46</v>
      </c>
      <c r="E55">
        <v>384.76</v>
      </c>
      <c r="F55">
        <v>372.64</v>
      </c>
    </row>
    <row r="56" spans="1:6" x14ac:dyDescent="0.25">
      <c r="A56" s="1">
        <v>44263</v>
      </c>
      <c r="B56">
        <v>381.72</v>
      </c>
      <c r="C56">
        <v>123149200</v>
      </c>
      <c r="D56">
        <v>384.66</v>
      </c>
      <c r="E56">
        <v>387.68</v>
      </c>
      <c r="F56">
        <v>381.42</v>
      </c>
    </row>
    <row r="57" spans="1:6" x14ac:dyDescent="0.25">
      <c r="A57" s="1">
        <v>44264</v>
      </c>
      <c r="B57">
        <v>387.17</v>
      </c>
      <c r="C57">
        <v>113633600</v>
      </c>
      <c r="D57">
        <v>385.85</v>
      </c>
      <c r="E57">
        <v>389.91</v>
      </c>
      <c r="F57">
        <v>381.72989999999999</v>
      </c>
    </row>
    <row r="58" spans="1:6" x14ac:dyDescent="0.25">
      <c r="A58" s="1">
        <v>44265</v>
      </c>
      <c r="B58">
        <v>389.58</v>
      </c>
      <c r="C58">
        <v>109899400</v>
      </c>
      <c r="D58">
        <v>389.69</v>
      </c>
      <c r="E58">
        <v>391.4</v>
      </c>
      <c r="F58">
        <v>388.17020000000002</v>
      </c>
    </row>
    <row r="59" spans="1:6" x14ac:dyDescent="0.25">
      <c r="A59" s="1">
        <v>44266</v>
      </c>
      <c r="B59">
        <v>393.53</v>
      </c>
      <c r="C59">
        <v>86245040</v>
      </c>
      <c r="D59">
        <v>392.23</v>
      </c>
      <c r="E59">
        <v>395.65</v>
      </c>
      <c r="F59">
        <v>391.74</v>
      </c>
    </row>
    <row r="60" spans="1:6" x14ac:dyDescent="0.25">
      <c r="A60" s="1">
        <v>44267</v>
      </c>
      <c r="B60">
        <v>394.06</v>
      </c>
      <c r="C60">
        <v>64653570</v>
      </c>
      <c r="D60">
        <v>392.07</v>
      </c>
      <c r="E60">
        <v>394.21</v>
      </c>
      <c r="F60">
        <v>391.2</v>
      </c>
    </row>
    <row r="61" spans="1:6" x14ac:dyDescent="0.25">
      <c r="A61" s="1">
        <v>44270</v>
      </c>
      <c r="B61">
        <v>396.41</v>
      </c>
      <c r="C61">
        <v>73592300</v>
      </c>
      <c r="D61">
        <v>394.33</v>
      </c>
      <c r="E61">
        <v>396.685</v>
      </c>
      <c r="F61">
        <v>392.03</v>
      </c>
    </row>
    <row r="62" spans="1:6" x14ac:dyDescent="0.25">
      <c r="A62" s="1">
        <v>44271</v>
      </c>
      <c r="B62">
        <v>395.91</v>
      </c>
      <c r="C62">
        <v>73722510</v>
      </c>
      <c r="D62">
        <v>397.07</v>
      </c>
      <c r="E62">
        <v>397.83</v>
      </c>
      <c r="F62">
        <v>395.08</v>
      </c>
    </row>
    <row r="63" spans="1:6" x14ac:dyDescent="0.25">
      <c r="A63" s="1">
        <v>44272</v>
      </c>
      <c r="B63">
        <v>397.26</v>
      </c>
      <c r="C63">
        <v>97959270</v>
      </c>
      <c r="D63">
        <v>394.53</v>
      </c>
      <c r="E63">
        <v>398.12</v>
      </c>
      <c r="F63">
        <v>393.3</v>
      </c>
    </row>
    <row r="64" spans="1:6" x14ac:dyDescent="0.25">
      <c r="A64" s="1">
        <v>44273</v>
      </c>
      <c r="B64">
        <v>391.48</v>
      </c>
      <c r="C64">
        <v>115349100</v>
      </c>
      <c r="D64">
        <v>394.47500000000002</v>
      </c>
      <c r="E64">
        <v>396.72</v>
      </c>
      <c r="F64">
        <v>390.75</v>
      </c>
    </row>
    <row r="65" spans="1:6" x14ac:dyDescent="0.25">
      <c r="A65" s="1">
        <v>44274</v>
      </c>
      <c r="B65">
        <v>389.48</v>
      </c>
      <c r="C65">
        <v>113624500</v>
      </c>
      <c r="D65">
        <v>389.88</v>
      </c>
      <c r="E65">
        <v>391.56900000000002</v>
      </c>
      <c r="F65">
        <v>387.15</v>
      </c>
    </row>
    <row r="66" spans="1:6" x14ac:dyDescent="0.25">
      <c r="A66" s="1">
        <v>44277</v>
      </c>
      <c r="B66">
        <v>392.59</v>
      </c>
      <c r="C66">
        <v>73778650</v>
      </c>
      <c r="D66">
        <v>390.03</v>
      </c>
      <c r="E66">
        <v>394.07</v>
      </c>
      <c r="F66">
        <v>389.97</v>
      </c>
    </row>
    <row r="67" spans="1:6" x14ac:dyDescent="0.25">
      <c r="A67" s="1">
        <v>44278</v>
      </c>
      <c r="B67">
        <v>389.5</v>
      </c>
      <c r="C67">
        <v>90686550</v>
      </c>
      <c r="D67">
        <v>391.91</v>
      </c>
      <c r="E67">
        <v>393.46</v>
      </c>
      <c r="F67">
        <v>388.66</v>
      </c>
    </row>
    <row r="68" spans="1:6" x14ac:dyDescent="0.25">
      <c r="A68" s="1">
        <v>44279</v>
      </c>
      <c r="B68">
        <v>387.52</v>
      </c>
      <c r="C68">
        <v>97588640</v>
      </c>
      <c r="D68">
        <v>391</v>
      </c>
      <c r="E68">
        <v>392.75</v>
      </c>
      <c r="F68">
        <v>387.47</v>
      </c>
    </row>
    <row r="69" spans="1:6" x14ac:dyDescent="0.25">
      <c r="A69" s="1">
        <v>44280</v>
      </c>
      <c r="B69">
        <v>389.7</v>
      </c>
      <c r="C69">
        <v>116128600</v>
      </c>
      <c r="D69">
        <v>385.98</v>
      </c>
      <c r="E69">
        <v>390.55</v>
      </c>
      <c r="F69">
        <v>383.9</v>
      </c>
    </row>
    <row r="70" spans="1:6" x14ac:dyDescent="0.25">
      <c r="A70" s="1">
        <v>44281</v>
      </c>
      <c r="B70">
        <v>395.98</v>
      </c>
      <c r="C70">
        <v>114409100</v>
      </c>
      <c r="D70">
        <v>390.93</v>
      </c>
      <c r="E70">
        <v>396.41</v>
      </c>
      <c r="F70">
        <v>390.29</v>
      </c>
    </row>
    <row r="71" spans="1:6" x14ac:dyDescent="0.25">
      <c r="A71" s="1">
        <v>44284</v>
      </c>
      <c r="B71">
        <v>395.78</v>
      </c>
      <c r="C71">
        <v>108107600</v>
      </c>
      <c r="D71">
        <v>394.4</v>
      </c>
      <c r="E71">
        <v>396.75</v>
      </c>
      <c r="F71">
        <v>392.81</v>
      </c>
    </row>
    <row r="72" spans="1:6" x14ac:dyDescent="0.25">
      <c r="A72" s="1">
        <v>44285</v>
      </c>
      <c r="B72">
        <v>394.73</v>
      </c>
      <c r="C72">
        <v>76262250</v>
      </c>
      <c r="D72">
        <v>394.42</v>
      </c>
      <c r="E72">
        <v>395.45</v>
      </c>
      <c r="F72">
        <v>393.02</v>
      </c>
    </row>
    <row r="73" spans="1:6" x14ac:dyDescent="0.25">
      <c r="A73" s="1">
        <v>44286</v>
      </c>
      <c r="B73">
        <v>396.33</v>
      </c>
      <c r="C73">
        <v>112734200</v>
      </c>
      <c r="D73">
        <v>395.34</v>
      </c>
      <c r="E73">
        <v>398</v>
      </c>
      <c r="F73">
        <v>395.31</v>
      </c>
    </row>
    <row r="74" spans="1:6" x14ac:dyDescent="0.25">
      <c r="A74" s="1">
        <v>44287</v>
      </c>
      <c r="B74">
        <v>400.61</v>
      </c>
      <c r="C74">
        <v>99682880</v>
      </c>
      <c r="D74">
        <v>398.4</v>
      </c>
      <c r="E74">
        <v>400.67</v>
      </c>
      <c r="F74">
        <v>398.18</v>
      </c>
    </row>
    <row r="75" spans="1:6" x14ac:dyDescent="0.25">
      <c r="A75" s="1">
        <v>44291</v>
      </c>
      <c r="B75">
        <v>406.36</v>
      </c>
      <c r="C75">
        <v>91684760</v>
      </c>
      <c r="D75">
        <v>403.46</v>
      </c>
      <c r="E75">
        <v>406.94</v>
      </c>
      <c r="F75">
        <v>403.38</v>
      </c>
    </row>
    <row r="76" spans="1:6" x14ac:dyDescent="0.25">
      <c r="A76" s="1">
        <v>44292</v>
      </c>
      <c r="B76">
        <v>406.12</v>
      </c>
      <c r="C76">
        <v>62020950</v>
      </c>
      <c r="D76">
        <v>405.76</v>
      </c>
      <c r="E76">
        <v>407.24</v>
      </c>
      <c r="F76">
        <v>405.4</v>
      </c>
    </row>
    <row r="77" spans="1:6" x14ac:dyDescent="0.25">
      <c r="A77" s="1">
        <v>44293</v>
      </c>
      <c r="B77">
        <v>406.59</v>
      </c>
      <c r="C77">
        <v>55836280</v>
      </c>
      <c r="D77">
        <v>405.94</v>
      </c>
      <c r="E77">
        <v>406.96</v>
      </c>
      <c r="F77">
        <v>405.45</v>
      </c>
    </row>
    <row r="78" spans="1:6" x14ac:dyDescent="0.25">
      <c r="A78" s="1">
        <v>44294</v>
      </c>
      <c r="B78">
        <v>408.52</v>
      </c>
      <c r="C78">
        <v>57863110</v>
      </c>
      <c r="D78">
        <v>407.93</v>
      </c>
      <c r="E78">
        <v>408.58</v>
      </c>
      <c r="F78">
        <v>406.93</v>
      </c>
    </row>
    <row r="79" spans="1:6" x14ac:dyDescent="0.25">
      <c r="A79" s="1">
        <v>44295</v>
      </c>
      <c r="B79">
        <v>411.49</v>
      </c>
      <c r="C79">
        <v>61104560</v>
      </c>
      <c r="D79">
        <v>408.39</v>
      </c>
      <c r="E79">
        <v>411.67</v>
      </c>
      <c r="F79">
        <v>408.26</v>
      </c>
    </row>
    <row r="80" spans="1:6" x14ac:dyDescent="0.25">
      <c r="A80" s="1">
        <v>44298</v>
      </c>
      <c r="B80">
        <v>411.64</v>
      </c>
      <c r="C80">
        <v>56704900</v>
      </c>
      <c r="D80">
        <v>410.85</v>
      </c>
      <c r="E80">
        <v>411.93</v>
      </c>
      <c r="F80">
        <v>410.2</v>
      </c>
    </row>
    <row r="81" spans="1:6" x14ac:dyDescent="0.25">
      <c r="A81" s="1">
        <v>44299</v>
      </c>
      <c r="B81">
        <v>412.86</v>
      </c>
      <c r="C81">
        <v>56550990</v>
      </c>
      <c r="D81">
        <v>411.53</v>
      </c>
      <c r="E81">
        <v>413.529</v>
      </c>
      <c r="F81">
        <v>411.12</v>
      </c>
    </row>
    <row r="82" spans="1:6" x14ac:dyDescent="0.25">
      <c r="A82" s="1">
        <v>44300</v>
      </c>
      <c r="B82">
        <v>411.45</v>
      </c>
      <c r="C82">
        <v>61659910</v>
      </c>
      <c r="D82">
        <v>412.83</v>
      </c>
      <c r="E82">
        <v>413.96</v>
      </c>
      <c r="F82">
        <v>410.87</v>
      </c>
    </row>
    <row r="83" spans="1:6" x14ac:dyDescent="0.25">
      <c r="A83" s="1">
        <v>44301</v>
      </c>
      <c r="B83">
        <v>415.87</v>
      </c>
      <c r="C83">
        <v>60229840</v>
      </c>
      <c r="D83">
        <v>413.74</v>
      </c>
      <c r="E83">
        <v>416.16</v>
      </c>
      <c r="F83">
        <v>413.69</v>
      </c>
    </row>
    <row r="84" spans="1:6" x14ac:dyDescent="0.25">
      <c r="A84" s="1">
        <v>44302</v>
      </c>
      <c r="B84">
        <v>417.26</v>
      </c>
      <c r="C84">
        <v>82037280</v>
      </c>
      <c r="D84">
        <v>417.25</v>
      </c>
      <c r="E84">
        <v>417.91</v>
      </c>
      <c r="F84">
        <v>415.73</v>
      </c>
    </row>
    <row r="85" spans="1:6" x14ac:dyDescent="0.25">
      <c r="A85" s="1">
        <v>44305</v>
      </c>
      <c r="B85">
        <v>415.21</v>
      </c>
      <c r="C85">
        <v>78498500</v>
      </c>
      <c r="D85">
        <v>416.26</v>
      </c>
      <c r="E85">
        <v>416.74</v>
      </c>
      <c r="F85">
        <v>413.79</v>
      </c>
    </row>
    <row r="86" spans="1:6" x14ac:dyDescent="0.25">
      <c r="A86" s="1">
        <v>44306</v>
      </c>
      <c r="B86">
        <v>412.17</v>
      </c>
      <c r="C86">
        <v>81851830</v>
      </c>
      <c r="D86">
        <v>413.91</v>
      </c>
      <c r="E86">
        <v>415.08589999999998</v>
      </c>
      <c r="F86">
        <v>410.59</v>
      </c>
    </row>
    <row r="87" spans="1:6" x14ac:dyDescent="0.25">
      <c r="A87" s="1">
        <v>44307</v>
      </c>
      <c r="B87">
        <v>416.07</v>
      </c>
      <c r="C87">
        <v>66792980</v>
      </c>
      <c r="D87">
        <v>411.51</v>
      </c>
      <c r="E87">
        <v>416.29</v>
      </c>
      <c r="F87">
        <v>411.36</v>
      </c>
    </row>
    <row r="88" spans="1:6" x14ac:dyDescent="0.25">
      <c r="A88" s="1">
        <v>44308</v>
      </c>
      <c r="B88">
        <v>412.27</v>
      </c>
      <c r="C88">
        <v>97582790</v>
      </c>
      <c r="D88">
        <v>415.89</v>
      </c>
      <c r="E88">
        <v>416.78</v>
      </c>
      <c r="F88">
        <v>411.13</v>
      </c>
    </row>
    <row r="89" spans="1:6" x14ac:dyDescent="0.25">
      <c r="A89" s="1">
        <v>44309</v>
      </c>
      <c r="B89">
        <v>416.74</v>
      </c>
      <c r="C89">
        <v>73276200</v>
      </c>
      <c r="D89">
        <v>412.87</v>
      </c>
      <c r="E89">
        <v>418.25</v>
      </c>
      <c r="F89">
        <v>412.79</v>
      </c>
    </row>
    <row r="90" spans="1:6" x14ac:dyDescent="0.25">
      <c r="A90" s="1">
        <v>44312</v>
      </c>
      <c r="B90">
        <v>417.61</v>
      </c>
      <c r="C90">
        <v>52182390</v>
      </c>
      <c r="D90">
        <v>417.44</v>
      </c>
      <c r="E90">
        <v>418.22</v>
      </c>
      <c r="F90">
        <v>416.81110000000001</v>
      </c>
    </row>
    <row r="91" spans="1:6" x14ac:dyDescent="0.25">
      <c r="A91" s="1">
        <v>44313</v>
      </c>
      <c r="B91">
        <v>417.52</v>
      </c>
      <c r="C91">
        <v>51303060</v>
      </c>
      <c r="D91">
        <v>417.93</v>
      </c>
      <c r="E91">
        <v>418.14</v>
      </c>
      <c r="F91">
        <v>416.3</v>
      </c>
    </row>
    <row r="92" spans="1:6" x14ac:dyDescent="0.25">
      <c r="A92" s="1">
        <v>44314</v>
      </c>
      <c r="B92">
        <v>417.4</v>
      </c>
      <c r="C92">
        <v>51238850</v>
      </c>
      <c r="D92">
        <v>417.81</v>
      </c>
      <c r="E92">
        <v>419.01</v>
      </c>
      <c r="F92">
        <v>416.9</v>
      </c>
    </row>
    <row r="93" spans="1:6" x14ac:dyDescent="0.25">
      <c r="A93" s="1">
        <v>44315</v>
      </c>
      <c r="B93">
        <v>420.06</v>
      </c>
      <c r="C93">
        <v>78544330</v>
      </c>
      <c r="D93">
        <v>420.32</v>
      </c>
      <c r="E93">
        <v>420.72</v>
      </c>
      <c r="F93">
        <v>416.44</v>
      </c>
    </row>
    <row r="94" spans="1:6" x14ac:dyDescent="0.25">
      <c r="A94" s="1">
        <v>44316</v>
      </c>
      <c r="B94">
        <v>417.3</v>
      </c>
      <c r="C94">
        <v>85527030</v>
      </c>
      <c r="D94">
        <v>417.63</v>
      </c>
      <c r="E94">
        <v>418.54</v>
      </c>
      <c r="F94">
        <v>416.34</v>
      </c>
    </row>
    <row r="95" spans="1:6" x14ac:dyDescent="0.25">
      <c r="A95" s="1">
        <v>44319</v>
      </c>
      <c r="B95">
        <v>418.2</v>
      </c>
      <c r="C95">
        <v>68128290</v>
      </c>
      <c r="D95">
        <v>419.43</v>
      </c>
      <c r="E95">
        <v>419.84</v>
      </c>
      <c r="F95">
        <v>417.66500000000002</v>
      </c>
    </row>
    <row r="96" spans="1:6" x14ac:dyDescent="0.25">
      <c r="A96" s="1">
        <v>44320</v>
      </c>
      <c r="B96">
        <v>415.62</v>
      </c>
      <c r="C96">
        <v>101591200</v>
      </c>
      <c r="D96">
        <v>416.07</v>
      </c>
      <c r="E96">
        <v>416.6</v>
      </c>
      <c r="F96">
        <v>411.67</v>
      </c>
    </row>
    <row r="97" spans="1:6" x14ac:dyDescent="0.25">
      <c r="A97" s="1">
        <v>44321</v>
      </c>
      <c r="B97">
        <v>415.75</v>
      </c>
      <c r="C97">
        <v>39960660</v>
      </c>
      <c r="D97">
        <v>417.38</v>
      </c>
      <c r="E97">
        <v>417.63</v>
      </c>
      <c r="F97">
        <v>415.15</v>
      </c>
    </row>
    <row r="98" spans="1:6" x14ac:dyDescent="0.25">
      <c r="A98" s="1">
        <v>44322</v>
      </c>
      <c r="B98">
        <v>419.07</v>
      </c>
      <c r="C98">
        <v>74321370</v>
      </c>
      <c r="D98">
        <v>415.83</v>
      </c>
      <c r="E98">
        <v>419.21</v>
      </c>
      <c r="F98">
        <v>413.67500000000001</v>
      </c>
    </row>
    <row r="99" spans="1:6" x14ac:dyDescent="0.25">
      <c r="A99" s="1">
        <v>44323</v>
      </c>
      <c r="B99">
        <v>422.12</v>
      </c>
      <c r="C99">
        <v>67733790</v>
      </c>
      <c r="D99">
        <v>419.89</v>
      </c>
      <c r="E99">
        <v>422.815</v>
      </c>
      <c r="F99">
        <v>419.16</v>
      </c>
    </row>
    <row r="100" spans="1:6" x14ac:dyDescent="0.25">
      <c r="A100" s="1">
        <v>44326</v>
      </c>
      <c r="B100">
        <v>417.94</v>
      </c>
      <c r="C100">
        <v>81852450</v>
      </c>
      <c r="D100">
        <v>422.5</v>
      </c>
      <c r="E100">
        <v>422.74</v>
      </c>
      <c r="F100">
        <v>417.81</v>
      </c>
    </row>
    <row r="101" spans="1:6" x14ac:dyDescent="0.25">
      <c r="A101" s="1">
        <v>44327</v>
      </c>
      <c r="B101">
        <v>414.21</v>
      </c>
      <c r="C101">
        <v>116888000</v>
      </c>
      <c r="D101">
        <v>413.1</v>
      </c>
      <c r="E101">
        <v>415.27</v>
      </c>
      <c r="F101">
        <v>410.06</v>
      </c>
    </row>
    <row r="102" spans="1:6" x14ac:dyDescent="0.25">
      <c r="A102" s="1">
        <v>44328</v>
      </c>
      <c r="B102">
        <v>405.41</v>
      </c>
      <c r="C102">
        <v>134811000</v>
      </c>
      <c r="D102">
        <v>411.23</v>
      </c>
      <c r="E102">
        <v>412.59</v>
      </c>
      <c r="F102">
        <v>404</v>
      </c>
    </row>
    <row r="103" spans="1:6" x14ac:dyDescent="0.25">
      <c r="A103" s="1">
        <v>44329</v>
      </c>
      <c r="B103">
        <v>410.28</v>
      </c>
      <c r="C103">
        <v>106394000</v>
      </c>
      <c r="D103">
        <v>407.07</v>
      </c>
      <c r="E103">
        <v>412.35</v>
      </c>
      <c r="F103">
        <v>407.02</v>
      </c>
    </row>
    <row r="104" spans="1:6" x14ac:dyDescent="0.25">
      <c r="A104" s="1">
        <v>44330</v>
      </c>
      <c r="B104">
        <v>416.58</v>
      </c>
      <c r="C104">
        <v>82201630</v>
      </c>
      <c r="D104">
        <v>413.21</v>
      </c>
      <c r="E104">
        <v>417.49</v>
      </c>
      <c r="F104">
        <v>413.18</v>
      </c>
    </row>
    <row r="105" spans="1:6" x14ac:dyDescent="0.25">
      <c r="A105" s="1">
        <v>44333</v>
      </c>
      <c r="B105">
        <v>415.52</v>
      </c>
      <c r="C105">
        <v>64882410</v>
      </c>
      <c r="D105">
        <v>415.39</v>
      </c>
      <c r="E105">
        <v>416.39</v>
      </c>
      <c r="F105">
        <v>413.36</v>
      </c>
    </row>
    <row r="106" spans="1:6" x14ac:dyDescent="0.25">
      <c r="A106" s="1">
        <v>44334</v>
      </c>
      <c r="B106">
        <v>411.94</v>
      </c>
      <c r="C106">
        <v>59810240</v>
      </c>
      <c r="D106">
        <v>415.8</v>
      </c>
      <c r="E106">
        <v>416.06</v>
      </c>
      <c r="F106">
        <v>411.77</v>
      </c>
    </row>
    <row r="107" spans="1:6" x14ac:dyDescent="0.25">
      <c r="A107" s="1">
        <v>44335</v>
      </c>
      <c r="B107">
        <v>410.86</v>
      </c>
      <c r="C107">
        <v>106467100</v>
      </c>
      <c r="D107">
        <v>406.92</v>
      </c>
      <c r="E107">
        <v>411.05</v>
      </c>
      <c r="F107">
        <v>405.33</v>
      </c>
    </row>
    <row r="108" spans="1:6" x14ac:dyDescent="0.25">
      <c r="A108" s="1">
        <v>44336</v>
      </c>
      <c r="B108">
        <v>415.28</v>
      </c>
      <c r="C108">
        <v>78022220</v>
      </c>
      <c r="D108">
        <v>411.8</v>
      </c>
      <c r="E108">
        <v>416.625</v>
      </c>
      <c r="F108">
        <v>411.67</v>
      </c>
    </row>
    <row r="109" spans="1:6" x14ac:dyDescent="0.25">
      <c r="A109" s="1">
        <v>44337</v>
      </c>
      <c r="B109">
        <v>414.94</v>
      </c>
      <c r="C109">
        <v>76578660</v>
      </c>
      <c r="D109">
        <v>416.87</v>
      </c>
      <c r="E109">
        <v>418.2</v>
      </c>
      <c r="F109">
        <v>414.45</v>
      </c>
    </row>
    <row r="110" spans="1:6" x14ac:dyDescent="0.25">
      <c r="A110" s="1">
        <v>44340</v>
      </c>
      <c r="B110">
        <v>419.17</v>
      </c>
      <c r="C110">
        <v>51376700</v>
      </c>
      <c r="D110">
        <v>417.34</v>
      </c>
      <c r="E110">
        <v>420.32</v>
      </c>
      <c r="F110">
        <v>417.08</v>
      </c>
    </row>
    <row r="111" spans="1:6" x14ac:dyDescent="0.25">
      <c r="A111" s="1">
        <v>44341</v>
      </c>
      <c r="B111">
        <v>418.24</v>
      </c>
      <c r="C111">
        <v>57451400</v>
      </c>
      <c r="D111">
        <v>420.33</v>
      </c>
      <c r="E111">
        <v>420.71</v>
      </c>
      <c r="F111">
        <v>417.62</v>
      </c>
    </row>
    <row r="112" spans="1:6" x14ac:dyDescent="0.25">
      <c r="A112" s="1">
        <v>44342</v>
      </c>
      <c r="B112">
        <v>419.07</v>
      </c>
      <c r="C112">
        <v>43088620</v>
      </c>
      <c r="D112">
        <v>418.87</v>
      </c>
      <c r="E112">
        <v>419.61</v>
      </c>
      <c r="F112">
        <v>417.76</v>
      </c>
    </row>
    <row r="113" spans="1:6" x14ac:dyDescent="0.25">
      <c r="A113" s="1">
        <v>44343</v>
      </c>
      <c r="B113">
        <v>419.29</v>
      </c>
      <c r="C113">
        <v>56707680</v>
      </c>
      <c r="D113">
        <v>420.17</v>
      </c>
      <c r="E113">
        <v>420.72</v>
      </c>
      <c r="F113">
        <v>418.98509999999999</v>
      </c>
    </row>
    <row r="114" spans="1:6" x14ac:dyDescent="0.25">
      <c r="A114" s="1">
        <v>44344</v>
      </c>
      <c r="B114">
        <v>420.04</v>
      </c>
      <c r="C114">
        <v>58520160</v>
      </c>
      <c r="D114">
        <v>420.97</v>
      </c>
      <c r="E114">
        <v>421.25</v>
      </c>
      <c r="F114">
        <v>419.79</v>
      </c>
    </row>
    <row r="115" spans="1:6" x14ac:dyDescent="0.25">
      <c r="A115" s="1">
        <v>44348</v>
      </c>
      <c r="B115">
        <v>419.67</v>
      </c>
      <c r="C115">
        <v>54216630</v>
      </c>
      <c r="D115">
        <v>422.57</v>
      </c>
      <c r="E115">
        <v>422.72</v>
      </c>
      <c r="F115">
        <v>419.2</v>
      </c>
    </row>
    <row r="116" spans="1:6" x14ac:dyDescent="0.25">
      <c r="A116" s="1">
        <v>44349</v>
      </c>
      <c r="B116">
        <v>420.33</v>
      </c>
      <c r="C116">
        <v>49097060</v>
      </c>
      <c r="D116">
        <v>420.37</v>
      </c>
      <c r="E116">
        <v>421.23</v>
      </c>
      <c r="F116">
        <v>419.29</v>
      </c>
    </row>
    <row r="117" spans="1:6" x14ac:dyDescent="0.25">
      <c r="A117" s="1">
        <v>44350</v>
      </c>
      <c r="B117">
        <v>418.77</v>
      </c>
      <c r="C117">
        <v>58138760</v>
      </c>
      <c r="D117">
        <v>417.85</v>
      </c>
      <c r="E117">
        <v>419.99</v>
      </c>
      <c r="F117">
        <v>416.28</v>
      </c>
    </row>
    <row r="118" spans="1:6" x14ac:dyDescent="0.25">
      <c r="A118" s="1">
        <v>44351</v>
      </c>
      <c r="B118">
        <v>422.6</v>
      </c>
      <c r="C118">
        <v>55938790</v>
      </c>
      <c r="D118">
        <v>420.75</v>
      </c>
      <c r="E118">
        <v>422.92</v>
      </c>
      <c r="F118">
        <v>418.84219999999999</v>
      </c>
    </row>
    <row r="119" spans="1:6" x14ac:dyDescent="0.25">
      <c r="A119" s="1">
        <v>44354</v>
      </c>
      <c r="B119">
        <v>422.19</v>
      </c>
      <c r="C119">
        <v>51555030</v>
      </c>
      <c r="D119">
        <v>422.59</v>
      </c>
      <c r="E119">
        <v>422.78</v>
      </c>
      <c r="F119">
        <v>421.19</v>
      </c>
    </row>
    <row r="120" spans="1:6" x14ac:dyDescent="0.25">
      <c r="A120" s="1">
        <v>44355</v>
      </c>
      <c r="B120">
        <v>422.28</v>
      </c>
      <c r="C120">
        <v>47134280</v>
      </c>
      <c r="D120">
        <v>423.11</v>
      </c>
      <c r="E120">
        <v>423.21</v>
      </c>
      <c r="F120">
        <v>420.32</v>
      </c>
    </row>
    <row r="121" spans="1:6" x14ac:dyDescent="0.25">
      <c r="A121" s="1">
        <v>44356</v>
      </c>
      <c r="B121">
        <v>421.65</v>
      </c>
      <c r="C121">
        <v>48436340</v>
      </c>
      <c r="D121">
        <v>423.18</v>
      </c>
      <c r="E121">
        <v>423.26</v>
      </c>
      <c r="F121">
        <v>421.41</v>
      </c>
    </row>
    <row r="122" spans="1:6" x14ac:dyDescent="0.25">
      <c r="A122" s="1">
        <v>44357</v>
      </c>
      <c r="B122">
        <v>423.61</v>
      </c>
      <c r="C122">
        <v>51020150</v>
      </c>
      <c r="D122">
        <v>422.96</v>
      </c>
      <c r="E122">
        <v>424.63</v>
      </c>
      <c r="F122">
        <v>421.55</v>
      </c>
    </row>
    <row r="123" spans="1:6" x14ac:dyDescent="0.25">
      <c r="A123" s="1">
        <v>44358</v>
      </c>
      <c r="B123">
        <v>424.31</v>
      </c>
      <c r="C123">
        <v>45570830</v>
      </c>
      <c r="D123">
        <v>424.2</v>
      </c>
      <c r="E123">
        <v>424.43</v>
      </c>
      <c r="F123">
        <v>422.82</v>
      </c>
    </row>
    <row r="124" spans="1:6" x14ac:dyDescent="0.25">
      <c r="A124" s="1">
        <v>44361</v>
      </c>
      <c r="B124">
        <v>425.26</v>
      </c>
      <c r="C124">
        <v>42358480</v>
      </c>
      <c r="D124">
        <v>424.43</v>
      </c>
      <c r="E124">
        <v>425.37</v>
      </c>
      <c r="F124">
        <v>423.1</v>
      </c>
    </row>
    <row r="125" spans="1:6" x14ac:dyDescent="0.25">
      <c r="A125" s="1">
        <v>44362</v>
      </c>
      <c r="B125">
        <v>424.48</v>
      </c>
      <c r="C125">
        <v>51508510</v>
      </c>
      <c r="D125">
        <v>425.42</v>
      </c>
      <c r="E125">
        <v>425.46</v>
      </c>
      <c r="F125">
        <v>423.54</v>
      </c>
    </row>
    <row r="126" spans="1:6" x14ac:dyDescent="0.25">
      <c r="A126" s="1">
        <v>44363</v>
      </c>
      <c r="B126">
        <v>422.11</v>
      </c>
      <c r="C126">
        <v>80386080</v>
      </c>
      <c r="D126">
        <v>424.63</v>
      </c>
      <c r="E126">
        <v>424.87</v>
      </c>
      <c r="F126">
        <v>419.92</v>
      </c>
    </row>
    <row r="127" spans="1:6" x14ac:dyDescent="0.25">
      <c r="A127" s="1">
        <v>44364</v>
      </c>
      <c r="B127">
        <v>421.97</v>
      </c>
      <c r="C127">
        <v>90949660</v>
      </c>
      <c r="D127">
        <v>421.67</v>
      </c>
      <c r="E127">
        <v>423.02</v>
      </c>
      <c r="F127">
        <v>419.32</v>
      </c>
    </row>
    <row r="128" spans="1:6" x14ac:dyDescent="0.25">
      <c r="A128" s="1">
        <v>44365</v>
      </c>
      <c r="B128">
        <v>414.92</v>
      </c>
      <c r="C128">
        <v>118676300</v>
      </c>
      <c r="D128">
        <v>417.09</v>
      </c>
      <c r="E128">
        <v>417.82810000000001</v>
      </c>
      <c r="F128">
        <v>414.7</v>
      </c>
    </row>
    <row r="129" spans="1:6" x14ac:dyDescent="0.25">
      <c r="A129" s="1">
        <v>44368</v>
      </c>
      <c r="B129">
        <v>420.86</v>
      </c>
      <c r="C129">
        <v>72822030</v>
      </c>
      <c r="D129">
        <v>416.8</v>
      </c>
      <c r="E129">
        <v>421.06</v>
      </c>
      <c r="F129">
        <v>415.93</v>
      </c>
    </row>
    <row r="130" spans="1:6" x14ac:dyDescent="0.25">
      <c r="A130" s="1">
        <v>44369</v>
      </c>
      <c r="B130">
        <v>423.11</v>
      </c>
      <c r="C130">
        <v>57700300</v>
      </c>
      <c r="D130">
        <v>420.85</v>
      </c>
      <c r="E130">
        <v>424</v>
      </c>
      <c r="F130">
        <v>420.08</v>
      </c>
    </row>
    <row r="131" spans="1:6" x14ac:dyDescent="0.25">
      <c r="A131" s="1">
        <v>44370</v>
      </c>
      <c r="B131">
        <v>422.6</v>
      </c>
      <c r="C131">
        <v>49445410</v>
      </c>
      <c r="D131">
        <v>423.19</v>
      </c>
      <c r="E131">
        <v>424.05</v>
      </c>
      <c r="F131">
        <v>422.51</v>
      </c>
    </row>
    <row r="132" spans="1:6" x14ac:dyDescent="0.25">
      <c r="A132" s="1">
        <v>44371</v>
      </c>
      <c r="B132">
        <v>425.1</v>
      </c>
      <c r="C132">
        <v>45110290</v>
      </c>
      <c r="D132">
        <v>424.89</v>
      </c>
      <c r="E132">
        <v>425.55</v>
      </c>
      <c r="F132">
        <v>424.62</v>
      </c>
    </row>
    <row r="133" spans="1:6" x14ac:dyDescent="0.25">
      <c r="A133" s="1">
        <v>44372</v>
      </c>
      <c r="B133">
        <v>426.61</v>
      </c>
      <c r="C133">
        <v>58129530</v>
      </c>
      <c r="D133">
        <v>425.9</v>
      </c>
      <c r="E133">
        <v>427.09429999999998</v>
      </c>
      <c r="F133">
        <v>425.55</v>
      </c>
    </row>
    <row r="134" spans="1:6" x14ac:dyDescent="0.25">
      <c r="A134" s="1">
        <v>44375</v>
      </c>
      <c r="B134">
        <v>427.47</v>
      </c>
      <c r="C134">
        <v>53159580</v>
      </c>
      <c r="D134">
        <v>427.17</v>
      </c>
      <c r="E134">
        <v>427.65</v>
      </c>
      <c r="F134">
        <v>425.89</v>
      </c>
    </row>
    <row r="135" spans="1:6" x14ac:dyDescent="0.25">
      <c r="A135" s="1">
        <v>44376</v>
      </c>
      <c r="B135">
        <v>427.7</v>
      </c>
      <c r="C135">
        <v>35970520</v>
      </c>
      <c r="D135">
        <v>427.88</v>
      </c>
      <c r="E135">
        <v>428.56</v>
      </c>
      <c r="F135">
        <v>427.13</v>
      </c>
    </row>
    <row r="136" spans="1:6" x14ac:dyDescent="0.25">
      <c r="A136" s="1">
        <v>44377</v>
      </c>
      <c r="B136">
        <v>428.06</v>
      </c>
      <c r="C136">
        <v>64827860</v>
      </c>
      <c r="D136">
        <v>427.21</v>
      </c>
      <c r="E136">
        <v>428.78</v>
      </c>
      <c r="F136">
        <v>427.18</v>
      </c>
    </row>
    <row r="137" spans="1:6" x14ac:dyDescent="0.25">
      <c r="A137" s="1">
        <v>44378</v>
      </c>
      <c r="B137">
        <v>430.43</v>
      </c>
      <c r="C137">
        <v>53441030</v>
      </c>
      <c r="D137">
        <v>428.87</v>
      </c>
      <c r="E137">
        <v>430.6</v>
      </c>
      <c r="F137">
        <v>428.8</v>
      </c>
    </row>
    <row r="138" spans="1:6" x14ac:dyDescent="0.25">
      <c r="A138" s="1">
        <v>44379</v>
      </c>
      <c r="B138">
        <v>433.72</v>
      </c>
      <c r="C138">
        <v>57697670</v>
      </c>
      <c r="D138">
        <v>431.67</v>
      </c>
      <c r="E138">
        <v>434.1</v>
      </c>
      <c r="F138">
        <v>430.52179999999998</v>
      </c>
    </row>
    <row r="139" spans="1:6" x14ac:dyDescent="0.25">
      <c r="A139" s="1">
        <v>44383</v>
      </c>
      <c r="B139">
        <v>432.93</v>
      </c>
      <c r="C139">
        <v>68710420</v>
      </c>
      <c r="D139">
        <v>433.78</v>
      </c>
      <c r="E139">
        <v>434.01</v>
      </c>
      <c r="F139">
        <v>430.01</v>
      </c>
    </row>
    <row r="140" spans="1:6" x14ac:dyDescent="0.25">
      <c r="A140" s="1">
        <v>44384</v>
      </c>
      <c r="B140">
        <v>434.46</v>
      </c>
      <c r="C140">
        <v>63549460</v>
      </c>
      <c r="D140">
        <v>433.66</v>
      </c>
      <c r="E140">
        <v>434.76</v>
      </c>
      <c r="F140">
        <v>431.51</v>
      </c>
    </row>
    <row r="141" spans="1:6" x14ac:dyDescent="0.25">
      <c r="A141" s="1">
        <v>44385</v>
      </c>
      <c r="B141">
        <v>430.92</v>
      </c>
      <c r="C141">
        <v>97595230</v>
      </c>
      <c r="D141">
        <v>428.78</v>
      </c>
      <c r="E141">
        <v>431.73</v>
      </c>
      <c r="F141">
        <v>427.52</v>
      </c>
    </row>
    <row r="142" spans="1:6" x14ac:dyDescent="0.25">
      <c r="A142" s="1">
        <v>44386</v>
      </c>
      <c r="B142">
        <v>435.52</v>
      </c>
      <c r="C142">
        <v>76238580</v>
      </c>
      <c r="D142">
        <v>432.53</v>
      </c>
      <c r="E142">
        <v>435.84</v>
      </c>
      <c r="F142">
        <v>430.714</v>
      </c>
    </row>
    <row r="143" spans="1:6" x14ac:dyDescent="0.25">
      <c r="A143" s="1">
        <v>44389</v>
      </c>
      <c r="B143">
        <v>437.08</v>
      </c>
      <c r="C143">
        <v>52889590</v>
      </c>
      <c r="D143">
        <v>435.43</v>
      </c>
      <c r="E143">
        <v>437.35</v>
      </c>
      <c r="F143">
        <v>434.97</v>
      </c>
    </row>
    <row r="144" spans="1:6" x14ac:dyDescent="0.25">
      <c r="A144" s="1">
        <v>44390</v>
      </c>
      <c r="B144">
        <v>435.59</v>
      </c>
      <c r="C144">
        <v>52911310</v>
      </c>
      <c r="D144">
        <v>436.24</v>
      </c>
      <c r="E144">
        <v>437.84</v>
      </c>
      <c r="F144">
        <v>435.31</v>
      </c>
    </row>
    <row r="145" spans="1:6" x14ac:dyDescent="0.25">
      <c r="A145" s="1">
        <v>44391</v>
      </c>
      <c r="B145">
        <v>436.24</v>
      </c>
      <c r="C145">
        <v>64130350</v>
      </c>
      <c r="D145">
        <v>437.4</v>
      </c>
      <c r="E145">
        <v>437.92</v>
      </c>
      <c r="F145">
        <v>434.91</v>
      </c>
    </row>
    <row r="146" spans="1:6" x14ac:dyDescent="0.25">
      <c r="A146" s="1">
        <v>44392</v>
      </c>
      <c r="B146">
        <v>434.75</v>
      </c>
      <c r="C146">
        <v>55126360</v>
      </c>
      <c r="D146">
        <v>434.81</v>
      </c>
      <c r="E146">
        <v>435.53</v>
      </c>
      <c r="F146">
        <v>432.72</v>
      </c>
    </row>
    <row r="147" spans="1:6" x14ac:dyDescent="0.25">
      <c r="A147" s="1">
        <v>44393</v>
      </c>
      <c r="B147">
        <v>431.34</v>
      </c>
      <c r="C147">
        <v>75874660</v>
      </c>
      <c r="D147">
        <v>436.01</v>
      </c>
      <c r="E147">
        <v>436.06</v>
      </c>
      <c r="F147">
        <v>430.92</v>
      </c>
    </row>
    <row r="148" spans="1:6" x14ac:dyDescent="0.25">
      <c r="A148" s="1">
        <v>44396</v>
      </c>
      <c r="B148">
        <v>424.97</v>
      </c>
      <c r="C148">
        <v>147987000</v>
      </c>
      <c r="D148">
        <v>426.19</v>
      </c>
      <c r="E148">
        <v>431.40890000000002</v>
      </c>
      <c r="F148">
        <v>421.97</v>
      </c>
    </row>
    <row r="149" spans="1:6" x14ac:dyDescent="0.25">
      <c r="A149" s="1">
        <v>44397</v>
      </c>
      <c r="B149">
        <v>431.06</v>
      </c>
      <c r="C149">
        <v>99608170</v>
      </c>
      <c r="D149">
        <v>425.68</v>
      </c>
      <c r="E149">
        <v>432.42</v>
      </c>
      <c r="F149">
        <v>424.83</v>
      </c>
    </row>
    <row r="150" spans="1:6" x14ac:dyDescent="0.25">
      <c r="A150" s="1">
        <v>44398</v>
      </c>
      <c r="B150">
        <v>434.55</v>
      </c>
      <c r="C150">
        <v>64724390</v>
      </c>
      <c r="D150">
        <v>432.34</v>
      </c>
      <c r="E150">
        <v>434.7</v>
      </c>
      <c r="F150">
        <v>431.0111</v>
      </c>
    </row>
    <row r="151" spans="1:6" x14ac:dyDescent="0.25">
      <c r="A151" s="1">
        <v>44399</v>
      </c>
      <c r="B151">
        <v>435.46</v>
      </c>
      <c r="C151">
        <v>47878540</v>
      </c>
      <c r="D151">
        <v>434.74</v>
      </c>
      <c r="E151">
        <v>435.72</v>
      </c>
      <c r="F151">
        <v>433.69</v>
      </c>
    </row>
    <row r="152" spans="1:6" x14ac:dyDescent="0.25">
      <c r="A152" s="1">
        <v>44400</v>
      </c>
      <c r="B152">
        <v>439.94</v>
      </c>
      <c r="C152">
        <v>63766640</v>
      </c>
      <c r="D152">
        <v>437.52</v>
      </c>
      <c r="E152">
        <v>440.3</v>
      </c>
      <c r="F152">
        <v>436.79</v>
      </c>
    </row>
    <row r="153" spans="1:6" x14ac:dyDescent="0.25">
      <c r="A153" s="1">
        <v>44403</v>
      </c>
      <c r="B153">
        <v>441.02</v>
      </c>
      <c r="C153">
        <v>43719190</v>
      </c>
      <c r="D153">
        <v>439.31</v>
      </c>
      <c r="E153">
        <v>441.03</v>
      </c>
      <c r="F153">
        <v>439.26</v>
      </c>
    </row>
    <row r="154" spans="1:6" x14ac:dyDescent="0.25">
      <c r="A154" s="1">
        <v>44404</v>
      </c>
      <c r="B154">
        <v>439.01</v>
      </c>
      <c r="C154">
        <v>67397140</v>
      </c>
      <c r="D154">
        <v>439.91</v>
      </c>
      <c r="E154">
        <v>439.94</v>
      </c>
      <c r="F154">
        <v>435.99</v>
      </c>
    </row>
    <row r="155" spans="1:6" x14ac:dyDescent="0.25">
      <c r="A155" s="1">
        <v>44405</v>
      </c>
      <c r="B155">
        <v>438.83</v>
      </c>
      <c r="C155">
        <v>52472360</v>
      </c>
      <c r="D155">
        <v>439.68</v>
      </c>
      <c r="E155">
        <v>440.3</v>
      </c>
      <c r="F155">
        <v>437.31</v>
      </c>
    </row>
    <row r="156" spans="1:6" x14ac:dyDescent="0.25">
      <c r="A156" s="1">
        <v>44406</v>
      </c>
      <c r="B156">
        <v>440.65</v>
      </c>
      <c r="C156">
        <v>47435340</v>
      </c>
      <c r="D156">
        <v>439.815</v>
      </c>
      <c r="E156">
        <v>441.8</v>
      </c>
      <c r="F156">
        <v>439.81</v>
      </c>
    </row>
    <row r="157" spans="1:6" x14ac:dyDescent="0.25">
      <c r="A157" s="1">
        <v>44407</v>
      </c>
      <c r="B157">
        <v>438.51</v>
      </c>
      <c r="C157">
        <v>68951200</v>
      </c>
      <c r="D157">
        <v>437.91</v>
      </c>
      <c r="E157">
        <v>440.06</v>
      </c>
      <c r="F157">
        <v>437.77</v>
      </c>
    </row>
    <row r="158" spans="1:6" x14ac:dyDescent="0.25">
      <c r="A158" s="1">
        <v>44410</v>
      </c>
      <c r="B158">
        <v>437.59</v>
      </c>
      <c r="C158">
        <v>58783300</v>
      </c>
      <c r="D158">
        <v>440.34</v>
      </c>
      <c r="E158">
        <v>440.93</v>
      </c>
      <c r="F158">
        <v>437.21</v>
      </c>
    </row>
    <row r="159" spans="1:6" x14ac:dyDescent="0.25">
      <c r="A159" s="1">
        <v>44411</v>
      </c>
      <c r="B159">
        <v>441.15</v>
      </c>
      <c r="C159">
        <v>58053900</v>
      </c>
      <c r="D159">
        <v>438.44</v>
      </c>
      <c r="E159">
        <v>441.28</v>
      </c>
      <c r="F159">
        <v>436.1</v>
      </c>
    </row>
    <row r="160" spans="1:6" x14ac:dyDescent="0.25">
      <c r="A160" s="1">
        <v>44412</v>
      </c>
      <c r="B160">
        <v>438.98</v>
      </c>
      <c r="C160">
        <v>46732210</v>
      </c>
      <c r="D160">
        <v>439.78</v>
      </c>
      <c r="E160">
        <v>441.12430000000001</v>
      </c>
      <c r="F160">
        <v>438.73</v>
      </c>
    </row>
    <row r="161" spans="1:6" x14ac:dyDescent="0.25">
      <c r="A161" s="1">
        <v>44413</v>
      </c>
      <c r="B161">
        <v>441.76</v>
      </c>
      <c r="C161">
        <v>38969660</v>
      </c>
      <c r="D161">
        <v>440.22</v>
      </c>
      <c r="E161">
        <v>441.85</v>
      </c>
      <c r="F161">
        <v>439.88</v>
      </c>
    </row>
    <row r="162" spans="1:6" x14ac:dyDescent="0.25">
      <c r="A162" s="1">
        <v>44414</v>
      </c>
      <c r="B162">
        <v>442.49</v>
      </c>
      <c r="C162">
        <v>46930010</v>
      </c>
      <c r="D162">
        <v>442.1</v>
      </c>
      <c r="E162">
        <v>442.94</v>
      </c>
      <c r="F162">
        <v>441.8</v>
      </c>
    </row>
    <row r="163" spans="1:6" x14ac:dyDescent="0.25">
      <c r="A163" s="1">
        <v>44417</v>
      </c>
      <c r="B163">
        <v>442.13</v>
      </c>
      <c r="C163">
        <v>41222590</v>
      </c>
      <c r="D163">
        <v>442.46</v>
      </c>
      <c r="E163">
        <v>442.79500000000002</v>
      </c>
      <c r="F163">
        <v>441.31</v>
      </c>
    </row>
    <row r="164" spans="1:6" x14ac:dyDescent="0.25">
      <c r="A164" s="1">
        <v>44418</v>
      </c>
      <c r="B164">
        <v>442.68</v>
      </c>
      <c r="C164">
        <v>43339280</v>
      </c>
      <c r="D164">
        <v>442.61</v>
      </c>
      <c r="E164">
        <v>443.44</v>
      </c>
      <c r="F164">
        <v>441.88</v>
      </c>
    </row>
    <row r="165" spans="1:6" x14ac:dyDescent="0.25">
      <c r="A165" s="1">
        <v>44419</v>
      </c>
      <c r="B165">
        <v>443.78</v>
      </c>
      <c r="C165">
        <v>44034340</v>
      </c>
      <c r="D165">
        <v>443.82</v>
      </c>
      <c r="E165">
        <v>443.88200000000001</v>
      </c>
      <c r="F165">
        <v>442.62</v>
      </c>
    </row>
    <row r="166" spans="1:6" x14ac:dyDescent="0.25">
      <c r="A166" s="1">
        <v>44420</v>
      </c>
      <c r="B166">
        <v>445.11</v>
      </c>
      <c r="C166">
        <v>38942420</v>
      </c>
      <c r="D166">
        <v>443.62</v>
      </c>
      <c r="E166">
        <v>445.25720000000001</v>
      </c>
      <c r="F166">
        <v>442.66</v>
      </c>
    </row>
    <row r="167" spans="1:6" x14ac:dyDescent="0.25">
      <c r="A167" s="1">
        <v>44421</v>
      </c>
      <c r="B167">
        <v>445.92</v>
      </c>
      <c r="C167">
        <v>39470250</v>
      </c>
      <c r="D167">
        <v>445.59</v>
      </c>
      <c r="E167">
        <v>445.94</v>
      </c>
      <c r="F167">
        <v>445.07</v>
      </c>
    </row>
    <row r="168" spans="1:6" x14ac:dyDescent="0.25">
      <c r="A168" s="1">
        <v>44424</v>
      </c>
      <c r="B168">
        <v>446.97</v>
      </c>
      <c r="C168">
        <v>73930860</v>
      </c>
      <c r="D168">
        <v>444.53</v>
      </c>
      <c r="E168">
        <v>447.11</v>
      </c>
      <c r="F168">
        <v>442.87</v>
      </c>
    </row>
    <row r="169" spans="1:6" x14ac:dyDescent="0.25">
      <c r="A169" s="1">
        <v>44425</v>
      </c>
      <c r="B169">
        <v>444.04</v>
      </c>
      <c r="C169">
        <v>92673930</v>
      </c>
      <c r="D169">
        <v>444.24</v>
      </c>
      <c r="E169">
        <v>444.96</v>
      </c>
      <c r="F169">
        <v>440.85</v>
      </c>
    </row>
    <row r="170" spans="1:6" x14ac:dyDescent="0.25">
      <c r="A170" s="1">
        <v>44426</v>
      </c>
      <c r="B170">
        <v>439.18</v>
      </c>
      <c r="C170">
        <v>89351930</v>
      </c>
      <c r="D170">
        <v>442.96</v>
      </c>
      <c r="E170">
        <v>444.625</v>
      </c>
      <c r="F170">
        <v>438.92</v>
      </c>
    </row>
    <row r="171" spans="1:6" x14ac:dyDescent="0.25">
      <c r="A171" s="1">
        <v>44427</v>
      </c>
      <c r="B171">
        <v>439.86</v>
      </c>
      <c r="C171">
        <v>92812250</v>
      </c>
      <c r="D171">
        <v>436.27</v>
      </c>
      <c r="E171">
        <v>441.14</v>
      </c>
      <c r="F171">
        <v>436.12</v>
      </c>
    </row>
    <row r="172" spans="1:6" x14ac:dyDescent="0.25">
      <c r="A172" s="1">
        <v>44428</v>
      </c>
      <c r="B172">
        <v>443.36</v>
      </c>
      <c r="C172">
        <v>72008710</v>
      </c>
      <c r="D172">
        <v>440.23</v>
      </c>
      <c r="E172">
        <v>443.71</v>
      </c>
      <c r="F172">
        <v>439.71</v>
      </c>
    </row>
    <row r="173" spans="1:6" x14ac:dyDescent="0.25">
      <c r="A173" s="1">
        <v>44431</v>
      </c>
      <c r="B173">
        <v>447.26</v>
      </c>
      <c r="C173">
        <v>54973040</v>
      </c>
      <c r="D173">
        <v>445.16</v>
      </c>
      <c r="E173">
        <v>448.23</v>
      </c>
      <c r="F173">
        <v>443.43549999999999</v>
      </c>
    </row>
    <row r="174" spans="1:6" x14ac:dyDescent="0.25">
      <c r="A174" s="1">
        <v>44432</v>
      </c>
      <c r="B174">
        <v>447.97</v>
      </c>
      <c r="C174">
        <v>38744710</v>
      </c>
      <c r="D174">
        <v>447.97</v>
      </c>
      <c r="E174">
        <v>448.54</v>
      </c>
      <c r="F174">
        <v>447.42</v>
      </c>
    </row>
    <row r="175" spans="1:6" x14ac:dyDescent="0.25">
      <c r="A175" s="1">
        <v>44433</v>
      </c>
      <c r="B175">
        <v>448.91</v>
      </c>
      <c r="C175">
        <v>40529710</v>
      </c>
      <c r="D175">
        <v>448.17</v>
      </c>
      <c r="E175">
        <v>449.45699999999999</v>
      </c>
      <c r="F175">
        <v>447.77</v>
      </c>
    </row>
    <row r="176" spans="1:6" x14ac:dyDescent="0.25">
      <c r="A176" s="1">
        <v>44434</v>
      </c>
      <c r="B176">
        <v>446.26</v>
      </c>
      <c r="C176">
        <v>57829570</v>
      </c>
      <c r="D176">
        <v>448.61</v>
      </c>
      <c r="E176">
        <v>448.86</v>
      </c>
      <c r="F176">
        <v>446.16</v>
      </c>
    </row>
    <row r="177" spans="1:6" x14ac:dyDescent="0.25">
      <c r="A177" s="1">
        <v>44435</v>
      </c>
      <c r="B177">
        <v>450.25</v>
      </c>
      <c r="C177">
        <v>77235110</v>
      </c>
      <c r="D177">
        <v>447.12</v>
      </c>
      <c r="E177">
        <v>450.65</v>
      </c>
      <c r="F177">
        <v>447.06</v>
      </c>
    </row>
    <row r="178" spans="1:6" x14ac:dyDescent="0.25">
      <c r="A178" s="1">
        <v>44438</v>
      </c>
      <c r="B178">
        <v>452.23</v>
      </c>
      <c r="C178">
        <v>48357360</v>
      </c>
      <c r="D178">
        <v>450.97</v>
      </c>
      <c r="E178">
        <v>453.07</v>
      </c>
      <c r="F178">
        <v>450.71</v>
      </c>
    </row>
    <row r="179" spans="1:6" x14ac:dyDescent="0.25">
      <c r="A179" s="1">
        <v>44439</v>
      </c>
      <c r="B179">
        <v>451.56</v>
      </c>
      <c r="C179">
        <v>59300210</v>
      </c>
      <c r="D179">
        <v>452.13</v>
      </c>
      <c r="E179">
        <v>452.49</v>
      </c>
      <c r="F179">
        <v>450.92</v>
      </c>
    </row>
    <row r="180" spans="1:6" x14ac:dyDescent="0.25">
      <c r="A180" s="1">
        <v>44440</v>
      </c>
      <c r="B180">
        <v>451.8</v>
      </c>
      <c r="C180">
        <v>48721380</v>
      </c>
      <c r="D180">
        <v>452.56</v>
      </c>
      <c r="E180">
        <v>453.11</v>
      </c>
      <c r="F180">
        <v>451.54500000000002</v>
      </c>
    </row>
    <row r="181" spans="1:6" x14ac:dyDescent="0.25">
      <c r="A181" s="1">
        <v>44441</v>
      </c>
      <c r="B181">
        <v>453.19</v>
      </c>
      <c r="C181">
        <v>42830870</v>
      </c>
      <c r="D181">
        <v>453.32</v>
      </c>
      <c r="E181">
        <v>454.05</v>
      </c>
      <c r="F181">
        <v>451.91</v>
      </c>
    </row>
    <row r="182" spans="1:6" x14ac:dyDescent="0.25">
      <c r="A182" s="1">
        <v>44442</v>
      </c>
      <c r="B182">
        <v>453.08</v>
      </c>
      <c r="C182">
        <v>47234360</v>
      </c>
      <c r="D182">
        <v>451.98</v>
      </c>
      <c r="E182">
        <v>453.63</v>
      </c>
      <c r="F182">
        <v>451.55</v>
      </c>
    </row>
    <row r="183" spans="1:6" x14ac:dyDescent="0.25">
      <c r="A183" s="1">
        <v>44446</v>
      </c>
      <c r="B183">
        <v>451.46</v>
      </c>
      <c r="C183">
        <v>51671530</v>
      </c>
      <c r="D183">
        <v>452.71</v>
      </c>
      <c r="E183">
        <v>452.81</v>
      </c>
      <c r="F183">
        <v>450.7423</v>
      </c>
    </row>
    <row r="184" spans="1:6" x14ac:dyDescent="0.25">
      <c r="A184" s="1">
        <v>44447</v>
      </c>
      <c r="B184">
        <v>450.91</v>
      </c>
      <c r="C184">
        <v>56181910</v>
      </c>
      <c r="D184">
        <v>450.89</v>
      </c>
      <c r="E184">
        <v>451.67</v>
      </c>
      <c r="F184">
        <v>448.86</v>
      </c>
    </row>
    <row r="185" spans="1:6" x14ac:dyDescent="0.25">
      <c r="A185" s="1">
        <v>44448</v>
      </c>
      <c r="B185">
        <v>448.98</v>
      </c>
      <c r="C185">
        <v>57970410</v>
      </c>
      <c r="D185">
        <v>450.7</v>
      </c>
      <c r="E185">
        <v>452.57</v>
      </c>
      <c r="F185">
        <v>448.72</v>
      </c>
    </row>
    <row r="186" spans="1:6" x14ac:dyDescent="0.25">
      <c r="A186" s="1">
        <v>44449</v>
      </c>
      <c r="B186">
        <v>445.44</v>
      </c>
      <c r="C186">
        <v>89948170</v>
      </c>
      <c r="D186">
        <v>451.04</v>
      </c>
      <c r="E186">
        <v>451.49</v>
      </c>
      <c r="F186">
        <v>445.31</v>
      </c>
    </row>
    <row r="187" spans="1:6" x14ac:dyDescent="0.25">
      <c r="A187" s="1">
        <v>44452</v>
      </c>
      <c r="B187">
        <v>446.58</v>
      </c>
      <c r="C187">
        <v>83738650</v>
      </c>
      <c r="D187">
        <v>448.64</v>
      </c>
      <c r="E187">
        <v>448.92</v>
      </c>
      <c r="F187">
        <v>444.11</v>
      </c>
    </row>
    <row r="188" spans="1:6" x14ac:dyDescent="0.25">
      <c r="A188" s="1">
        <v>44453</v>
      </c>
      <c r="B188">
        <v>444.17</v>
      </c>
      <c r="C188">
        <v>78197140</v>
      </c>
      <c r="D188">
        <v>448.12</v>
      </c>
      <c r="E188">
        <v>448.34</v>
      </c>
      <c r="F188">
        <v>443.22</v>
      </c>
    </row>
    <row r="189" spans="1:6" x14ac:dyDescent="0.25">
      <c r="A189" s="1">
        <v>44454</v>
      </c>
      <c r="B189">
        <v>447.88</v>
      </c>
      <c r="C189">
        <v>78792220</v>
      </c>
      <c r="D189">
        <v>444.62</v>
      </c>
      <c r="E189">
        <v>448.41</v>
      </c>
      <c r="F189">
        <v>443.44</v>
      </c>
    </row>
    <row r="190" spans="1:6" x14ac:dyDescent="0.25">
      <c r="A190" s="1">
        <v>44455</v>
      </c>
      <c r="B190">
        <v>447.17</v>
      </c>
      <c r="C190">
        <v>77786740</v>
      </c>
      <c r="D190">
        <v>447.32</v>
      </c>
      <c r="E190">
        <v>448.36</v>
      </c>
      <c r="F190">
        <v>444.02</v>
      </c>
    </row>
    <row r="191" spans="1:6" x14ac:dyDescent="0.25">
      <c r="A191" s="1">
        <v>44456</v>
      </c>
      <c r="B191">
        <v>441.4</v>
      </c>
      <c r="C191">
        <v>118425000</v>
      </c>
      <c r="D191">
        <v>444.92</v>
      </c>
      <c r="E191">
        <v>445.37</v>
      </c>
      <c r="F191">
        <v>441.02</v>
      </c>
    </row>
    <row r="192" spans="1:6" x14ac:dyDescent="0.25">
      <c r="A192" s="1">
        <v>44459</v>
      </c>
      <c r="B192">
        <v>434.04</v>
      </c>
      <c r="C192">
        <v>166445500</v>
      </c>
      <c r="D192">
        <v>434.88</v>
      </c>
      <c r="E192">
        <v>436.56</v>
      </c>
      <c r="F192">
        <v>428.86</v>
      </c>
    </row>
    <row r="193" spans="1:6" x14ac:dyDescent="0.25">
      <c r="A193" s="1">
        <v>44460</v>
      </c>
      <c r="B193">
        <v>433.63</v>
      </c>
      <c r="C193">
        <v>92526110</v>
      </c>
      <c r="D193">
        <v>436.53</v>
      </c>
      <c r="E193">
        <v>437.91</v>
      </c>
      <c r="F193">
        <v>433.07</v>
      </c>
    </row>
    <row r="194" spans="1:6" x14ac:dyDescent="0.25">
      <c r="A194" s="1">
        <v>44461</v>
      </c>
      <c r="B194">
        <v>437.86</v>
      </c>
      <c r="C194">
        <v>102350100</v>
      </c>
      <c r="D194">
        <v>436.05</v>
      </c>
      <c r="E194">
        <v>440.03</v>
      </c>
      <c r="F194">
        <v>433.74700000000001</v>
      </c>
    </row>
    <row r="195" spans="1:6" x14ac:dyDescent="0.25">
      <c r="A195" s="1">
        <v>44462</v>
      </c>
      <c r="B195">
        <v>443.18</v>
      </c>
      <c r="C195">
        <v>76395980</v>
      </c>
      <c r="D195">
        <v>439.85</v>
      </c>
      <c r="E195">
        <v>444.89</v>
      </c>
      <c r="F195">
        <v>439.6</v>
      </c>
    </row>
    <row r="196" spans="1:6" x14ac:dyDescent="0.25">
      <c r="A196" s="1">
        <v>44463</v>
      </c>
      <c r="B196">
        <v>443.91</v>
      </c>
      <c r="C196">
        <v>62094840</v>
      </c>
      <c r="D196">
        <v>441.44</v>
      </c>
      <c r="E196">
        <v>444.67</v>
      </c>
      <c r="F196">
        <v>441.21</v>
      </c>
    </row>
    <row r="197" spans="1:6" x14ac:dyDescent="0.25">
      <c r="A197" s="1">
        <v>44466</v>
      </c>
      <c r="B197">
        <v>442.64</v>
      </c>
      <c r="C197">
        <v>61371110</v>
      </c>
      <c r="D197">
        <v>442.81</v>
      </c>
      <c r="E197">
        <v>444.05</v>
      </c>
      <c r="F197">
        <v>441.9</v>
      </c>
    </row>
    <row r="198" spans="1:6" x14ac:dyDescent="0.25">
      <c r="A198" s="1">
        <v>44467</v>
      </c>
      <c r="B198">
        <v>433.72</v>
      </c>
      <c r="C198">
        <v>130436300</v>
      </c>
      <c r="D198">
        <v>439.69</v>
      </c>
      <c r="E198">
        <v>440.04</v>
      </c>
      <c r="F198">
        <v>432.94</v>
      </c>
    </row>
    <row r="199" spans="1:6" x14ac:dyDescent="0.25">
      <c r="A199" s="1">
        <v>44468</v>
      </c>
      <c r="B199">
        <v>434.45</v>
      </c>
      <c r="C199">
        <v>82329210</v>
      </c>
      <c r="D199">
        <v>435.19</v>
      </c>
      <c r="E199">
        <v>437.04</v>
      </c>
      <c r="F199">
        <v>433.85</v>
      </c>
    </row>
    <row r="200" spans="1:6" x14ac:dyDescent="0.25">
      <c r="A200" s="1">
        <v>44469</v>
      </c>
      <c r="B200">
        <v>429.14</v>
      </c>
      <c r="C200">
        <v>140506000</v>
      </c>
      <c r="D200">
        <v>436.02</v>
      </c>
      <c r="E200">
        <v>436.77</v>
      </c>
      <c r="F200">
        <v>428.78</v>
      </c>
    </row>
    <row r="201" spans="1:6" x14ac:dyDescent="0.25">
      <c r="A201" s="1">
        <v>44470</v>
      </c>
      <c r="B201">
        <v>434.24</v>
      </c>
      <c r="C201">
        <v>129240100</v>
      </c>
      <c r="D201">
        <v>430.98</v>
      </c>
      <c r="E201">
        <v>436.03289999999998</v>
      </c>
      <c r="F201">
        <v>427.23</v>
      </c>
    </row>
    <row r="202" spans="1:6" x14ac:dyDescent="0.25">
      <c r="A202" s="1">
        <v>44473</v>
      </c>
      <c r="B202">
        <v>428.64</v>
      </c>
      <c r="C202">
        <v>128570000</v>
      </c>
      <c r="D202">
        <v>433</v>
      </c>
      <c r="E202">
        <v>433.96</v>
      </c>
      <c r="F202">
        <v>426.36</v>
      </c>
    </row>
    <row r="203" spans="1:6" x14ac:dyDescent="0.25">
      <c r="A203" s="1">
        <v>44474</v>
      </c>
      <c r="B203">
        <v>433.1</v>
      </c>
      <c r="C203">
        <v>90682520</v>
      </c>
      <c r="D203">
        <v>430.24</v>
      </c>
      <c r="E203">
        <v>435.49</v>
      </c>
      <c r="F203">
        <v>429.39</v>
      </c>
    </row>
    <row r="204" spans="1:6" x14ac:dyDescent="0.25">
      <c r="A204" s="1">
        <v>44475</v>
      </c>
      <c r="B204">
        <v>434.9</v>
      </c>
      <c r="C204">
        <v>113032200</v>
      </c>
      <c r="D204">
        <v>429.27</v>
      </c>
      <c r="E204">
        <v>435.11989999999997</v>
      </c>
      <c r="F204">
        <v>427.54</v>
      </c>
    </row>
    <row r="205" spans="1:6" x14ac:dyDescent="0.25">
      <c r="A205" s="1">
        <v>44476</v>
      </c>
      <c r="B205">
        <v>438.66</v>
      </c>
      <c r="C205">
        <v>72437500</v>
      </c>
      <c r="D205">
        <v>438.39</v>
      </c>
      <c r="E205">
        <v>441.68</v>
      </c>
      <c r="F205">
        <v>438.2</v>
      </c>
    </row>
    <row r="206" spans="1:6" x14ac:dyDescent="0.25">
      <c r="A206" s="1">
        <v>44477</v>
      </c>
      <c r="B206">
        <v>437.86</v>
      </c>
      <c r="C206">
        <v>74557400</v>
      </c>
      <c r="D206">
        <v>439.48</v>
      </c>
      <c r="E206">
        <v>439.89</v>
      </c>
      <c r="F206">
        <v>437.19</v>
      </c>
    </row>
    <row r="207" spans="1:6" x14ac:dyDescent="0.25">
      <c r="A207" s="1">
        <v>44480</v>
      </c>
      <c r="B207">
        <v>434.69</v>
      </c>
      <c r="C207">
        <v>65233290</v>
      </c>
      <c r="D207">
        <v>437.16</v>
      </c>
      <c r="E207">
        <v>440.26</v>
      </c>
      <c r="F207">
        <v>434.62</v>
      </c>
    </row>
    <row r="208" spans="1:6" x14ac:dyDescent="0.25">
      <c r="A208" s="1">
        <v>44481</v>
      </c>
      <c r="B208">
        <v>433.62</v>
      </c>
      <c r="C208">
        <v>71181160</v>
      </c>
      <c r="D208">
        <v>435.67</v>
      </c>
      <c r="E208">
        <v>436.1</v>
      </c>
      <c r="F208">
        <v>432.78</v>
      </c>
    </row>
    <row r="209" spans="1:6" x14ac:dyDescent="0.25">
      <c r="A209" s="1">
        <v>44482</v>
      </c>
      <c r="B209">
        <v>435.18</v>
      </c>
      <c r="C209">
        <v>72973980</v>
      </c>
      <c r="D209">
        <v>434.71</v>
      </c>
      <c r="E209">
        <v>436.05</v>
      </c>
      <c r="F209">
        <v>431.54</v>
      </c>
    </row>
    <row r="210" spans="1:6" x14ac:dyDescent="0.25">
      <c r="A210" s="1">
        <v>44483</v>
      </c>
      <c r="B210">
        <v>442.5</v>
      </c>
      <c r="C210">
        <v>70236830</v>
      </c>
      <c r="D210">
        <v>439.08</v>
      </c>
      <c r="E210">
        <v>442.66</v>
      </c>
      <c r="F210">
        <v>438.58</v>
      </c>
    </row>
    <row r="211" spans="1:6" x14ac:dyDescent="0.25">
      <c r="A211" s="1">
        <v>44484</v>
      </c>
      <c r="B211">
        <v>445.87</v>
      </c>
      <c r="C211">
        <v>66260210</v>
      </c>
      <c r="D211">
        <v>444.75</v>
      </c>
      <c r="E211">
        <v>446.26</v>
      </c>
      <c r="F211">
        <v>444.09</v>
      </c>
    </row>
    <row r="212" spans="1:6" x14ac:dyDescent="0.25">
      <c r="A212" s="1">
        <v>44487</v>
      </c>
      <c r="B212">
        <v>447.19</v>
      </c>
      <c r="C212">
        <v>62213230</v>
      </c>
      <c r="D212">
        <v>443.97</v>
      </c>
      <c r="E212">
        <v>447.55</v>
      </c>
      <c r="F212">
        <v>443.27</v>
      </c>
    </row>
    <row r="213" spans="1:6" x14ac:dyDescent="0.25">
      <c r="A213" s="1">
        <v>44488</v>
      </c>
      <c r="B213">
        <v>450.64</v>
      </c>
      <c r="C213">
        <v>46996830</v>
      </c>
      <c r="D213">
        <v>448.92</v>
      </c>
      <c r="E213">
        <v>450.71</v>
      </c>
      <c r="F213">
        <v>448.27</v>
      </c>
    </row>
    <row r="214" spans="1:6" x14ac:dyDescent="0.25">
      <c r="A214" s="1">
        <v>44489</v>
      </c>
      <c r="B214">
        <v>452.41</v>
      </c>
      <c r="C214">
        <v>49571570</v>
      </c>
      <c r="D214">
        <v>451.13</v>
      </c>
      <c r="E214">
        <v>452.73200000000003</v>
      </c>
      <c r="F214">
        <v>451.01</v>
      </c>
    </row>
    <row r="215" spans="1:6" x14ac:dyDescent="0.25">
      <c r="A215" s="1">
        <v>44490</v>
      </c>
      <c r="B215">
        <v>453.59</v>
      </c>
      <c r="C215">
        <v>41305440</v>
      </c>
      <c r="D215">
        <v>451.77</v>
      </c>
      <c r="E215">
        <v>453.82900000000001</v>
      </c>
      <c r="F215">
        <v>451.31</v>
      </c>
    </row>
    <row r="216" spans="1:6" x14ac:dyDescent="0.25">
      <c r="A216" s="1">
        <v>44491</v>
      </c>
      <c r="B216">
        <v>453.12</v>
      </c>
      <c r="C216">
        <v>58845090</v>
      </c>
      <c r="D216">
        <v>453.13</v>
      </c>
      <c r="E216">
        <v>454.67</v>
      </c>
      <c r="F216">
        <v>451.05</v>
      </c>
    </row>
    <row r="217" spans="1:6" x14ac:dyDescent="0.25">
      <c r="A217" s="1">
        <v>44494</v>
      </c>
      <c r="B217">
        <v>455.55</v>
      </c>
      <c r="C217">
        <v>45214510</v>
      </c>
      <c r="D217">
        <v>454.28</v>
      </c>
      <c r="E217">
        <v>455.9</v>
      </c>
      <c r="F217">
        <v>452.39</v>
      </c>
    </row>
    <row r="218" spans="1:6" x14ac:dyDescent="0.25">
      <c r="A218" s="1">
        <v>44495</v>
      </c>
      <c r="B218">
        <v>455.96</v>
      </c>
      <c r="C218">
        <v>56075120</v>
      </c>
      <c r="D218">
        <v>457.2</v>
      </c>
      <c r="E218">
        <v>458.49</v>
      </c>
      <c r="F218">
        <v>455.56</v>
      </c>
    </row>
    <row r="219" spans="1:6" x14ac:dyDescent="0.25">
      <c r="A219" s="1">
        <v>44496</v>
      </c>
      <c r="B219">
        <v>453.94</v>
      </c>
      <c r="C219">
        <v>72438000</v>
      </c>
      <c r="D219">
        <v>456.45</v>
      </c>
      <c r="E219">
        <v>457.16</v>
      </c>
      <c r="F219">
        <v>453.86</v>
      </c>
    </row>
    <row r="220" spans="1:6" x14ac:dyDescent="0.25">
      <c r="A220" s="1">
        <v>44497</v>
      </c>
      <c r="B220">
        <v>458.32</v>
      </c>
      <c r="C220">
        <v>51437940</v>
      </c>
      <c r="D220">
        <v>455.46</v>
      </c>
      <c r="E220">
        <v>458.4</v>
      </c>
      <c r="F220">
        <v>455.45</v>
      </c>
    </row>
    <row r="221" spans="1:6" x14ac:dyDescent="0.25">
      <c r="A221" s="1">
        <v>44498</v>
      </c>
      <c r="B221">
        <v>459.25</v>
      </c>
      <c r="C221">
        <v>70162420</v>
      </c>
      <c r="D221">
        <v>455.87</v>
      </c>
      <c r="E221">
        <v>459.56</v>
      </c>
      <c r="F221">
        <v>455.56</v>
      </c>
    </row>
    <row r="222" spans="1:6" x14ac:dyDescent="0.25">
      <c r="A222" s="1">
        <v>44501</v>
      </c>
      <c r="B222">
        <v>460.04</v>
      </c>
      <c r="C222">
        <v>48433640</v>
      </c>
      <c r="D222">
        <v>460.3</v>
      </c>
      <c r="E222">
        <v>460.70209999999997</v>
      </c>
      <c r="F222">
        <v>458.2</v>
      </c>
    </row>
    <row r="223" spans="1:6" x14ac:dyDescent="0.25">
      <c r="A223" s="1">
        <v>44502</v>
      </c>
      <c r="B223">
        <v>461.9</v>
      </c>
      <c r="C223">
        <v>48908420</v>
      </c>
      <c r="D223">
        <v>460.22</v>
      </c>
      <c r="E223">
        <v>462.23</v>
      </c>
      <c r="F223">
        <v>460.08</v>
      </c>
    </row>
    <row r="224" spans="1:6" x14ac:dyDescent="0.25">
      <c r="A224" s="1">
        <v>44503</v>
      </c>
      <c r="B224">
        <v>464.72</v>
      </c>
      <c r="C224">
        <v>52509830</v>
      </c>
      <c r="D224">
        <v>461.3</v>
      </c>
      <c r="E224">
        <v>465.15</v>
      </c>
      <c r="F224">
        <v>460.83</v>
      </c>
    </row>
    <row r="225" spans="1:6" x14ac:dyDescent="0.25">
      <c r="A225" s="1">
        <v>44504</v>
      </c>
      <c r="B225">
        <v>466.91</v>
      </c>
      <c r="C225">
        <v>52847090</v>
      </c>
      <c r="D225">
        <v>465.36</v>
      </c>
      <c r="E225">
        <v>467</v>
      </c>
      <c r="F225">
        <v>464.99</v>
      </c>
    </row>
    <row r="226" spans="1:6" x14ac:dyDescent="0.25">
      <c r="A226" s="1">
        <v>44505</v>
      </c>
      <c r="B226">
        <v>468.53</v>
      </c>
      <c r="C226">
        <v>66390560</v>
      </c>
      <c r="D226">
        <v>469.28</v>
      </c>
      <c r="E226">
        <v>470.65</v>
      </c>
      <c r="F226">
        <v>466.92</v>
      </c>
    </row>
    <row r="227" spans="1:6" x14ac:dyDescent="0.25">
      <c r="A227" s="1">
        <v>44508</v>
      </c>
      <c r="B227">
        <v>468.93</v>
      </c>
      <c r="C227">
        <v>50405190</v>
      </c>
      <c r="D227">
        <v>469.7</v>
      </c>
      <c r="E227">
        <v>470.23</v>
      </c>
      <c r="F227">
        <v>468.20310000000001</v>
      </c>
    </row>
    <row r="228" spans="1:6" x14ac:dyDescent="0.25">
      <c r="A228" s="1">
        <v>44509</v>
      </c>
      <c r="B228">
        <v>467.38</v>
      </c>
      <c r="C228">
        <v>51149150</v>
      </c>
      <c r="D228">
        <v>469.32</v>
      </c>
      <c r="E228">
        <v>469.57</v>
      </c>
      <c r="F228">
        <v>465.88</v>
      </c>
    </row>
    <row r="229" spans="1:6" x14ac:dyDescent="0.25">
      <c r="A229" s="1">
        <v>44510</v>
      </c>
      <c r="B229">
        <v>463.62</v>
      </c>
      <c r="C229">
        <v>69429650</v>
      </c>
      <c r="D229">
        <v>465.58</v>
      </c>
      <c r="E229">
        <v>467.38</v>
      </c>
      <c r="F229">
        <v>462.04</v>
      </c>
    </row>
    <row r="230" spans="1:6" x14ac:dyDescent="0.25">
      <c r="A230" s="1">
        <v>44511</v>
      </c>
      <c r="B230">
        <v>463.77</v>
      </c>
      <c r="C230">
        <v>34848500</v>
      </c>
      <c r="D230">
        <v>465.21</v>
      </c>
      <c r="E230">
        <v>465.29</v>
      </c>
      <c r="F230">
        <v>463.75</v>
      </c>
    </row>
    <row r="231" spans="1:6" x14ac:dyDescent="0.25">
      <c r="A231" s="1">
        <v>44512</v>
      </c>
      <c r="B231">
        <v>467.27</v>
      </c>
      <c r="C231">
        <v>53466650</v>
      </c>
      <c r="D231">
        <v>465.12</v>
      </c>
      <c r="E231">
        <v>467.86</v>
      </c>
      <c r="F231">
        <v>464.11</v>
      </c>
    </row>
    <row r="232" spans="1:6" x14ac:dyDescent="0.25">
      <c r="A232" s="1">
        <v>44515</v>
      </c>
      <c r="B232">
        <v>467.43</v>
      </c>
      <c r="C232">
        <v>46980500</v>
      </c>
      <c r="D232">
        <v>468.64</v>
      </c>
      <c r="E232">
        <v>468.81</v>
      </c>
      <c r="F232">
        <v>466.23</v>
      </c>
    </row>
    <row r="233" spans="1:6" x14ac:dyDescent="0.25">
      <c r="A233" s="1">
        <v>44516</v>
      </c>
      <c r="B233">
        <v>469.28</v>
      </c>
      <c r="C233">
        <v>48857500</v>
      </c>
      <c r="D233">
        <v>467.15</v>
      </c>
      <c r="E233">
        <v>470.48500000000001</v>
      </c>
      <c r="F233">
        <v>467.07</v>
      </c>
    </row>
    <row r="234" spans="1:6" x14ac:dyDescent="0.25">
      <c r="A234" s="1">
        <v>44517</v>
      </c>
      <c r="B234">
        <v>468.14</v>
      </c>
      <c r="C234">
        <v>47858290</v>
      </c>
      <c r="D234">
        <v>469</v>
      </c>
      <c r="E234">
        <v>469.19</v>
      </c>
      <c r="F234">
        <v>467.48</v>
      </c>
    </row>
    <row r="235" spans="1:6" x14ac:dyDescent="0.25">
      <c r="A235" s="1">
        <v>44518</v>
      </c>
      <c r="B235">
        <v>469.73</v>
      </c>
      <c r="C235">
        <v>50625610</v>
      </c>
      <c r="D235">
        <v>469.24</v>
      </c>
      <c r="E235">
        <v>470.01</v>
      </c>
      <c r="F235">
        <v>466.34</v>
      </c>
    </row>
    <row r="236" spans="1:6" x14ac:dyDescent="0.25">
      <c r="A236" s="1">
        <v>44519</v>
      </c>
      <c r="B236">
        <v>468.89</v>
      </c>
      <c r="C236">
        <v>57315570</v>
      </c>
      <c r="D236">
        <v>469.61</v>
      </c>
      <c r="E236">
        <v>470.94</v>
      </c>
      <c r="F236">
        <v>468.5</v>
      </c>
    </row>
    <row r="237" spans="1:6" x14ac:dyDescent="0.25">
      <c r="A237" s="1">
        <v>44522</v>
      </c>
      <c r="B237">
        <v>467.57</v>
      </c>
      <c r="C237">
        <v>72761950</v>
      </c>
      <c r="D237">
        <v>470.89</v>
      </c>
      <c r="E237">
        <v>473.54</v>
      </c>
      <c r="F237">
        <v>467.35</v>
      </c>
    </row>
    <row r="238" spans="1:6" x14ac:dyDescent="0.25">
      <c r="A238" s="1">
        <v>44523</v>
      </c>
      <c r="B238">
        <v>468.19</v>
      </c>
      <c r="C238">
        <v>73206540</v>
      </c>
      <c r="D238">
        <v>467.22</v>
      </c>
      <c r="E238">
        <v>469.09500000000003</v>
      </c>
      <c r="F238">
        <v>464.45</v>
      </c>
    </row>
    <row r="239" spans="1:6" x14ac:dyDescent="0.25">
      <c r="A239" s="1">
        <v>44524</v>
      </c>
      <c r="B239">
        <v>469.44</v>
      </c>
      <c r="C239">
        <v>61858810</v>
      </c>
      <c r="D239">
        <v>466.06</v>
      </c>
      <c r="E239">
        <v>469.57</v>
      </c>
      <c r="F239">
        <v>465.19</v>
      </c>
    </row>
    <row r="240" spans="1:6" x14ac:dyDescent="0.25">
      <c r="A240" s="1">
        <v>44526</v>
      </c>
      <c r="B240">
        <v>458.97</v>
      </c>
      <c r="C240">
        <v>112669600</v>
      </c>
      <c r="D240">
        <v>462.34</v>
      </c>
      <c r="E240">
        <v>463.9</v>
      </c>
      <c r="F240">
        <v>457.77</v>
      </c>
    </row>
    <row r="241" spans="1:6" x14ac:dyDescent="0.25">
      <c r="A241" s="1">
        <v>44529</v>
      </c>
      <c r="B241">
        <v>464.6</v>
      </c>
      <c r="C241">
        <v>86268820</v>
      </c>
      <c r="D241">
        <v>464.07</v>
      </c>
      <c r="E241">
        <v>466.56</v>
      </c>
      <c r="F241">
        <v>461.73</v>
      </c>
    </row>
    <row r="242" spans="1:6" x14ac:dyDescent="0.25">
      <c r="A242" s="1">
        <v>44530</v>
      </c>
      <c r="B242">
        <v>455.56</v>
      </c>
      <c r="C242">
        <v>148559600</v>
      </c>
      <c r="D242">
        <v>462</v>
      </c>
      <c r="E242">
        <v>464.03</v>
      </c>
      <c r="F242">
        <v>455.3</v>
      </c>
    </row>
    <row r="243" spans="1:6" x14ac:dyDescent="0.25">
      <c r="A243" s="1">
        <v>44531</v>
      </c>
      <c r="B243">
        <v>450.5</v>
      </c>
      <c r="C243">
        <v>132485800</v>
      </c>
      <c r="D243">
        <v>461.64</v>
      </c>
      <c r="E243">
        <v>464.67</v>
      </c>
      <c r="F243">
        <v>450.29</v>
      </c>
    </row>
    <row r="244" spans="1:6" x14ac:dyDescent="0.25">
      <c r="A244" s="1">
        <v>44532</v>
      </c>
      <c r="B244">
        <v>457.4</v>
      </c>
      <c r="C244">
        <v>127637800</v>
      </c>
      <c r="D244">
        <v>450.73</v>
      </c>
      <c r="E244">
        <v>459.07</v>
      </c>
      <c r="F244">
        <v>450.31</v>
      </c>
    </row>
    <row r="245" spans="1:6" x14ac:dyDescent="0.25">
      <c r="A245" s="1">
        <v>44533</v>
      </c>
      <c r="B245">
        <v>453.42</v>
      </c>
      <c r="C245">
        <v>137331600</v>
      </c>
      <c r="D245">
        <v>459.17</v>
      </c>
      <c r="E245">
        <v>460.3</v>
      </c>
      <c r="F245">
        <v>448.92</v>
      </c>
    </row>
    <row r="246" spans="1:6" x14ac:dyDescent="0.25">
      <c r="A246" s="1">
        <v>44536</v>
      </c>
      <c r="B246">
        <v>458.79</v>
      </c>
      <c r="C246">
        <v>98977530</v>
      </c>
      <c r="D246">
        <v>456.13</v>
      </c>
      <c r="E246">
        <v>460.79</v>
      </c>
      <c r="F246">
        <v>453.56</v>
      </c>
    </row>
    <row r="247" spans="1:6" x14ac:dyDescent="0.25">
      <c r="A247" s="1">
        <v>44537</v>
      </c>
      <c r="B247">
        <v>468.28</v>
      </c>
      <c r="C247">
        <v>95484690</v>
      </c>
      <c r="D247">
        <v>464.41</v>
      </c>
      <c r="E247">
        <v>468.88</v>
      </c>
      <c r="F247">
        <v>458.65460000000002</v>
      </c>
    </row>
    <row r="248" spans="1:6" x14ac:dyDescent="0.25">
      <c r="A248" s="1">
        <v>44538</v>
      </c>
      <c r="B248">
        <v>469.52</v>
      </c>
      <c r="C248">
        <v>72238780</v>
      </c>
      <c r="D248">
        <v>468.7</v>
      </c>
      <c r="E248">
        <v>470</v>
      </c>
      <c r="F248">
        <v>466.83</v>
      </c>
    </row>
    <row r="249" spans="1:6" x14ac:dyDescent="0.25">
      <c r="A249" s="1">
        <v>44539</v>
      </c>
      <c r="B249">
        <v>466.35</v>
      </c>
      <c r="C249">
        <v>61272570</v>
      </c>
      <c r="D249">
        <v>468.15</v>
      </c>
      <c r="E249">
        <v>469.62909999999999</v>
      </c>
      <c r="F249">
        <v>466.14</v>
      </c>
    </row>
    <row r="250" spans="1:6" x14ac:dyDescent="0.25">
      <c r="A250" s="1">
        <v>44540</v>
      </c>
      <c r="B250">
        <v>470.74</v>
      </c>
      <c r="C250">
        <v>77159760</v>
      </c>
      <c r="D250">
        <v>469.23</v>
      </c>
      <c r="E250">
        <v>470.9</v>
      </c>
      <c r="F250">
        <v>466.51</v>
      </c>
    </row>
    <row r="251" spans="1:6" x14ac:dyDescent="0.25">
      <c r="A251" s="1">
        <v>44543</v>
      </c>
      <c r="B251">
        <v>466.57</v>
      </c>
      <c r="C251">
        <v>87724680</v>
      </c>
      <c r="D251">
        <v>470.19</v>
      </c>
      <c r="E251">
        <v>470.56</v>
      </c>
      <c r="F251">
        <v>466.27</v>
      </c>
    </row>
    <row r="252" spans="1:6" x14ac:dyDescent="0.25">
      <c r="A252" s="1">
        <v>44544</v>
      </c>
      <c r="B252">
        <v>463.36</v>
      </c>
      <c r="C252">
        <v>97264130</v>
      </c>
      <c r="D252">
        <v>463.09</v>
      </c>
      <c r="E252">
        <v>465.74</v>
      </c>
      <c r="F252">
        <v>460.25</v>
      </c>
    </row>
    <row r="253" spans="1:6" x14ac:dyDescent="0.25">
      <c r="A253" s="1">
        <v>44545</v>
      </c>
      <c r="B253">
        <v>470.6</v>
      </c>
      <c r="C253">
        <v>116899300</v>
      </c>
      <c r="D253">
        <v>463.42</v>
      </c>
      <c r="E253">
        <v>470.86</v>
      </c>
      <c r="F253">
        <v>460.74</v>
      </c>
    </row>
    <row r="254" spans="1:6" x14ac:dyDescent="0.25">
      <c r="A254" s="1">
        <v>44546</v>
      </c>
      <c r="B254">
        <v>466.45</v>
      </c>
      <c r="C254">
        <v>116568600</v>
      </c>
      <c r="D254">
        <v>472.57</v>
      </c>
      <c r="E254">
        <v>472.87</v>
      </c>
      <c r="F254">
        <v>464.8</v>
      </c>
    </row>
    <row r="255" spans="1:6" x14ac:dyDescent="0.25">
      <c r="A255" s="1">
        <v>44547</v>
      </c>
      <c r="B255">
        <v>459.87</v>
      </c>
      <c r="C255">
        <v>135636500</v>
      </c>
      <c r="D255">
        <v>461.55</v>
      </c>
      <c r="E255">
        <v>464.74</v>
      </c>
      <c r="F255">
        <v>458.06</v>
      </c>
    </row>
    <row r="256" spans="1:6" x14ac:dyDescent="0.25">
      <c r="A256" s="1">
        <v>44550</v>
      </c>
      <c r="B256">
        <v>454.98</v>
      </c>
      <c r="C256">
        <v>107134800</v>
      </c>
      <c r="D256">
        <v>454.48</v>
      </c>
      <c r="E256">
        <v>455.4</v>
      </c>
      <c r="F256">
        <v>451.14</v>
      </c>
    </row>
    <row r="257" spans="1:6" x14ac:dyDescent="0.25">
      <c r="A257" s="1">
        <v>44551</v>
      </c>
      <c r="B257">
        <v>463.06</v>
      </c>
      <c r="C257">
        <v>69806260</v>
      </c>
      <c r="D257">
        <v>458.61</v>
      </c>
      <c r="E257">
        <v>463.21</v>
      </c>
      <c r="F257">
        <v>456.31</v>
      </c>
    </row>
    <row r="258" spans="1:6" x14ac:dyDescent="0.25">
      <c r="A258" s="1">
        <v>44552</v>
      </c>
      <c r="B258">
        <v>467.69</v>
      </c>
      <c r="C258">
        <v>58890220</v>
      </c>
      <c r="D258">
        <v>462.79</v>
      </c>
      <c r="E258">
        <v>467.81</v>
      </c>
      <c r="F258">
        <v>462.58</v>
      </c>
    </row>
    <row r="259" spans="1:6" x14ac:dyDescent="0.25">
      <c r="A259" s="1">
        <v>44553</v>
      </c>
      <c r="B259">
        <v>470.6</v>
      </c>
      <c r="C259">
        <v>56439750</v>
      </c>
      <c r="D259">
        <v>468.75</v>
      </c>
      <c r="E259">
        <v>472.19</v>
      </c>
      <c r="F259">
        <v>468.64</v>
      </c>
    </row>
    <row r="260" spans="1:6" x14ac:dyDescent="0.25">
      <c r="A260" s="1">
        <v>44557</v>
      </c>
      <c r="B260">
        <v>477.26</v>
      </c>
      <c r="C260">
        <v>56808620</v>
      </c>
      <c r="D260">
        <v>472.06</v>
      </c>
      <c r="E260">
        <v>477.31</v>
      </c>
      <c r="F260">
        <v>472.01</v>
      </c>
    </row>
    <row r="261" spans="1:6" x14ac:dyDescent="0.25">
      <c r="A261" s="1">
        <v>44558</v>
      </c>
      <c r="B261">
        <v>476.87</v>
      </c>
      <c r="C261">
        <v>47274590</v>
      </c>
      <c r="D261">
        <v>477.72</v>
      </c>
      <c r="E261">
        <v>478.81</v>
      </c>
      <c r="F261">
        <v>476.06</v>
      </c>
    </row>
    <row r="262" spans="1:6" x14ac:dyDescent="0.25">
      <c r="A262" s="1">
        <v>44559</v>
      </c>
      <c r="B262">
        <v>477.48</v>
      </c>
      <c r="C262">
        <v>54502960</v>
      </c>
      <c r="D262">
        <v>476.98</v>
      </c>
      <c r="E262">
        <v>478.56</v>
      </c>
      <c r="F262">
        <v>475.92</v>
      </c>
    </row>
    <row r="263" spans="1:6" x14ac:dyDescent="0.25">
      <c r="A263" s="1">
        <v>44560</v>
      </c>
      <c r="B263">
        <v>476.16</v>
      </c>
      <c r="C263">
        <v>55329040</v>
      </c>
      <c r="D263">
        <v>477.93</v>
      </c>
      <c r="E263">
        <v>479</v>
      </c>
      <c r="F263">
        <v>475.67</v>
      </c>
    </row>
    <row r="264" spans="1:6" x14ac:dyDescent="0.25">
      <c r="A264" s="1">
        <v>44561</v>
      </c>
      <c r="B264">
        <v>474.96</v>
      </c>
      <c r="C264">
        <v>65237430</v>
      </c>
      <c r="D264">
        <v>475.64</v>
      </c>
      <c r="E264">
        <v>476.86</v>
      </c>
      <c r="F264">
        <v>474.67</v>
      </c>
    </row>
    <row r="265" spans="1:6" x14ac:dyDescent="0.25">
      <c r="A265" s="1">
        <v>44564</v>
      </c>
      <c r="B265">
        <v>477.71</v>
      </c>
      <c r="C265">
        <v>72668230</v>
      </c>
      <c r="D265">
        <v>476.3</v>
      </c>
      <c r="E265">
        <v>477.85</v>
      </c>
      <c r="F265">
        <v>473.85</v>
      </c>
    </row>
    <row r="266" spans="1:6" x14ac:dyDescent="0.25">
      <c r="A266" s="1">
        <v>44565</v>
      </c>
      <c r="B266">
        <v>477.55</v>
      </c>
      <c r="C266">
        <v>71178680</v>
      </c>
      <c r="D266">
        <v>479.22</v>
      </c>
      <c r="E266">
        <v>479.98</v>
      </c>
      <c r="F266">
        <v>475.58</v>
      </c>
    </row>
    <row r="267" spans="1:6" x14ac:dyDescent="0.25">
      <c r="A267" s="1">
        <v>44566</v>
      </c>
      <c r="B267">
        <v>468.38</v>
      </c>
      <c r="C267">
        <v>104538900</v>
      </c>
      <c r="D267">
        <v>477.16</v>
      </c>
      <c r="E267">
        <v>477.98</v>
      </c>
      <c r="F267">
        <v>468.2801</v>
      </c>
    </row>
    <row r="268" spans="1:6" x14ac:dyDescent="0.25">
      <c r="A268" s="1">
        <v>44567</v>
      </c>
      <c r="B268">
        <v>467.94</v>
      </c>
      <c r="C268">
        <v>86858900</v>
      </c>
      <c r="D268">
        <v>467.89</v>
      </c>
      <c r="E268">
        <v>470.82</v>
      </c>
      <c r="F268">
        <v>465.43</v>
      </c>
    </row>
    <row r="269" spans="1:6" x14ac:dyDescent="0.25">
      <c r="A269" s="1">
        <v>44568</v>
      </c>
      <c r="B269">
        <v>466.09</v>
      </c>
      <c r="C269">
        <v>85111590</v>
      </c>
      <c r="D269">
        <v>467.95</v>
      </c>
      <c r="E269">
        <v>469.2</v>
      </c>
      <c r="F269">
        <v>464.65</v>
      </c>
    </row>
    <row r="270" spans="1:6" x14ac:dyDescent="0.25">
      <c r="A270" s="1">
        <v>44571</v>
      </c>
      <c r="B270">
        <v>465.51</v>
      </c>
      <c r="C270">
        <v>119362000</v>
      </c>
      <c r="D270">
        <v>462.7</v>
      </c>
      <c r="E270">
        <v>465.74</v>
      </c>
      <c r="F270">
        <v>456.59730000000002</v>
      </c>
    </row>
    <row r="271" spans="1:6" x14ac:dyDescent="0.25">
      <c r="A271" s="1">
        <v>44572</v>
      </c>
      <c r="B271">
        <v>469.75</v>
      </c>
      <c r="C271">
        <v>74303060</v>
      </c>
      <c r="D271">
        <v>465.23</v>
      </c>
      <c r="E271">
        <v>469.85</v>
      </c>
      <c r="F271">
        <v>462.05</v>
      </c>
    </row>
    <row r="272" spans="1:6" x14ac:dyDescent="0.25">
      <c r="A272" s="1">
        <v>44573</v>
      </c>
      <c r="B272">
        <v>471.02</v>
      </c>
      <c r="C272">
        <v>67605440</v>
      </c>
      <c r="D272">
        <v>471.59</v>
      </c>
      <c r="E272">
        <v>473.2</v>
      </c>
      <c r="F272">
        <v>468.94</v>
      </c>
    </row>
    <row r="273" spans="1:6" x14ac:dyDescent="0.25">
      <c r="A273" s="1">
        <v>44574</v>
      </c>
      <c r="B273">
        <v>464.53</v>
      </c>
      <c r="C273">
        <v>91173120</v>
      </c>
      <c r="D273">
        <v>472.19</v>
      </c>
      <c r="E273">
        <v>472.88</v>
      </c>
      <c r="F273">
        <v>463.44</v>
      </c>
    </row>
    <row r="274" spans="1:6" x14ac:dyDescent="0.25">
      <c r="A274" s="1">
        <v>44575</v>
      </c>
      <c r="B274">
        <v>464.72</v>
      </c>
      <c r="C274">
        <v>95890950</v>
      </c>
      <c r="D274">
        <v>461.19</v>
      </c>
      <c r="E274">
        <v>465.09</v>
      </c>
      <c r="F274">
        <v>459.9</v>
      </c>
    </row>
    <row r="275" spans="1:6" x14ac:dyDescent="0.25">
      <c r="A275" s="1">
        <v>44579</v>
      </c>
      <c r="B275">
        <v>456.49</v>
      </c>
      <c r="C275">
        <v>109872400</v>
      </c>
      <c r="D275">
        <v>459.74</v>
      </c>
      <c r="E275">
        <v>459.96</v>
      </c>
      <c r="F275">
        <v>455.31</v>
      </c>
    </row>
    <row r="276" spans="1:6" x14ac:dyDescent="0.25">
      <c r="A276" s="1">
        <v>44580</v>
      </c>
      <c r="B276">
        <v>451.75</v>
      </c>
      <c r="C276">
        <v>109357600</v>
      </c>
      <c r="D276">
        <v>458.13</v>
      </c>
      <c r="E276">
        <v>459.61239999999998</v>
      </c>
      <c r="F276">
        <v>451.46</v>
      </c>
    </row>
    <row r="277" spans="1:6" x14ac:dyDescent="0.25">
      <c r="A277" s="1">
        <v>44581</v>
      </c>
      <c r="B277">
        <v>446.75</v>
      </c>
      <c r="C277">
        <v>122379700</v>
      </c>
      <c r="D277">
        <v>453.75</v>
      </c>
      <c r="E277">
        <v>458.74</v>
      </c>
      <c r="F277">
        <v>444.5</v>
      </c>
    </row>
    <row r="278" spans="1:6" x14ac:dyDescent="0.25">
      <c r="A278" s="1">
        <v>44582</v>
      </c>
      <c r="B278">
        <v>437.98</v>
      </c>
      <c r="C278">
        <v>202271200</v>
      </c>
      <c r="D278">
        <v>445.56</v>
      </c>
      <c r="E278">
        <v>448.06</v>
      </c>
      <c r="F278">
        <v>437.95</v>
      </c>
    </row>
    <row r="279" spans="1:6" x14ac:dyDescent="0.25">
      <c r="A279" s="1">
        <v>44585</v>
      </c>
      <c r="B279">
        <v>439.84</v>
      </c>
      <c r="C279">
        <v>252496700</v>
      </c>
      <c r="D279">
        <v>432.03</v>
      </c>
      <c r="E279">
        <v>440.38</v>
      </c>
      <c r="F279">
        <v>420.76</v>
      </c>
    </row>
    <row r="280" spans="1:6" x14ac:dyDescent="0.25">
      <c r="A280" s="1">
        <v>44586</v>
      </c>
      <c r="B280">
        <v>434.47</v>
      </c>
      <c r="C280">
        <v>167997300</v>
      </c>
      <c r="D280">
        <v>433.06</v>
      </c>
      <c r="E280">
        <v>439.72</v>
      </c>
      <c r="F280">
        <v>427.15</v>
      </c>
    </row>
    <row r="281" spans="1:6" x14ac:dyDescent="0.25">
      <c r="A281" s="1">
        <v>44587</v>
      </c>
      <c r="B281">
        <v>433.38</v>
      </c>
      <c r="C281">
        <v>186391100</v>
      </c>
      <c r="D281">
        <v>440.72</v>
      </c>
      <c r="E281">
        <v>444.04</v>
      </c>
      <c r="F281">
        <v>428.86</v>
      </c>
    </row>
    <row r="282" spans="1:6" x14ac:dyDescent="0.25">
      <c r="A282" s="1">
        <v>44588</v>
      </c>
      <c r="B282">
        <v>431.24</v>
      </c>
      <c r="C282">
        <v>149878300</v>
      </c>
      <c r="D282">
        <v>438.26</v>
      </c>
      <c r="E282">
        <v>441.59</v>
      </c>
      <c r="F282">
        <v>429.45</v>
      </c>
    </row>
    <row r="283" spans="1:6" x14ac:dyDescent="0.25">
      <c r="A283" s="1">
        <v>44589</v>
      </c>
      <c r="B283">
        <v>441.95</v>
      </c>
      <c r="C283">
        <v>164457400</v>
      </c>
      <c r="D283">
        <v>432.68</v>
      </c>
      <c r="E283">
        <v>442</v>
      </c>
      <c r="F283">
        <v>427.82</v>
      </c>
    </row>
    <row r="284" spans="1:6" x14ac:dyDescent="0.25">
      <c r="A284" s="1">
        <v>44592</v>
      </c>
      <c r="B284">
        <v>449.91</v>
      </c>
      <c r="C284">
        <v>152251400</v>
      </c>
      <c r="D284">
        <v>441.24</v>
      </c>
      <c r="E284">
        <v>450.28</v>
      </c>
      <c r="F284">
        <v>439.81</v>
      </c>
    </row>
    <row r="285" spans="1:6" x14ac:dyDescent="0.25">
      <c r="A285" s="1">
        <v>44593</v>
      </c>
      <c r="B285">
        <v>452.95</v>
      </c>
      <c r="C285">
        <v>123155400</v>
      </c>
      <c r="D285">
        <v>450.68</v>
      </c>
      <c r="E285">
        <v>453.63</v>
      </c>
      <c r="F285">
        <v>446.9384</v>
      </c>
    </row>
    <row r="286" spans="1:6" x14ac:dyDescent="0.25">
      <c r="A286" s="1">
        <v>44594</v>
      </c>
      <c r="B286">
        <v>457.35</v>
      </c>
      <c r="C286">
        <v>117361000</v>
      </c>
      <c r="D286">
        <v>455.5</v>
      </c>
      <c r="E286">
        <v>458.12</v>
      </c>
      <c r="F286">
        <v>453.05</v>
      </c>
    </row>
    <row r="287" spans="1:6" x14ac:dyDescent="0.25">
      <c r="A287" s="1">
        <v>44595</v>
      </c>
      <c r="B287">
        <v>446.6</v>
      </c>
      <c r="C287">
        <v>118024400</v>
      </c>
      <c r="D287">
        <v>450.95</v>
      </c>
      <c r="E287">
        <v>452.97</v>
      </c>
      <c r="F287">
        <v>445.71</v>
      </c>
    </row>
    <row r="288" spans="1:6" x14ac:dyDescent="0.25">
      <c r="A288" s="1">
        <v>44596</v>
      </c>
      <c r="B288">
        <v>448.7</v>
      </c>
      <c r="C288">
        <v>118454400</v>
      </c>
      <c r="D288">
        <v>446.35</v>
      </c>
      <c r="E288">
        <v>452.78</v>
      </c>
      <c r="F288">
        <v>443.83</v>
      </c>
    </row>
    <row r="289" spans="1:6" x14ac:dyDescent="0.25">
      <c r="A289" s="1">
        <v>44599</v>
      </c>
      <c r="B289">
        <v>447.26</v>
      </c>
      <c r="C289">
        <v>84472860</v>
      </c>
      <c r="D289">
        <v>449.51</v>
      </c>
      <c r="E289">
        <v>450.99</v>
      </c>
      <c r="F289">
        <v>445.85</v>
      </c>
    </row>
    <row r="290" spans="1:6" x14ac:dyDescent="0.25">
      <c r="A290" s="1">
        <v>44600</v>
      </c>
      <c r="B290">
        <v>450.94</v>
      </c>
      <c r="C290">
        <v>81012040</v>
      </c>
      <c r="D290">
        <v>446.73</v>
      </c>
      <c r="E290">
        <v>451.92</v>
      </c>
      <c r="F290">
        <v>445.22</v>
      </c>
    </row>
    <row r="291" spans="1:6" x14ac:dyDescent="0.25">
      <c r="A291" s="1">
        <v>44601</v>
      </c>
      <c r="B291">
        <v>457.54</v>
      </c>
      <c r="C291">
        <v>92589930</v>
      </c>
      <c r="D291">
        <v>455.22</v>
      </c>
      <c r="E291">
        <v>457.88</v>
      </c>
      <c r="F291">
        <v>455.005</v>
      </c>
    </row>
    <row r="292" spans="1:6" x14ac:dyDescent="0.25">
      <c r="A292" s="1">
        <v>44602</v>
      </c>
      <c r="B292">
        <v>449.32</v>
      </c>
      <c r="C292">
        <v>140103700</v>
      </c>
      <c r="D292">
        <v>451.34</v>
      </c>
      <c r="E292">
        <v>457.71</v>
      </c>
      <c r="F292">
        <v>447.2</v>
      </c>
    </row>
    <row r="293" spans="1:6" x14ac:dyDescent="0.25">
      <c r="A293" s="1">
        <v>44603</v>
      </c>
      <c r="B293">
        <v>440.46</v>
      </c>
      <c r="C293">
        <v>153214600</v>
      </c>
      <c r="D293">
        <v>449.41</v>
      </c>
      <c r="E293">
        <v>451.60500000000002</v>
      </c>
      <c r="F293">
        <v>438.94</v>
      </c>
    </row>
    <row r="294" spans="1:6" x14ac:dyDescent="0.25">
      <c r="A294" s="1">
        <v>44606</v>
      </c>
      <c r="B294">
        <v>439.02</v>
      </c>
      <c r="C294">
        <v>123006300</v>
      </c>
      <c r="D294">
        <v>439.92</v>
      </c>
      <c r="E294">
        <v>441.6</v>
      </c>
      <c r="F294">
        <v>435.34</v>
      </c>
    </row>
    <row r="295" spans="1:6" x14ac:dyDescent="0.25">
      <c r="A295" s="1">
        <v>44607</v>
      </c>
      <c r="B295">
        <v>446.1</v>
      </c>
      <c r="C295">
        <v>88659500</v>
      </c>
      <c r="D295">
        <v>443.73</v>
      </c>
      <c r="E295">
        <v>446.28</v>
      </c>
      <c r="F295">
        <v>443.18</v>
      </c>
    </row>
    <row r="296" spans="1:6" x14ac:dyDescent="0.25">
      <c r="A296" s="1">
        <v>44608</v>
      </c>
      <c r="B296">
        <v>446.6</v>
      </c>
      <c r="C296">
        <v>84863590</v>
      </c>
      <c r="D296">
        <v>443.93</v>
      </c>
      <c r="E296">
        <v>448.05500000000001</v>
      </c>
      <c r="F296">
        <v>441.94</v>
      </c>
    </row>
    <row r="297" spans="1:6" x14ac:dyDescent="0.25">
      <c r="A297" s="1">
        <v>44609</v>
      </c>
      <c r="B297">
        <v>437.06</v>
      </c>
      <c r="C297">
        <v>102259100</v>
      </c>
      <c r="D297">
        <v>443.22</v>
      </c>
      <c r="E297">
        <v>446.5652</v>
      </c>
      <c r="F297">
        <v>436.42</v>
      </c>
    </row>
    <row r="298" spans="1:6" x14ac:dyDescent="0.25">
      <c r="A298" s="1">
        <v>44610</v>
      </c>
      <c r="B298">
        <v>434.23</v>
      </c>
      <c r="C298">
        <v>132642900</v>
      </c>
      <c r="D298">
        <v>437.33</v>
      </c>
      <c r="E298">
        <v>438.66</v>
      </c>
      <c r="F298">
        <v>431.82</v>
      </c>
    </row>
    <row r="299" spans="1:6" x14ac:dyDescent="0.25">
      <c r="A299" s="1">
        <v>44614</v>
      </c>
      <c r="B299">
        <v>429.57</v>
      </c>
      <c r="C299">
        <v>124391800</v>
      </c>
      <c r="D299">
        <v>431.89</v>
      </c>
      <c r="E299">
        <v>435.5</v>
      </c>
      <c r="F299">
        <v>425.86</v>
      </c>
    </row>
    <row r="300" spans="1:6" x14ac:dyDescent="0.25">
      <c r="A300" s="1">
        <v>44615</v>
      </c>
      <c r="B300">
        <v>421.95</v>
      </c>
      <c r="C300">
        <v>132578000</v>
      </c>
      <c r="D300">
        <v>432.66</v>
      </c>
      <c r="E300">
        <v>433.26</v>
      </c>
      <c r="F300">
        <v>421.35</v>
      </c>
    </row>
    <row r="301" spans="1:6" x14ac:dyDescent="0.25">
      <c r="A301" s="1">
        <v>44616</v>
      </c>
      <c r="B301">
        <v>428.3</v>
      </c>
      <c r="C301">
        <v>213942900</v>
      </c>
      <c r="D301">
        <v>411.02</v>
      </c>
      <c r="E301">
        <v>428.76</v>
      </c>
      <c r="F301">
        <v>410.64</v>
      </c>
    </row>
    <row r="302" spans="1:6" x14ac:dyDescent="0.25">
      <c r="A302" s="1">
        <v>44617</v>
      </c>
      <c r="B302">
        <v>437.75</v>
      </c>
      <c r="C302">
        <v>121804500</v>
      </c>
      <c r="D302">
        <v>429.61</v>
      </c>
      <c r="E302">
        <v>437.84</v>
      </c>
      <c r="F302">
        <v>427.86</v>
      </c>
    </row>
    <row r="303" spans="1:6" x14ac:dyDescent="0.25">
      <c r="A303" s="1">
        <v>44620</v>
      </c>
      <c r="B303">
        <v>436.63</v>
      </c>
      <c r="C303">
        <v>145615000</v>
      </c>
      <c r="D303">
        <v>432.03</v>
      </c>
      <c r="E303">
        <v>438.2</v>
      </c>
      <c r="F303">
        <v>430.7</v>
      </c>
    </row>
    <row r="304" spans="1:6" x14ac:dyDescent="0.25">
      <c r="A304" s="1">
        <v>44621</v>
      </c>
      <c r="B304">
        <v>429.98</v>
      </c>
      <c r="C304">
        <v>137785900</v>
      </c>
      <c r="D304">
        <v>435.04</v>
      </c>
      <c r="E304">
        <v>437.17</v>
      </c>
      <c r="F304">
        <v>427.11</v>
      </c>
    </row>
    <row r="305" spans="1:6" x14ac:dyDescent="0.25">
      <c r="A305" s="1">
        <v>44622</v>
      </c>
      <c r="B305">
        <v>437.89</v>
      </c>
      <c r="C305">
        <v>117726500</v>
      </c>
      <c r="D305">
        <v>432.37</v>
      </c>
      <c r="E305">
        <v>439.72</v>
      </c>
      <c r="F305">
        <v>431.57</v>
      </c>
    </row>
    <row r="306" spans="1:6" x14ac:dyDescent="0.25">
      <c r="A306" s="1">
        <v>44623</v>
      </c>
      <c r="B306">
        <v>435.71</v>
      </c>
      <c r="C306">
        <v>105501700</v>
      </c>
      <c r="D306">
        <v>440.47</v>
      </c>
      <c r="E306">
        <v>441.11</v>
      </c>
      <c r="F306">
        <v>433.8</v>
      </c>
    </row>
    <row r="307" spans="1:6" x14ac:dyDescent="0.25">
      <c r="A307" s="1">
        <v>44624</v>
      </c>
      <c r="B307">
        <v>432.17</v>
      </c>
      <c r="C307">
        <v>114083300</v>
      </c>
      <c r="D307">
        <v>431.75</v>
      </c>
      <c r="E307">
        <v>433.37</v>
      </c>
      <c r="F307">
        <v>427.88</v>
      </c>
    </row>
    <row r="308" spans="1:6" x14ac:dyDescent="0.25">
      <c r="A308" s="1">
        <v>44627</v>
      </c>
      <c r="B308">
        <v>419.43</v>
      </c>
      <c r="C308">
        <v>137896600</v>
      </c>
      <c r="D308">
        <v>431.55</v>
      </c>
      <c r="E308">
        <v>432.30180000000001</v>
      </c>
      <c r="F308">
        <v>419.36</v>
      </c>
    </row>
    <row r="309" spans="1:6" x14ac:dyDescent="0.25">
      <c r="A309" s="1">
        <v>44628</v>
      </c>
      <c r="B309">
        <v>416.25</v>
      </c>
      <c r="C309">
        <v>164772700</v>
      </c>
      <c r="D309">
        <v>419.62</v>
      </c>
      <c r="E309">
        <v>427.21</v>
      </c>
      <c r="F309">
        <v>415.12</v>
      </c>
    </row>
    <row r="310" spans="1:6" x14ac:dyDescent="0.25">
      <c r="A310" s="1">
        <v>44629</v>
      </c>
      <c r="B310">
        <v>427.41</v>
      </c>
      <c r="C310">
        <v>116990800</v>
      </c>
      <c r="D310">
        <v>425.14</v>
      </c>
      <c r="E310">
        <v>429.51</v>
      </c>
      <c r="F310">
        <v>422.82</v>
      </c>
    </row>
    <row r="311" spans="1:6" x14ac:dyDescent="0.25">
      <c r="A311" s="1">
        <v>44630</v>
      </c>
      <c r="B311">
        <v>425.48</v>
      </c>
      <c r="C311">
        <v>93972660</v>
      </c>
      <c r="D311">
        <v>422.52</v>
      </c>
      <c r="E311">
        <v>426.43</v>
      </c>
      <c r="F311">
        <v>420.44</v>
      </c>
    </row>
    <row r="312" spans="1:6" x14ac:dyDescent="0.25">
      <c r="A312" s="1">
        <v>44631</v>
      </c>
      <c r="B312">
        <v>420.07</v>
      </c>
      <c r="C312">
        <v>95636280</v>
      </c>
      <c r="D312">
        <v>428.12</v>
      </c>
      <c r="E312">
        <v>428.77</v>
      </c>
      <c r="F312">
        <v>419.53</v>
      </c>
    </row>
    <row r="313" spans="1:6" x14ac:dyDescent="0.25">
      <c r="A313" s="1">
        <v>44634</v>
      </c>
      <c r="B313">
        <v>417</v>
      </c>
      <c r="C313">
        <v>95729190</v>
      </c>
      <c r="D313">
        <v>420.89</v>
      </c>
      <c r="E313">
        <v>424.55</v>
      </c>
      <c r="F313">
        <v>415.79</v>
      </c>
    </row>
    <row r="314" spans="1:6" x14ac:dyDescent="0.25">
      <c r="A314" s="1">
        <v>44635</v>
      </c>
      <c r="B314">
        <v>426.17</v>
      </c>
      <c r="C314">
        <v>106219100</v>
      </c>
      <c r="D314">
        <v>419.77</v>
      </c>
      <c r="E314">
        <v>426.84</v>
      </c>
      <c r="F314">
        <v>418.42</v>
      </c>
    </row>
    <row r="315" spans="1:6" x14ac:dyDescent="0.25">
      <c r="A315" s="1">
        <v>44636</v>
      </c>
      <c r="B315">
        <v>435.62</v>
      </c>
      <c r="C315">
        <v>144954800</v>
      </c>
      <c r="D315">
        <v>429.89</v>
      </c>
      <c r="E315">
        <v>435.68</v>
      </c>
      <c r="F315">
        <v>424.8</v>
      </c>
    </row>
    <row r="316" spans="1:6" x14ac:dyDescent="0.25">
      <c r="A316" s="1">
        <v>44637</v>
      </c>
      <c r="B316">
        <v>441.07</v>
      </c>
      <c r="C316">
        <v>102676900</v>
      </c>
      <c r="D316">
        <v>433.59</v>
      </c>
      <c r="E316">
        <v>441.07</v>
      </c>
      <c r="F316">
        <v>433.19</v>
      </c>
    </row>
    <row r="317" spans="1:6" x14ac:dyDescent="0.25">
      <c r="A317" s="1">
        <v>44638</v>
      </c>
      <c r="B317">
        <v>444.52</v>
      </c>
      <c r="C317">
        <v>106345500</v>
      </c>
      <c r="D317">
        <v>438</v>
      </c>
      <c r="E317">
        <v>444.86</v>
      </c>
      <c r="F317">
        <v>437.22</v>
      </c>
    </row>
    <row r="318" spans="1:6" x14ac:dyDescent="0.25">
      <c r="A318" s="1">
        <v>44641</v>
      </c>
      <c r="B318">
        <v>444.39</v>
      </c>
      <c r="C318">
        <v>88349760</v>
      </c>
      <c r="D318">
        <v>444.34</v>
      </c>
      <c r="E318">
        <v>446.46</v>
      </c>
      <c r="F318">
        <v>440.68</v>
      </c>
    </row>
    <row r="319" spans="1:6" x14ac:dyDescent="0.25">
      <c r="A319" s="1">
        <v>44642</v>
      </c>
      <c r="B319">
        <v>449.59</v>
      </c>
      <c r="C319">
        <v>74650390</v>
      </c>
      <c r="D319">
        <v>445.86</v>
      </c>
      <c r="E319">
        <v>450.58</v>
      </c>
      <c r="F319">
        <v>445.86</v>
      </c>
    </row>
    <row r="320" spans="1:6" x14ac:dyDescent="0.25">
      <c r="A320" s="1">
        <v>44643</v>
      </c>
      <c r="B320">
        <v>443.8</v>
      </c>
      <c r="C320">
        <v>79426100</v>
      </c>
      <c r="D320">
        <v>446.91</v>
      </c>
      <c r="E320">
        <v>448.49</v>
      </c>
      <c r="F320">
        <v>443.71</v>
      </c>
    </row>
    <row r="321" spans="1:6" x14ac:dyDescent="0.25">
      <c r="A321" s="1">
        <v>44644</v>
      </c>
      <c r="B321">
        <v>450.49</v>
      </c>
      <c r="C321">
        <v>64736890</v>
      </c>
      <c r="D321">
        <v>445.94</v>
      </c>
      <c r="E321">
        <v>450.5</v>
      </c>
      <c r="F321">
        <v>444.76</v>
      </c>
    </row>
    <row r="322" spans="1:6" x14ac:dyDescent="0.25">
      <c r="A322" s="1">
        <v>44645</v>
      </c>
      <c r="B322">
        <v>452.69</v>
      </c>
      <c r="C322">
        <v>77101320</v>
      </c>
      <c r="D322">
        <v>451.16</v>
      </c>
      <c r="E322">
        <v>452.98</v>
      </c>
      <c r="F322">
        <v>448.43</v>
      </c>
    </row>
    <row r="323" spans="1:6" x14ac:dyDescent="0.25">
      <c r="A323" s="1">
        <v>44648</v>
      </c>
      <c r="B323">
        <v>455.91</v>
      </c>
      <c r="C323">
        <v>68529770</v>
      </c>
      <c r="D323">
        <v>452.06</v>
      </c>
      <c r="E323">
        <v>455.91</v>
      </c>
      <c r="F323">
        <v>450.06</v>
      </c>
    </row>
    <row r="324" spans="1:6" x14ac:dyDescent="0.25">
      <c r="A324" s="1">
        <v>44649</v>
      </c>
      <c r="B324">
        <v>461.55</v>
      </c>
      <c r="C324">
        <v>86581540</v>
      </c>
      <c r="D324">
        <v>460.02</v>
      </c>
      <c r="E324">
        <v>462.07</v>
      </c>
      <c r="F324">
        <v>457.18</v>
      </c>
    </row>
    <row r="325" spans="1:6" x14ac:dyDescent="0.25">
      <c r="A325" s="1">
        <v>44650</v>
      </c>
      <c r="B325">
        <v>458.7</v>
      </c>
      <c r="C325">
        <v>79666940</v>
      </c>
      <c r="D325">
        <v>460.34</v>
      </c>
      <c r="E325">
        <v>461.19499999999999</v>
      </c>
      <c r="F325">
        <v>456.46499999999997</v>
      </c>
    </row>
    <row r="326" spans="1:6" x14ac:dyDescent="0.25">
      <c r="A326" s="1">
        <v>44651</v>
      </c>
      <c r="B326">
        <v>451.64</v>
      </c>
      <c r="C326">
        <v>121699900</v>
      </c>
      <c r="D326">
        <v>457.89</v>
      </c>
      <c r="E326">
        <v>458.76</v>
      </c>
      <c r="F326">
        <v>451.16</v>
      </c>
    </row>
    <row r="327" spans="1:6" x14ac:dyDescent="0.25">
      <c r="A327" s="1">
        <v>44652</v>
      </c>
      <c r="B327">
        <v>452.92</v>
      </c>
      <c r="C327">
        <v>89048770</v>
      </c>
      <c r="D327">
        <v>453.31</v>
      </c>
      <c r="E327">
        <v>453.46</v>
      </c>
      <c r="F327">
        <v>449.14</v>
      </c>
    </row>
    <row r="328" spans="1:6" x14ac:dyDescent="0.25">
      <c r="A328" s="1">
        <v>44655</v>
      </c>
      <c r="B328">
        <v>456.8</v>
      </c>
      <c r="C328">
        <v>59601000</v>
      </c>
      <c r="D328">
        <v>453.13</v>
      </c>
      <c r="E328">
        <v>456.91</v>
      </c>
      <c r="F328">
        <v>452.26</v>
      </c>
    </row>
    <row r="329" spans="1:6" x14ac:dyDescent="0.25">
      <c r="A329" s="1">
        <v>44656</v>
      </c>
      <c r="B329">
        <v>451.03</v>
      </c>
      <c r="C329">
        <v>74214500</v>
      </c>
      <c r="D329">
        <v>455.22</v>
      </c>
      <c r="E329">
        <v>457.83</v>
      </c>
      <c r="F329">
        <v>449.82</v>
      </c>
    </row>
    <row r="330" spans="1:6" x14ac:dyDescent="0.25">
      <c r="A330" s="1">
        <v>44657</v>
      </c>
      <c r="B330">
        <v>446.52</v>
      </c>
      <c r="C330">
        <v>106898000</v>
      </c>
      <c r="D330">
        <v>446.89</v>
      </c>
      <c r="E330">
        <v>448.93</v>
      </c>
      <c r="F330">
        <v>443.47</v>
      </c>
    </row>
    <row r="331" spans="1:6" x14ac:dyDescent="0.25">
      <c r="A331" s="1">
        <v>44658</v>
      </c>
      <c r="B331">
        <v>448.77</v>
      </c>
      <c r="C331">
        <v>78097210</v>
      </c>
      <c r="D331">
        <v>445.59</v>
      </c>
      <c r="E331">
        <v>450.69</v>
      </c>
      <c r="F331">
        <v>443.53</v>
      </c>
    </row>
    <row r="332" spans="1:6" x14ac:dyDescent="0.25">
      <c r="A332" s="1">
        <v>44659</v>
      </c>
      <c r="B332">
        <v>447.57</v>
      </c>
      <c r="C332">
        <v>79272710</v>
      </c>
      <c r="D332">
        <v>447.97</v>
      </c>
      <c r="E332">
        <v>450.63</v>
      </c>
      <c r="F332">
        <v>445.94</v>
      </c>
    </row>
    <row r="333" spans="1:6" x14ac:dyDescent="0.25">
      <c r="A333" s="1">
        <v>44662</v>
      </c>
      <c r="B333">
        <v>439.92</v>
      </c>
      <c r="C333">
        <v>89770540</v>
      </c>
      <c r="D333">
        <v>444.11</v>
      </c>
      <c r="E333">
        <v>445</v>
      </c>
      <c r="F333">
        <v>439.39</v>
      </c>
    </row>
    <row r="334" spans="1:6" x14ac:dyDescent="0.25">
      <c r="A334" s="1">
        <v>44663</v>
      </c>
      <c r="B334">
        <v>438.29</v>
      </c>
      <c r="C334">
        <v>84363640</v>
      </c>
      <c r="D334">
        <v>443.08</v>
      </c>
      <c r="E334">
        <v>445.75</v>
      </c>
      <c r="F334">
        <v>436.65010000000001</v>
      </c>
    </row>
    <row r="335" spans="1:6" x14ac:dyDescent="0.25">
      <c r="A335" s="1">
        <v>44664</v>
      </c>
      <c r="B335">
        <v>443.31</v>
      </c>
      <c r="C335">
        <v>74070390</v>
      </c>
      <c r="D335">
        <v>438.03</v>
      </c>
      <c r="E335">
        <v>444.11</v>
      </c>
      <c r="F335">
        <v>437.84</v>
      </c>
    </row>
    <row r="336" spans="1:6" x14ac:dyDescent="0.25">
      <c r="A336" s="1">
        <v>44665</v>
      </c>
      <c r="B336">
        <v>437.79</v>
      </c>
      <c r="C336">
        <v>97869450</v>
      </c>
      <c r="D336">
        <v>443.55</v>
      </c>
      <c r="E336">
        <v>444.73009999999999</v>
      </c>
      <c r="F336">
        <v>437.68</v>
      </c>
    </row>
    <row r="337" spans="1:6" x14ac:dyDescent="0.25">
      <c r="A337" s="1">
        <v>44669</v>
      </c>
      <c r="B337">
        <v>437.97</v>
      </c>
      <c r="C337">
        <v>66002500</v>
      </c>
      <c r="D337">
        <v>436.81</v>
      </c>
      <c r="E337">
        <v>439.75</v>
      </c>
      <c r="F337">
        <v>435.61</v>
      </c>
    </row>
    <row r="338" spans="1:6" x14ac:dyDescent="0.25">
      <c r="A338" s="1">
        <v>44670</v>
      </c>
      <c r="B338">
        <v>445.04</v>
      </c>
      <c r="C338">
        <v>77821010</v>
      </c>
      <c r="D338">
        <v>437.86</v>
      </c>
      <c r="E338">
        <v>445.8</v>
      </c>
      <c r="F338">
        <v>437.68</v>
      </c>
    </row>
    <row r="339" spans="1:6" x14ac:dyDescent="0.25">
      <c r="A339" s="1">
        <v>44671</v>
      </c>
      <c r="B339">
        <v>444.71</v>
      </c>
      <c r="C339">
        <v>65224450</v>
      </c>
      <c r="D339">
        <v>446.92</v>
      </c>
      <c r="E339">
        <v>447.57</v>
      </c>
      <c r="F339">
        <v>443.48</v>
      </c>
    </row>
    <row r="340" spans="1:6" x14ac:dyDescent="0.25">
      <c r="A340" s="1">
        <v>44672</v>
      </c>
      <c r="B340">
        <v>438.06</v>
      </c>
      <c r="C340">
        <v>85417330</v>
      </c>
      <c r="D340">
        <v>448.54</v>
      </c>
      <c r="E340">
        <v>450.01</v>
      </c>
      <c r="F340">
        <v>437.1</v>
      </c>
    </row>
    <row r="341" spans="1:6" x14ac:dyDescent="0.25">
      <c r="A341" s="1">
        <v>44673</v>
      </c>
      <c r="B341">
        <v>426.04</v>
      </c>
      <c r="C341">
        <v>132471800</v>
      </c>
      <c r="D341">
        <v>436.91</v>
      </c>
      <c r="E341">
        <v>438.08249999999998</v>
      </c>
      <c r="F341">
        <v>425.44</v>
      </c>
    </row>
    <row r="342" spans="1:6" x14ac:dyDescent="0.25">
      <c r="A342" s="1">
        <v>44676</v>
      </c>
      <c r="B342">
        <v>428.51</v>
      </c>
      <c r="C342">
        <v>119647700</v>
      </c>
      <c r="D342">
        <v>423.67</v>
      </c>
      <c r="E342">
        <v>428.69</v>
      </c>
      <c r="F342">
        <v>418.84</v>
      </c>
    </row>
    <row r="343" spans="1:6" x14ac:dyDescent="0.25">
      <c r="A343" s="1">
        <v>44677</v>
      </c>
      <c r="B343">
        <v>416.1</v>
      </c>
      <c r="C343">
        <v>103996300</v>
      </c>
      <c r="D343">
        <v>425.83</v>
      </c>
      <c r="E343">
        <v>426.04</v>
      </c>
      <c r="F343">
        <v>416.07</v>
      </c>
    </row>
    <row r="344" spans="1:6" x14ac:dyDescent="0.25">
      <c r="A344" s="1">
        <v>44678</v>
      </c>
      <c r="B344">
        <v>417.27</v>
      </c>
      <c r="C344">
        <v>122030000</v>
      </c>
      <c r="D344">
        <v>417.24</v>
      </c>
      <c r="E344">
        <v>422.92</v>
      </c>
      <c r="F344">
        <v>415.01</v>
      </c>
    </row>
    <row r="345" spans="1:6" x14ac:dyDescent="0.25">
      <c r="A345" s="1">
        <v>44679</v>
      </c>
      <c r="B345">
        <v>427.81</v>
      </c>
      <c r="C345">
        <v>105449100</v>
      </c>
      <c r="D345">
        <v>422.29</v>
      </c>
      <c r="E345">
        <v>429.64</v>
      </c>
      <c r="F345">
        <v>417.6</v>
      </c>
    </row>
    <row r="346" spans="1:6" x14ac:dyDescent="0.25">
      <c r="A346" s="1">
        <v>44680</v>
      </c>
      <c r="B346">
        <v>412</v>
      </c>
      <c r="C346">
        <v>145491100</v>
      </c>
      <c r="D346">
        <v>423.59</v>
      </c>
      <c r="E346">
        <v>425.87</v>
      </c>
      <c r="F346">
        <v>411.21</v>
      </c>
    </row>
    <row r="347" spans="1:6" x14ac:dyDescent="0.25">
      <c r="A347" s="1">
        <v>44683</v>
      </c>
      <c r="B347">
        <v>414.48</v>
      </c>
      <c r="C347">
        <v>158312500</v>
      </c>
      <c r="D347">
        <v>412.07</v>
      </c>
      <c r="E347">
        <v>415.92</v>
      </c>
      <c r="F347">
        <v>405.02</v>
      </c>
    </row>
    <row r="348" spans="1:6" x14ac:dyDescent="0.25">
      <c r="A348" s="1">
        <v>44684</v>
      </c>
      <c r="B348">
        <v>416.38</v>
      </c>
      <c r="C348">
        <v>100028200</v>
      </c>
      <c r="D348">
        <v>415.01</v>
      </c>
      <c r="E348">
        <v>418.93</v>
      </c>
      <c r="F348">
        <v>413.36</v>
      </c>
    </row>
    <row r="349" spans="1:6" x14ac:dyDescent="0.25">
      <c r="A349" s="1">
        <v>44685</v>
      </c>
      <c r="B349">
        <v>429.06</v>
      </c>
      <c r="C349">
        <v>144247900</v>
      </c>
      <c r="D349">
        <v>417.08</v>
      </c>
      <c r="E349">
        <v>429.66</v>
      </c>
      <c r="F349">
        <v>413.7099</v>
      </c>
    </row>
    <row r="350" spans="1:6" x14ac:dyDescent="0.25">
      <c r="A350" s="1">
        <v>44686</v>
      </c>
      <c r="B350">
        <v>413.81</v>
      </c>
      <c r="C350">
        <v>172929100</v>
      </c>
      <c r="D350">
        <v>424.55</v>
      </c>
      <c r="E350">
        <v>425</v>
      </c>
      <c r="F350">
        <v>409.44</v>
      </c>
    </row>
    <row r="351" spans="1:6" x14ac:dyDescent="0.25">
      <c r="A351" s="1">
        <v>44687</v>
      </c>
      <c r="B351">
        <v>411.34</v>
      </c>
      <c r="C351">
        <v>151770800</v>
      </c>
      <c r="D351">
        <v>411.1</v>
      </c>
      <c r="E351">
        <v>414.8</v>
      </c>
      <c r="F351">
        <v>405.73</v>
      </c>
    </row>
    <row r="352" spans="1:6" x14ac:dyDescent="0.25">
      <c r="A352" s="1">
        <v>44690</v>
      </c>
      <c r="B352">
        <v>398.17</v>
      </c>
      <c r="C352">
        <v>155586100</v>
      </c>
      <c r="D352">
        <v>405.1</v>
      </c>
      <c r="E352">
        <v>406.41</v>
      </c>
      <c r="F352">
        <v>396.5</v>
      </c>
    </row>
    <row r="353" spans="1:6" x14ac:dyDescent="0.25">
      <c r="A353" s="1">
        <v>44691</v>
      </c>
      <c r="B353">
        <v>399.09</v>
      </c>
      <c r="C353">
        <v>132497200</v>
      </c>
      <c r="D353">
        <v>404.49</v>
      </c>
      <c r="E353">
        <v>406.08</v>
      </c>
      <c r="F353">
        <v>394.82</v>
      </c>
    </row>
    <row r="354" spans="1:6" x14ac:dyDescent="0.25">
      <c r="A354" s="1">
        <v>44692</v>
      </c>
      <c r="B354">
        <v>392.75</v>
      </c>
      <c r="C354">
        <v>142361000</v>
      </c>
      <c r="D354">
        <v>398.07</v>
      </c>
      <c r="E354">
        <v>404.04</v>
      </c>
      <c r="F354">
        <v>391.96</v>
      </c>
    </row>
    <row r="355" spans="1:6" x14ac:dyDescent="0.25">
      <c r="A355" s="1">
        <v>44693</v>
      </c>
      <c r="B355">
        <v>392.34</v>
      </c>
      <c r="C355">
        <v>125090800</v>
      </c>
      <c r="D355">
        <v>389.37</v>
      </c>
      <c r="E355">
        <v>395.8</v>
      </c>
      <c r="F355">
        <v>385.15</v>
      </c>
    </row>
    <row r="356" spans="1:6" x14ac:dyDescent="0.25">
      <c r="A356" s="1">
        <v>44694</v>
      </c>
      <c r="B356">
        <v>401.72</v>
      </c>
      <c r="C356">
        <v>104174400</v>
      </c>
      <c r="D356">
        <v>396.71</v>
      </c>
      <c r="E356">
        <v>403.18</v>
      </c>
      <c r="F356">
        <v>395.61</v>
      </c>
    </row>
    <row r="357" spans="1:6" x14ac:dyDescent="0.25">
      <c r="A357" s="1">
        <v>44697</v>
      </c>
      <c r="B357">
        <v>400.09</v>
      </c>
      <c r="C357">
        <v>78622440</v>
      </c>
      <c r="D357">
        <v>399.98</v>
      </c>
      <c r="E357">
        <v>403.97</v>
      </c>
      <c r="F357">
        <v>397.6</v>
      </c>
    </row>
    <row r="358" spans="1:6" x14ac:dyDescent="0.25">
      <c r="A358" s="1">
        <v>44698</v>
      </c>
      <c r="B358">
        <v>408.32</v>
      </c>
      <c r="C358">
        <v>83029710</v>
      </c>
      <c r="D358">
        <v>406.53</v>
      </c>
      <c r="E358">
        <v>408.57</v>
      </c>
      <c r="F358">
        <v>402.58240000000001</v>
      </c>
    </row>
    <row r="359" spans="1:6" x14ac:dyDescent="0.25">
      <c r="A359" s="1">
        <v>44699</v>
      </c>
      <c r="B359">
        <v>391.86</v>
      </c>
      <c r="C359">
        <v>117674500</v>
      </c>
      <c r="D359">
        <v>403.5</v>
      </c>
      <c r="E359">
        <v>403.8</v>
      </c>
      <c r="F359">
        <v>390.55</v>
      </c>
    </row>
    <row r="360" spans="1:6" x14ac:dyDescent="0.25">
      <c r="A360" s="1">
        <v>44700</v>
      </c>
      <c r="B360">
        <v>389.46</v>
      </c>
      <c r="C360">
        <v>98510720</v>
      </c>
      <c r="D360">
        <v>388.62</v>
      </c>
      <c r="E360">
        <v>394.14</v>
      </c>
      <c r="F360">
        <v>387.11</v>
      </c>
    </row>
    <row r="361" spans="1:6" x14ac:dyDescent="0.25">
      <c r="A361" s="1">
        <v>44701</v>
      </c>
      <c r="B361">
        <v>389.63</v>
      </c>
      <c r="C361">
        <v>131432200</v>
      </c>
      <c r="D361">
        <v>393.25</v>
      </c>
      <c r="E361">
        <v>397.03</v>
      </c>
      <c r="F361">
        <v>380.54</v>
      </c>
    </row>
    <row r="362" spans="1:6" x14ac:dyDescent="0.25">
      <c r="A362" s="1">
        <v>44704</v>
      </c>
      <c r="B362">
        <v>396.92</v>
      </c>
      <c r="C362">
        <v>76414880</v>
      </c>
      <c r="D362">
        <v>392.83</v>
      </c>
      <c r="E362">
        <v>397.73</v>
      </c>
      <c r="F362">
        <v>390.38</v>
      </c>
    </row>
    <row r="363" spans="1:6" x14ac:dyDescent="0.25">
      <c r="A363" s="1">
        <v>44705</v>
      </c>
      <c r="B363">
        <v>393.89</v>
      </c>
      <c r="C363">
        <v>91448830</v>
      </c>
      <c r="D363">
        <v>392.56</v>
      </c>
      <c r="E363">
        <v>395.15</v>
      </c>
      <c r="F363">
        <v>386.96</v>
      </c>
    </row>
    <row r="364" spans="1:6" x14ac:dyDescent="0.25">
      <c r="A364" s="1">
        <v>44706</v>
      </c>
      <c r="B364">
        <v>397.37</v>
      </c>
      <c r="C364">
        <v>91472870</v>
      </c>
      <c r="D364">
        <v>392.31</v>
      </c>
      <c r="E364">
        <v>399.45</v>
      </c>
      <c r="F364">
        <v>391.89</v>
      </c>
    </row>
    <row r="365" spans="1:6" x14ac:dyDescent="0.25">
      <c r="A365" s="1">
        <v>44707</v>
      </c>
      <c r="B365">
        <v>405.31</v>
      </c>
      <c r="C365">
        <v>82168340</v>
      </c>
      <c r="D365">
        <v>398.67</v>
      </c>
      <c r="E365">
        <v>407.04</v>
      </c>
      <c r="F365">
        <v>398.45</v>
      </c>
    </row>
    <row r="366" spans="1:6" x14ac:dyDescent="0.25">
      <c r="A366" s="1">
        <v>44708</v>
      </c>
      <c r="B366">
        <v>415.26</v>
      </c>
      <c r="C366">
        <v>84768710</v>
      </c>
      <c r="D366">
        <v>407.91</v>
      </c>
      <c r="E366">
        <v>415.38010000000003</v>
      </c>
      <c r="F366">
        <v>407.7</v>
      </c>
    </row>
    <row r="367" spans="1:6" x14ac:dyDescent="0.25">
      <c r="A367" s="1">
        <v>44712</v>
      </c>
      <c r="B367">
        <v>412.93</v>
      </c>
      <c r="C367">
        <v>95936980</v>
      </c>
      <c r="D367">
        <v>413.55</v>
      </c>
      <c r="E367">
        <v>416.46</v>
      </c>
      <c r="F367">
        <v>410.03</v>
      </c>
    </row>
    <row r="368" spans="1:6" x14ac:dyDescent="0.25">
      <c r="A368" s="1">
        <v>44713</v>
      </c>
      <c r="B368">
        <v>409.59</v>
      </c>
      <c r="C368">
        <v>86585810</v>
      </c>
      <c r="D368">
        <v>415.17</v>
      </c>
      <c r="E368">
        <v>416.24</v>
      </c>
      <c r="F368">
        <v>406.93</v>
      </c>
    </row>
    <row r="369" spans="1:6" x14ac:dyDescent="0.25">
      <c r="A369" s="1">
        <v>44714</v>
      </c>
      <c r="B369">
        <v>417.39</v>
      </c>
      <c r="C369">
        <v>79609630</v>
      </c>
      <c r="D369">
        <v>409.42</v>
      </c>
      <c r="E369">
        <v>417.44</v>
      </c>
      <c r="F369">
        <v>407.04</v>
      </c>
    </row>
    <row r="370" spans="1:6" x14ac:dyDescent="0.25">
      <c r="A370" s="1">
        <v>44715</v>
      </c>
      <c r="B370">
        <v>410.54</v>
      </c>
      <c r="C370">
        <v>71874280</v>
      </c>
      <c r="D370">
        <v>412.4</v>
      </c>
      <c r="E370">
        <v>414.04</v>
      </c>
      <c r="F370">
        <v>409.51</v>
      </c>
    </row>
    <row r="371" spans="1:6" x14ac:dyDescent="0.25">
      <c r="A371" s="1">
        <v>44718</v>
      </c>
      <c r="B371">
        <v>411.79</v>
      </c>
      <c r="C371">
        <v>57508860</v>
      </c>
      <c r="D371">
        <v>414.78</v>
      </c>
      <c r="E371">
        <v>416.60899999999998</v>
      </c>
      <c r="F371">
        <v>410.5523</v>
      </c>
    </row>
    <row r="372" spans="1:6" x14ac:dyDescent="0.25">
      <c r="A372" s="1">
        <v>44719</v>
      </c>
      <c r="B372">
        <v>415.74</v>
      </c>
      <c r="C372">
        <v>59272370</v>
      </c>
      <c r="D372">
        <v>408.1</v>
      </c>
      <c r="E372">
        <v>416.22</v>
      </c>
      <c r="F372">
        <v>407.61</v>
      </c>
    </row>
    <row r="373" spans="1:6" x14ac:dyDescent="0.25">
      <c r="A373" s="1">
        <v>44720</v>
      </c>
      <c r="B373">
        <v>411.22</v>
      </c>
      <c r="C373">
        <v>64349970</v>
      </c>
      <c r="D373">
        <v>413.93</v>
      </c>
      <c r="E373">
        <v>415.82</v>
      </c>
      <c r="F373">
        <v>410.38</v>
      </c>
    </row>
    <row r="374" spans="1:6" x14ac:dyDescent="0.25">
      <c r="A374" s="1">
        <v>44721</v>
      </c>
      <c r="B374">
        <v>401.44</v>
      </c>
      <c r="C374">
        <v>86289800</v>
      </c>
      <c r="D374">
        <v>409.34</v>
      </c>
      <c r="E374">
        <v>411.74</v>
      </c>
      <c r="F374">
        <v>401.44</v>
      </c>
    </row>
    <row r="375" spans="1:6" x14ac:dyDescent="0.25">
      <c r="A375" s="1">
        <v>44722</v>
      </c>
      <c r="B375">
        <v>389.8</v>
      </c>
      <c r="C375">
        <v>132893900</v>
      </c>
      <c r="D375">
        <v>394.88</v>
      </c>
      <c r="E375">
        <v>395.77769999999998</v>
      </c>
      <c r="F375">
        <v>389.75</v>
      </c>
    </row>
    <row r="376" spans="1:6" x14ac:dyDescent="0.25">
      <c r="A376" s="1">
        <v>44725</v>
      </c>
      <c r="B376">
        <v>375</v>
      </c>
      <c r="C376">
        <v>170004900</v>
      </c>
      <c r="D376">
        <v>379.85</v>
      </c>
      <c r="E376">
        <v>381.81</v>
      </c>
      <c r="F376">
        <v>373.3</v>
      </c>
    </row>
    <row r="377" spans="1:6" x14ac:dyDescent="0.25">
      <c r="A377" s="1">
        <v>44726</v>
      </c>
      <c r="B377">
        <v>373.87</v>
      </c>
      <c r="C377">
        <v>104011800</v>
      </c>
      <c r="D377">
        <v>376.85</v>
      </c>
      <c r="E377">
        <v>377.94</v>
      </c>
      <c r="F377">
        <v>370.59</v>
      </c>
    </row>
    <row r="378" spans="1:6" x14ac:dyDescent="0.25">
      <c r="A378" s="1">
        <v>44727</v>
      </c>
      <c r="B378">
        <v>379.2</v>
      </c>
      <c r="C378">
        <v>125666800</v>
      </c>
      <c r="D378">
        <v>377.36</v>
      </c>
      <c r="E378">
        <v>383.9</v>
      </c>
      <c r="F378">
        <v>372.12</v>
      </c>
    </row>
    <row r="379" spans="1:6" x14ac:dyDescent="0.25">
      <c r="A379" s="1">
        <v>44728</v>
      </c>
      <c r="B379">
        <v>366.65</v>
      </c>
      <c r="C379">
        <v>134473300</v>
      </c>
      <c r="D379">
        <v>370.51</v>
      </c>
      <c r="E379">
        <v>370.94</v>
      </c>
      <c r="F379">
        <v>364.07990000000001</v>
      </c>
    </row>
    <row r="380" spans="1:6" x14ac:dyDescent="0.25">
      <c r="A380" s="1">
        <v>44729</v>
      </c>
      <c r="B380">
        <v>365.86</v>
      </c>
      <c r="C380">
        <v>111113900</v>
      </c>
      <c r="D380">
        <v>365.51</v>
      </c>
      <c r="E380">
        <v>369.38</v>
      </c>
      <c r="F380">
        <v>362.17</v>
      </c>
    </row>
    <row r="381" spans="1:6" x14ac:dyDescent="0.25">
      <c r="A381" s="1">
        <v>44733</v>
      </c>
      <c r="B381">
        <v>375.07</v>
      </c>
      <c r="C381">
        <v>76811860</v>
      </c>
      <c r="D381">
        <v>371.89</v>
      </c>
      <c r="E381">
        <v>376.52499999999998</v>
      </c>
      <c r="F381">
        <v>371.81</v>
      </c>
    </row>
    <row r="382" spans="1:6" x14ac:dyDescent="0.25">
      <c r="A382" s="1">
        <v>44734</v>
      </c>
      <c r="B382">
        <v>374.39</v>
      </c>
      <c r="C382">
        <v>90059420</v>
      </c>
      <c r="D382">
        <v>370.62</v>
      </c>
      <c r="E382">
        <v>378.72</v>
      </c>
      <c r="F382">
        <v>370.18</v>
      </c>
    </row>
    <row r="383" spans="1:6" x14ac:dyDescent="0.25">
      <c r="A383" s="1">
        <v>44735</v>
      </c>
      <c r="B383">
        <v>378.06</v>
      </c>
      <c r="C383">
        <v>79292140</v>
      </c>
      <c r="D383">
        <v>376.64</v>
      </c>
      <c r="E383">
        <v>378.83</v>
      </c>
      <c r="F383">
        <v>372.89</v>
      </c>
    </row>
    <row r="384" spans="1:6" x14ac:dyDescent="0.25">
      <c r="A384" s="1">
        <v>44736</v>
      </c>
      <c r="B384">
        <v>390.08</v>
      </c>
      <c r="C384">
        <v>98050330</v>
      </c>
      <c r="D384">
        <v>381.4</v>
      </c>
      <c r="E384">
        <v>390.09</v>
      </c>
      <c r="F384">
        <v>381.36500000000001</v>
      </c>
    </row>
    <row r="385" spans="1:6" x14ac:dyDescent="0.25">
      <c r="A385" s="1">
        <v>44739</v>
      </c>
      <c r="B385">
        <v>388.59</v>
      </c>
      <c r="C385">
        <v>66009620</v>
      </c>
      <c r="D385">
        <v>391.05</v>
      </c>
      <c r="E385">
        <v>391.36</v>
      </c>
      <c r="F385">
        <v>387.44</v>
      </c>
    </row>
    <row r="386" spans="1:6" x14ac:dyDescent="0.25">
      <c r="A386" s="1">
        <v>44740</v>
      </c>
      <c r="B386">
        <v>380.65</v>
      </c>
      <c r="C386">
        <v>86689820</v>
      </c>
      <c r="D386">
        <v>390.23</v>
      </c>
      <c r="E386">
        <v>393.16</v>
      </c>
      <c r="F386">
        <v>380.53</v>
      </c>
    </row>
    <row r="387" spans="1:6" x14ac:dyDescent="0.25">
      <c r="A387" s="1">
        <v>44741</v>
      </c>
      <c r="B387">
        <v>380.34</v>
      </c>
      <c r="C387">
        <v>65676000</v>
      </c>
      <c r="D387">
        <v>381.23</v>
      </c>
      <c r="E387">
        <v>382.27</v>
      </c>
      <c r="F387">
        <v>378.42</v>
      </c>
    </row>
    <row r="388" spans="1:6" x14ac:dyDescent="0.25">
      <c r="A388" s="1">
        <v>44742</v>
      </c>
      <c r="B388">
        <v>377.25</v>
      </c>
      <c r="C388">
        <v>112508300</v>
      </c>
      <c r="D388">
        <v>376.24</v>
      </c>
      <c r="E388">
        <v>380.65820000000002</v>
      </c>
      <c r="F388">
        <v>372.56</v>
      </c>
    </row>
    <row r="389" spans="1:6" x14ac:dyDescent="0.25">
      <c r="A389" s="1">
        <v>44743</v>
      </c>
      <c r="B389">
        <v>381.24</v>
      </c>
      <c r="C389">
        <v>74839730</v>
      </c>
      <c r="D389">
        <v>376.56</v>
      </c>
      <c r="E389">
        <v>381.7</v>
      </c>
      <c r="F389">
        <v>373.8</v>
      </c>
    </row>
    <row r="390" spans="1:6" x14ac:dyDescent="0.25">
      <c r="A390" s="1">
        <v>44747</v>
      </c>
      <c r="B390">
        <v>381.96</v>
      </c>
      <c r="C390">
        <v>81437970</v>
      </c>
      <c r="D390">
        <v>375.88</v>
      </c>
      <c r="E390">
        <v>381.98</v>
      </c>
      <c r="F390">
        <v>372.9</v>
      </c>
    </row>
    <row r="391" spans="1:6" x14ac:dyDescent="0.25">
      <c r="A391" s="1">
        <v>44748</v>
      </c>
      <c r="B391">
        <v>383.25</v>
      </c>
      <c r="C391">
        <v>70426240</v>
      </c>
      <c r="D391">
        <v>382.11</v>
      </c>
      <c r="E391">
        <v>385.87</v>
      </c>
      <c r="F391">
        <v>379.6</v>
      </c>
    </row>
    <row r="392" spans="1:6" x14ac:dyDescent="0.25">
      <c r="A392" s="1">
        <v>44749</v>
      </c>
      <c r="B392">
        <v>388.99</v>
      </c>
      <c r="C392">
        <v>64525920</v>
      </c>
      <c r="D392">
        <v>385.12</v>
      </c>
      <c r="E392">
        <v>389.83</v>
      </c>
      <c r="F392">
        <v>383.267</v>
      </c>
    </row>
    <row r="393" spans="1:6" x14ac:dyDescent="0.25">
      <c r="A393" s="1">
        <v>44750</v>
      </c>
      <c r="B393">
        <v>388.67</v>
      </c>
      <c r="C393">
        <v>72397770</v>
      </c>
      <c r="D393">
        <v>387.27</v>
      </c>
      <c r="E393">
        <v>390.64</v>
      </c>
      <c r="F393">
        <v>385.66</v>
      </c>
    </row>
    <row r="394" spans="1:6" x14ac:dyDescent="0.25">
      <c r="A394" s="1">
        <v>44753</v>
      </c>
      <c r="B394">
        <v>384.23</v>
      </c>
      <c r="C394">
        <v>58366950</v>
      </c>
      <c r="D394">
        <v>385.85</v>
      </c>
      <c r="E394">
        <v>386.87</v>
      </c>
      <c r="F394">
        <v>383.5</v>
      </c>
    </row>
    <row r="395" spans="1:6" x14ac:dyDescent="0.25">
      <c r="A395" s="1">
        <v>44754</v>
      </c>
      <c r="B395">
        <v>380.83</v>
      </c>
      <c r="C395">
        <v>62219180</v>
      </c>
      <c r="D395">
        <v>383.65</v>
      </c>
      <c r="E395">
        <v>386.16</v>
      </c>
      <c r="F395">
        <v>378.99</v>
      </c>
    </row>
    <row r="396" spans="1:6" x14ac:dyDescent="0.25">
      <c r="A396" s="1">
        <v>44755</v>
      </c>
      <c r="B396">
        <v>378.83</v>
      </c>
      <c r="C396">
        <v>84224650</v>
      </c>
      <c r="D396">
        <v>375.1</v>
      </c>
      <c r="E396">
        <v>381.92</v>
      </c>
      <c r="F396">
        <v>374.65800000000002</v>
      </c>
    </row>
    <row r="397" spans="1:6" x14ac:dyDescent="0.25">
      <c r="A397" s="1">
        <v>44756</v>
      </c>
      <c r="B397">
        <v>377.91</v>
      </c>
      <c r="C397">
        <v>89704820</v>
      </c>
      <c r="D397">
        <v>373.61</v>
      </c>
      <c r="E397">
        <v>379.0498</v>
      </c>
      <c r="F397">
        <v>371.04</v>
      </c>
    </row>
    <row r="398" spans="1:6" x14ac:dyDescent="0.25">
      <c r="A398" s="1">
        <v>44757</v>
      </c>
      <c r="B398">
        <v>385.13</v>
      </c>
      <c r="C398">
        <v>79060380</v>
      </c>
      <c r="D398">
        <v>382.55</v>
      </c>
      <c r="E398">
        <v>385.25</v>
      </c>
      <c r="F398">
        <v>380.54</v>
      </c>
    </row>
    <row r="399" spans="1:6" x14ac:dyDescent="0.25">
      <c r="A399" s="1">
        <v>44760</v>
      </c>
      <c r="B399">
        <v>381.95</v>
      </c>
      <c r="C399">
        <v>63203630</v>
      </c>
      <c r="D399">
        <v>388.38</v>
      </c>
      <c r="E399">
        <v>389.09</v>
      </c>
      <c r="F399">
        <v>380.66</v>
      </c>
    </row>
    <row r="400" spans="1:6" x14ac:dyDescent="0.25">
      <c r="A400" s="1">
        <v>44761</v>
      </c>
      <c r="B400">
        <v>392.27</v>
      </c>
      <c r="C400">
        <v>78505970</v>
      </c>
      <c r="D400">
        <v>386.08</v>
      </c>
      <c r="E400">
        <v>392.87</v>
      </c>
      <c r="F400">
        <v>385.39</v>
      </c>
    </row>
    <row r="401" spans="1:6" x14ac:dyDescent="0.25">
      <c r="A401" s="1">
        <v>44762</v>
      </c>
      <c r="B401">
        <v>394.77</v>
      </c>
      <c r="C401">
        <v>71843770</v>
      </c>
      <c r="D401">
        <v>392.47</v>
      </c>
      <c r="E401">
        <v>396.26</v>
      </c>
      <c r="F401">
        <v>391.03</v>
      </c>
    </row>
    <row r="402" spans="1:6" x14ac:dyDescent="0.25">
      <c r="A402" s="1">
        <v>44763</v>
      </c>
      <c r="B402">
        <v>398.79</v>
      </c>
      <c r="C402">
        <v>64903860</v>
      </c>
      <c r="D402">
        <v>394.16</v>
      </c>
      <c r="E402">
        <v>398.84</v>
      </c>
      <c r="F402">
        <v>391.63</v>
      </c>
    </row>
    <row r="403" spans="1:6" x14ac:dyDescent="0.25">
      <c r="A403" s="1">
        <v>44764</v>
      </c>
      <c r="B403">
        <v>395.09</v>
      </c>
      <c r="C403">
        <v>72197330</v>
      </c>
      <c r="D403">
        <v>398.92</v>
      </c>
      <c r="E403">
        <v>400.18</v>
      </c>
      <c r="F403">
        <v>392.75</v>
      </c>
    </row>
    <row r="404" spans="1:6" x14ac:dyDescent="0.25">
      <c r="A404" s="1">
        <v>44767</v>
      </c>
      <c r="B404">
        <v>395.57</v>
      </c>
      <c r="C404">
        <v>53631490</v>
      </c>
      <c r="D404">
        <v>395.75</v>
      </c>
      <c r="E404">
        <v>396.47</v>
      </c>
      <c r="F404">
        <v>393.21</v>
      </c>
    </row>
    <row r="405" spans="1:6" x14ac:dyDescent="0.25">
      <c r="A405" s="1">
        <v>44768</v>
      </c>
      <c r="B405">
        <v>390.89</v>
      </c>
      <c r="C405">
        <v>52946390</v>
      </c>
      <c r="D405">
        <v>393.84</v>
      </c>
      <c r="E405">
        <v>394.06</v>
      </c>
      <c r="F405">
        <v>389.95</v>
      </c>
    </row>
    <row r="406" spans="1:6" x14ac:dyDescent="0.25">
      <c r="A406" s="1">
        <v>44769</v>
      </c>
      <c r="B406">
        <v>401.04</v>
      </c>
      <c r="C406">
        <v>82342110</v>
      </c>
      <c r="D406">
        <v>394.36</v>
      </c>
      <c r="E406">
        <v>402.88</v>
      </c>
      <c r="F406">
        <v>394.05</v>
      </c>
    </row>
    <row r="407" spans="1:6" x14ac:dyDescent="0.25">
      <c r="A407" s="1">
        <v>44770</v>
      </c>
      <c r="B407">
        <v>406.07</v>
      </c>
      <c r="C407">
        <v>73966560</v>
      </c>
      <c r="D407">
        <v>401.89</v>
      </c>
      <c r="E407">
        <v>406.8</v>
      </c>
      <c r="F407">
        <v>398.15</v>
      </c>
    </row>
    <row r="408" spans="1:6" x14ac:dyDescent="0.25">
      <c r="A408" s="1">
        <v>44771</v>
      </c>
      <c r="B408">
        <v>411.99</v>
      </c>
      <c r="C408">
        <v>87003670</v>
      </c>
      <c r="D408">
        <v>407.58</v>
      </c>
      <c r="E408">
        <v>413.03</v>
      </c>
      <c r="F408">
        <v>406.77</v>
      </c>
    </row>
    <row r="409" spans="1:6" x14ac:dyDescent="0.25">
      <c r="A409" s="1">
        <v>44774</v>
      </c>
      <c r="B409">
        <v>410.77</v>
      </c>
      <c r="C409">
        <v>69997470</v>
      </c>
      <c r="D409">
        <v>409.15</v>
      </c>
      <c r="E409">
        <v>413.41</v>
      </c>
      <c r="F409">
        <v>408.4</v>
      </c>
    </row>
    <row r="410" spans="1:6" x14ac:dyDescent="0.25">
      <c r="A410" s="1">
        <v>44775</v>
      </c>
      <c r="B410">
        <v>408.06</v>
      </c>
      <c r="C410">
        <v>63435420</v>
      </c>
      <c r="D410">
        <v>409.12</v>
      </c>
      <c r="E410">
        <v>413</v>
      </c>
      <c r="F410">
        <v>406.82</v>
      </c>
    </row>
    <row r="411" spans="1:6" x14ac:dyDescent="0.25">
      <c r="A411" s="1">
        <v>44776</v>
      </c>
      <c r="B411">
        <v>414.45</v>
      </c>
      <c r="C411">
        <v>67820560</v>
      </c>
      <c r="D411">
        <v>410.3</v>
      </c>
      <c r="E411">
        <v>415.68</v>
      </c>
      <c r="F411">
        <v>410</v>
      </c>
    </row>
    <row r="412" spans="1:6" x14ac:dyDescent="0.25">
      <c r="A412" s="1">
        <v>44777</v>
      </c>
      <c r="B412">
        <v>414.17</v>
      </c>
      <c r="C412">
        <v>45656570</v>
      </c>
      <c r="D412">
        <v>414.37</v>
      </c>
      <c r="E412">
        <v>415.09</v>
      </c>
      <c r="F412">
        <v>412.44</v>
      </c>
    </row>
    <row r="413" spans="1:6" x14ac:dyDescent="0.25">
      <c r="A413" s="1">
        <v>44778</v>
      </c>
      <c r="B413">
        <v>413.47</v>
      </c>
      <c r="C413">
        <v>56814930</v>
      </c>
      <c r="D413">
        <v>409.66</v>
      </c>
      <c r="E413">
        <v>414.15</v>
      </c>
      <c r="F413">
        <v>409.6</v>
      </c>
    </row>
    <row r="414" spans="1:6" x14ac:dyDescent="0.25">
      <c r="A414" s="1">
        <v>44781</v>
      </c>
      <c r="B414">
        <v>412.99</v>
      </c>
      <c r="C414">
        <v>54025970</v>
      </c>
      <c r="D414">
        <v>415.25</v>
      </c>
      <c r="E414">
        <v>417.62</v>
      </c>
      <c r="F414">
        <v>411.83</v>
      </c>
    </row>
    <row r="415" spans="1:6" x14ac:dyDescent="0.25">
      <c r="A415" s="1">
        <v>44782</v>
      </c>
      <c r="B415">
        <v>411.35</v>
      </c>
      <c r="C415">
        <v>44931770</v>
      </c>
      <c r="D415">
        <v>412.22</v>
      </c>
      <c r="E415">
        <v>412.75</v>
      </c>
      <c r="F415">
        <v>410.22</v>
      </c>
    </row>
    <row r="416" spans="1:6" x14ac:dyDescent="0.25">
      <c r="A416" s="1">
        <v>44783</v>
      </c>
      <c r="B416">
        <v>419.99</v>
      </c>
      <c r="C416">
        <v>68665710</v>
      </c>
      <c r="D416">
        <v>418.78</v>
      </c>
      <c r="E416">
        <v>420.14</v>
      </c>
      <c r="F416">
        <v>416.72</v>
      </c>
    </row>
    <row r="417" spans="1:6" x14ac:dyDescent="0.25">
      <c r="A417" s="1">
        <v>44784</v>
      </c>
      <c r="B417">
        <v>419.99</v>
      </c>
      <c r="C417">
        <v>59489700</v>
      </c>
      <c r="D417">
        <v>422.99</v>
      </c>
      <c r="E417">
        <v>424.95</v>
      </c>
      <c r="F417">
        <v>419.21</v>
      </c>
    </row>
    <row r="418" spans="1:6" x14ac:dyDescent="0.25">
      <c r="A418" s="1">
        <v>44785</v>
      </c>
      <c r="B418">
        <v>427.1</v>
      </c>
      <c r="C418">
        <v>61694540</v>
      </c>
      <c r="D418">
        <v>422.03</v>
      </c>
      <c r="E418">
        <v>427.21</v>
      </c>
      <c r="F418">
        <v>421.03</v>
      </c>
    </row>
    <row r="419" spans="1:6" x14ac:dyDescent="0.25">
      <c r="A419" s="1">
        <v>44788</v>
      </c>
      <c r="B419">
        <v>428.86</v>
      </c>
      <c r="C419">
        <v>54048280</v>
      </c>
      <c r="D419">
        <v>424.76499999999999</v>
      </c>
      <c r="E419">
        <v>429.41</v>
      </c>
      <c r="F419">
        <v>424.71</v>
      </c>
    </row>
    <row r="420" spans="1:6" x14ac:dyDescent="0.25">
      <c r="A420" s="1">
        <v>44789</v>
      </c>
      <c r="B420">
        <v>429.7</v>
      </c>
      <c r="C420">
        <v>59289040</v>
      </c>
      <c r="D420">
        <v>427.73</v>
      </c>
      <c r="E420">
        <v>431.73</v>
      </c>
      <c r="F420">
        <v>426.88</v>
      </c>
    </row>
    <row r="421" spans="1:6" x14ac:dyDescent="0.25">
      <c r="A421" s="1">
        <v>44790</v>
      </c>
      <c r="B421">
        <v>426.65</v>
      </c>
      <c r="C421">
        <v>63563390</v>
      </c>
      <c r="D421">
        <v>425.91</v>
      </c>
      <c r="E421">
        <v>429.5</v>
      </c>
      <c r="F421">
        <v>424.54</v>
      </c>
    </row>
    <row r="422" spans="1:6" x14ac:dyDescent="0.25">
      <c r="A422" s="1">
        <v>44791</v>
      </c>
      <c r="B422">
        <v>427.89</v>
      </c>
      <c r="C422">
        <v>49023210</v>
      </c>
      <c r="D422">
        <v>426.86</v>
      </c>
      <c r="E422">
        <v>428.61</v>
      </c>
      <c r="F422">
        <v>425.5</v>
      </c>
    </row>
    <row r="423" spans="1:6" x14ac:dyDescent="0.25">
      <c r="A423" s="1">
        <v>44792</v>
      </c>
      <c r="B423">
        <v>422.14</v>
      </c>
      <c r="C423">
        <v>68016900</v>
      </c>
      <c r="D423">
        <v>424.98</v>
      </c>
      <c r="E423">
        <v>425.26</v>
      </c>
      <c r="F423">
        <v>421.22</v>
      </c>
    </row>
    <row r="424" spans="1:6" x14ac:dyDescent="0.25">
      <c r="A424" s="1">
        <v>44795</v>
      </c>
      <c r="B424">
        <v>413.35</v>
      </c>
      <c r="C424">
        <v>77695640</v>
      </c>
      <c r="D424">
        <v>417.05</v>
      </c>
      <c r="E424">
        <v>417.23</v>
      </c>
      <c r="F424">
        <v>412.4</v>
      </c>
    </row>
    <row r="425" spans="1:6" x14ac:dyDescent="0.25">
      <c r="A425" s="1">
        <v>44796</v>
      </c>
      <c r="B425">
        <v>412.35</v>
      </c>
      <c r="C425">
        <v>49105250</v>
      </c>
      <c r="D425">
        <v>412.9</v>
      </c>
      <c r="E425">
        <v>415.42</v>
      </c>
      <c r="F425">
        <v>411.77</v>
      </c>
    </row>
    <row r="426" spans="1:6" x14ac:dyDescent="0.25">
      <c r="A426" s="1">
        <v>44797</v>
      </c>
      <c r="B426">
        <v>413.67</v>
      </c>
      <c r="C426">
        <v>49177800</v>
      </c>
      <c r="D426">
        <v>412.11</v>
      </c>
      <c r="E426">
        <v>415.11009999999999</v>
      </c>
      <c r="F426">
        <v>411.39</v>
      </c>
    </row>
    <row r="427" spans="1:6" x14ac:dyDescent="0.25">
      <c r="A427" s="1">
        <v>44798</v>
      </c>
      <c r="B427">
        <v>419.51</v>
      </c>
      <c r="C427">
        <v>50942250</v>
      </c>
      <c r="D427">
        <v>415.24</v>
      </c>
      <c r="E427">
        <v>419.56</v>
      </c>
      <c r="F427">
        <v>414.09</v>
      </c>
    </row>
    <row r="428" spans="1:6" x14ac:dyDescent="0.25">
      <c r="A428" s="1">
        <v>44799</v>
      </c>
      <c r="B428">
        <v>405.31</v>
      </c>
      <c r="C428">
        <v>103087000</v>
      </c>
      <c r="D428">
        <v>419.39</v>
      </c>
      <c r="E428">
        <v>419.96</v>
      </c>
      <c r="F428">
        <v>405.25</v>
      </c>
    </row>
    <row r="429" spans="1:6" x14ac:dyDescent="0.25">
      <c r="A429" s="1">
        <v>44802</v>
      </c>
      <c r="B429">
        <v>402.63</v>
      </c>
      <c r="C429">
        <v>65370810</v>
      </c>
      <c r="D429">
        <v>402.2</v>
      </c>
      <c r="E429">
        <v>405.84</v>
      </c>
      <c r="F429">
        <v>401.19990000000001</v>
      </c>
    </row>
    <row r="430" spans="1:6" x14ac:dyDescent="0.25">
      <c r="A430" s="1">
        <v>44803</v>
      </c>
      <c r="B430">
        <v>398.21</v>
      </c>
      <c r="C430">
        <v>85652440</v>
      </c>
      <c r="D430">
        <v>403.85</v>
      </c>
      <c r="E430">
        <v>404.1</v>
      </c>
      <c r="F430">
        <v>396</v>
      </c>
    </row>
    <row r="431" spans="1:6" x14ac:dyDescent="0.25">
      <c r="A431" s="1">
        <v>44804</v>
      </c>
      <c r="B431">
        <v>395.18</v>
      </c>
      <c r="C431">
        <v>76029670</v>
      </c>
      <c r="D431">
        <v>399.93</v>
      </c>
      <c r="E431">
        <v>401.24</v>
      </c>
      <c r="F431">
        <v>395.04</v>
      </c>
    </row>
    <row r="432" spans="1:6" x14ac:dyDescent="0.25">
      <c r="A432" s="1">
        <v>44805</v>
      </c>
      <c r="B432">
        <v>396.42</v>
      </c>
      <c r="C432">
        <v>78740080</v>
      </c>
      <c r="D432">
        <v>392.89</v>
      </c>
      <c r="E432">
        <v>396.78</v>
      </c>
      <c r="F432">
        <v>390.04</v>
      </c>
    </row>
    <row r="433" spans="1:6" x14ac:dyDescent="0.25">
      <c r="A433" s="1">
        <v>44806</v>
      </c>
      <c r="B433">
        <v>392.24</v>
      </c>
      <c r="C433">
        <v>99632150</v>
      </c>
      <c r="D433">
        <v>400.28</v>
      </c>
      <c r="E433">
        <v>401.55500000000001</v>
      </c>
      <c r="F433">
        <v>390.33</v>
      </c>
    </row>
    <row r="434" spans="1:6" x14ac:dyDescent="0.25">
      <c r="A434" s="1">
        <v>44810</v>
      </c>
      <c r="B434">
        <v>390.76</v>
      </c>
      <c r="C434">
        <v>76637400</v>
      </c>
      <c r="D434">
        <v>393.13</v>
      </c>
      <c r="E434">
        <v>394.12</v>
      </c>
      <c r="F434">
        <v>388.42</v>
      </c>
    </row>
    <row r="435" spans="1:6" x14ac:dyDescent="0.25">
      <c r="A435" s="1">
        <v>44811</v>
      </c>
      <c r="B435">
        <v>397.78</v>
      </c>
      <c r="C435">
        <v>70964230</v>
      </c>
      <c r="D435">
        <v>390.43</v>
      </c>
      <c r="E435">
        <v>398.59</v>
      </c>
      <c r="F435">
        <v>390.2</v>
      </c>
    </row>
    <row r="436" spans="1:6" x14ac:dyDescent="0.25">
      <c r="A436" s="1">
        <v>44812</v>
      </c>
      <c r="B436">
        <v>400.38</v>
      </c>
      <c r="C436">
        <v>80821680</v>
      </c>
      <c r="D436">
        <v>395.39</v>
      </c>
      <c r="E436">
        <v>400.86</v>
      </c>
      <c r="F436">
        <v>394.12</v>
      </c>
    </row>
    <row r="437" spans="1:6" x14ac:dyDescent="0.25">
      <c r="A437" s="1">
        <v>44813</v>
      </c>
      <c r="B437">
        <v>406.6</v>
      </c>
      <c r="C437">
        <v>76706920</v>
      </c>
      <c r="D437">
        <v>402.74</v>
      </c>
      <c r="E437">
        <v>407.51</v>
      </c>
      <c r="F437">
        <v>402.46</v>
      </c>
    </row>
    <row r="438" spans="1:6" x14ac:dyDescent="0.25">
      <c r="A438" s="1">
        <v>44816</v>
      </c>
      <c r="B438">
        <v>410.97</v>
      </c>
      <c r="C438">
        <v>69256260</v>
      </c>
      <c r="D438">
        <v>408.78</v>
      </c>
      <c r="E438">
        <v>411.73</v>
      </c>
      <c r="F438">
        <v>408.46</v>
      </c>
    </row>
    <row r="439" spans="1:6" x14ac:dyDescent="0.25">
      <c r="A439" s="1">
        <v>44817</v>
      </c>
      <c r="B439">
        <v>393.1</v>
      </c>
      <c r="C439">
        <v>122947100</v>
      </c>
      <c r="D439">
        <v>401.83</v>
      </c>
      <c r="E439">
        <v>403.1</v>
      </c>
      <c r="F439">
        <v>391.92</v>
      </c>
    </row>
    <row r="440" spans="1:6" x14ac:dyDescent="0.25">
      <c r="A440" s="1">
        <v>44818</v>
      </c>
      <c r="B440">
        <v>394.6</v>
      </c>
      <c r="C440">
        <v>85023750</v>
      </c>
      <c r="D440">
        <v>394.47</v>
      </c>
      <c r="E440">
        <v>396.2</v>
      </c>
      <c r="F440">
        <v>391.12</v>
      </c>
    </row>
    <row r="441" spans="1:6" x14ac:dyDescent="0.25">
      <c r="A441" s="1">
        <v>44819</v>
      </c>
      <c r="B441">
        <v>390.12</v>
      </c>
      <c r="C441">
        <v>87633840</v>
      </c>
      <c r="D441">
        <v>392.96</v>
      </c>
      <c r="E441">
        <v>395.96</v>
      </c>
      <c r="F441">
        <v>388.78</v>
      </c>
    </row>
    <row r="442" spans="1:6" x14ac:dyDescent="0.25">
      <c r="A442" s="1">
        <v>44820</v>
      </c>
      <c r="B442">
        <v>385.56</v>
      </c>
      <c r="C442">
        <v>103084800</v>
      </c>
      <c r="D442">
        <v>384.14</v>
      </c>
      <c r="E442">
        <v>386.25</v>
      </c>
      <c r="F442">
        <v>382.11</v>
      </c>
    </row>
    <row r="443" spans="1:6" x14ac:dyDescent="0.25">
      <c r="A443" s="1">
        <v>44823</v>
      </c>
      <c r="B443">
        <v>388.55</v>
      </c>
      <c r="C443">
        <v>73278490</v>
      </c>
      <c r="D443">
        <v>382.26</v>
      </c>
      <c r="E443">
        <v>388.55</v>
      </c>
      <c r="F443">
        <v>382.17840000000001</v>
      </c>
    </row>
    <row r="444" spans="1:6" x14ac:dyDescent="0.25">
      <c r="A444" s="1">
        <v>44824</v>
      </c>
      <c r="B444">
        <v>384.09</v>
      </c>
      <c r="C444">
        <v>77274880</v>
      </c>
      <c r="D444">
        <v>385.06</v>
      </c>
      <c r="E444">
        <v>386.12</v>
      </c>
      <c r="F444">
        <v>381.19499999999999</v>
      </c>
    </row>
    <row r="445" spans="1:6" x14ac:dyDescent="0.25">
      <c r="A445" s="1">
        <v>44825</v>
      </c>
      <c r="B445">
        <v>377.39</v>
      </c>
      <c r="C445">
        <v>106746600</v>
      </c>
      <c r="D445">
        <v>386.11</v>
      </c>
      <c r="E445">
        <v>389.31</v>
      </c>
      <c r="F445">
        <v>377.38</v>
      </c>
    </row>
    <row r="446" spans="1:6" x14ac:dyDescent="0.25">
      <c r="A446" s="1">
        <v>44826</v>
      </c>
      <c r="B446">
        <v>374.22</v>
      </c>
      <c r="C446">
        <v>89472640</v>
      </c>
      <c r="D446">
        <v>376.58</v>
      </c>
      <c r="E446">
        <v>378.3</v>
      </c>
      <c r="F446">
        <v>373.44</v>
      </c>
    </row>
    <row r="447" spans="1:6" x14ac:dyDescent="0.25">
      <c r="A447" s="1">
        <v>44827</v>
      </c>
      <c r="B447">
        <v>367.95</v>
      </c>
      <c r="C447">
        <v>122346900</v>
      </c>
      <c r="D447">
        <v>370.58</v>
      </c>
      <c r="E447">
        <v>370.62</v>
      </c>
      <c r="F447">
        <v>363.29</v>
      </c>
    </row>
    <row r="448" spans="1:6" x14ac:dyDescent="0.25">
      <c r="A448" s="1">
        <v>44830</v>
      </c>
      <c r="B448">
        <v>364.31</v>
      </c>
      <c r="C448">
        <v>92581240</v>
      </c>
      <c r="D448">
        <v>366.41</v>
      </c>
      <c r="E448">
        <v>370.21</v>
      </c>
      <c r="F448">
        <v>363.0299</v>
      </c>
    </row>
    <row r="449" spans="1:6" x14ac:dyDescent="0.25">
      <c r="A449" s="1">
        <v>44831</v>
      </c>
      <c r="B449">
        <v>363.38</v>
      </c>
      <c r="C449">
        <v>108294100</v>
      </c>
      <c r="D449">
        <v>368.02</v>
      </c>
      <c r="E449">
        <v>370.4</v>
      </c>
      <c r="F449">
        <v>360.87</v>
      </c>
    </row>
    <row r="450" spans="1:6" x14ac:dyDescent="0.25">
      <c r="A450" s="1">
        <v>44832</v>
      </c>
      <c r="B450">
        <v>370.53</v>
      </c>
      <c r="C450">
        <v>110802200</v>
      </c>
      <c r="D450">
        <v>364.38</v>
      </c>
      <c r="E450">
        <v>372.3</v>
      </c>
      <c r="F450">
        <v>362.6</v>
      </c>
    </row>
    <row r="451" spans="1:6" x14ac:dyDescent="0.25">
      <c r="A451" s="1">
        <v>44833</v>
      </c>
      <c r="B451">
        <v>362.79</v>
      </c>
      <c r="C451">
        <v>112952300</v>
      </c>
      <c r="D451">
        <v>366.81</v>
      </c>
      <c r="E451">
        <v>367.11</v>
      </c>
      <c r="F451">
        <v>359.7</v>
      </c>
    </row>
    <row r="452" spans="1:6" x14ac:dyDescent="0.25">
      <c r="A452" s="1">
        <v>44834</v>
      </c>
      <c r="B452">
        <v>357.18</v>
      </c>
      <c r="C452">
        <v>153711200</v>
      </c>
      <c r="D452">
        <v>361.8</v>
      </c>
      <c r="E452">
        <v>365.91</v>
      </c>
      <c r="F452">
        <v>357.04</v>
      </c>
    </row>
    <row r="453" spans="1:6" x14ac:dyDescent="0.25">
      <c r="A453" s="1">
        <v>44837</v>
      </c>
      <c r="B453">
        <v>366.61</v>
      </c>
      <c r="C453">
        <v>89756480</v>
      </c>
      <c r="D453">
        <v>361.08</v>
      </c>
      <c r="E453">
        <v>368.55</v>
      </c>
      <c r="F453">
        <v>359.21</v>
      </c>
    </row>
    <row r="454" spans="1:6" x14ac:dyDescent="0.25">
      <c r="A454" s="1">
        <v>44838</v>
      </c>
      <c r="B454">
        <v>377.97</v>
      </c>
      <c r="C454">
        <v>103602800</v>
      </c>
      <c r="D454">
        <v>372.4</v>
      </c>
      <c r="E454">
        <v>378</v>
      </c>
      <c r="F454">
        <v>366.5677</v>
      </c>
    </row>
    <row r="455" spans="1:6" x14ac:dyDescent="0.25">
      <c r="A455" s="1">
        <v>44839</v>
      </c>
      <c r="B455">
        <v>377.09</v>
      </c>
      <c r="C455">
        <v>88065670</v>
      </c>
      <c r="D455">
        <v>373.39</v>
      </c>
      <c r="E455">
        <v>379.46</v>
      </c>
      <c r="F455">
        <v>370.95</v>
      </c>
    </row>
    <row r="456" spans="1:6" x14ac:dyDescent="0.25">
      <c r="A456" s="1">
        <v>44840</v>
      </c>
      <c r="B456">
        <v>373.2</v>
      </c>
      <c r="C456">
        <v>82333540</v>
      </c>
      <c r="D456">
        <v>375.62</v>
      </c>
      <c r="E456">
        <v>378.72</v>
      </c>
      <c r="F456">
        <v>372.68</v>
      </c>
    </row>
    <row r="457" spans="1:6" x14ac:dyDescent="0.25">
      <c r="A457" s="1">
        <v>44841</v>
      </c>
      <c r="B457">
        <v>362.79</v>
      </c>
      <c r="C457">
        <v>107789500</v>
      </c>
      <c r="D457">
        <v>368.97</v>
      </c>
      <c r="E457">
        <v>373.29329999999999</v>
      </c>
      <c r="F457">
        <v>360.94</v>
      </c>
    </row>
    <row r="458" spans="1:6" x14ac:dyDescent="0.25">
      <c r="A458" s="1">
        <v>44844</v>
      </c>
      <c r="B458">
        <v>360.02</v>
      </c>
      <c r="C458">
        <v>76042770</v>
      </c>
      <c r="D458">
        <v>363.96</v>
      </c>
      <c r="E458">
        <v>364.21</v>
      </c>
      <c r="F458">
        <v>357.67</v>
      </c>
    </row>
    <row r="459" spans="1:6" x14ac:dyDescent="0.25">
      <c r="A459" s="1">
        <v>44845</v>
      </c>
      <c r="B459">
        <v>357.74</v>
      </c>
      <c r="C459">
        <v>92482790</v>
      </c>
      <c r="D459">
        <v>358.23500000000001</v>
      </c>
      <c r="E459">
        <v>363.03</v>
      </c>
      <c r="F459">
        <v>355.71</v>
      </c>
    </row>
    <row r="460" spans="1:6" x14ac:dyDescent="0.25">
      <c r="A460" s="1">
        <v>44846</v>
      </c>
      <c r="B460">
        <v>356.56</v>
      </c>
      <c r="C460">
        <v>76991800</v>
      </c>
      <c r="D460">
        <v>358.17</v>
      </c>
      <c r="E460">
        <v>359.81790000000001</v>
      </c>
      <c r="F460">
        <v>356.3</v>
      </c>
    </row>
    <row r="461" spans="1:6" x14ac:dyDescent="0.25">
      <c r="A461" s="1">
        <v>44847</v>
      </c>
      <c r="B461">
        <v>365.97</v>
      </c>
      <c r="C461">
        <v>147254500</v>
      </c>
      <c r="D461">
        <v>349.20499999999998</v>
      </c>
      <c r="E461">
        <v>367.51</v>
      </c>
      <c r="F461">
        <v>348.11</v>
      </c>
    </row>
    <row r="462" spans="1:6" x14ac:dyDescent="0.25">
      <c r="A462" s="1">
        <v>44848</v>
      </c>
      <c r="B462">
        <v>357.63</v>
      </c>
      <c r="C462">
        <v>123737000</v>
      </c>
      <c r="D462">
        <v>368.55</v>
      </c>
      <c r="E462">
        <v>370.26</v>
      </c>
      <c r="F462">
        <v>356.96</v>
      </c>
    </row>
    <row r="463" spans="1:6" x14ac:dyDescent="0.25">
      <c r="A463" s="1">
        <v>44851</v>
      </c>
      <c r="B463">
        <v>366.82</v>
      </c>
      <c r="C463">
        <v>93168230</v>
      </c>
      <c r="D463">
        <v>364.01</v>
      </c>
      <c r="E463">
        <v>367.97989999999999</v>
      </c>
      <c r="F463">
        <v>357.2808</v>
      </c>
    </row>
    <row r="464" spans="1:6" x14ac:dyDescent="0.25">
      <c r="A464" s="1">
        <v>44852</v>
      </c>
      <c r="B464">
        <v>371.13</v>
      </c>
      <c r="C464">
        <v>97162850</v>
      </c>
      <c r="D464">
        <v>375.13</v>
      </c>
      <c r="E464">
        <v>375.45</v>
      </c>
      <c r="F464">
        <v>367.52</v>
      </c>
    </row>
    <row r="465" spans="1:6" x14ac:dyDescent="0.25">
      <c r="A465" s="1">
        <v>44853</v>
      </c>
      <c r="B465">
        <v>368.5</v>
      </c>
      <c r="C465">
        <v>79746860</v>
      </c>
      <c r="D465">
        <v>368.99</v>
      </c>
      <c r="E465">
        <v>371.85</v>
      </c>
      <c r="F465">
        <v>365.55</v>
      </c>
    </row>
    <row r="466" spans="1:6" x14ac:dyDescent="0.25">
      <c r="A466" s="1">
        <v>44854</v>
      </c>
      <c r="B466">
        <v>365.41</v>
      </c>
      <c r="C466">
        <v>88283090</v>
      </c>
      <c r="D466">
        <v>368.03</v>
      </c>
      <c r="E466">
        <v>372.67</v>
      </c>
      <c r="F466">
        <v>364.61</v>
      </c>
    </row>
    <row r="467" spans="1:6" x14ac:dyDescent="0.25">
      <c r="A467" s="1">
        <v>44855</v>
      </c>
      <c r="B467">
        <v>374.29</v>
      </c>
      <c r="C467">
        <v>131038400</v>
      </c>
      <c r="D467">
        <v>365.12</v>
      </c>
      <c r="E467">
        <v>374.8</v>
      </c>
      <c r="F467">
        <v>363.54</v>
      </c>
    </row>
    <row r="468" spans="1:6" x14ac:dyDescent="0.25">
      <c r="A468" s="1">
        <v>44858</v>
      </c>
      <c r="B468">
        <v>378.87</v>
      </c>
      <c r="C468">
        <v>85436910</v>
      </c>
      <c r="D468">
        <v>375.89</v>
      </c>
      <c r="E468">
        <v>380.06</v>
      </c>
      <c r="F468">
        <v>373.11</v>
      </c>
    </row>
    <row r="469" spans="1:6" x14ac:dyDescent="0.25">
      <c r="A469" s="1">
        <v>44859</v>
      </c>
      <c r="B469">
        <v>384.92</v>
      </c>
      <c r="C469">
        <v>78846350</v>
      </c>
      <c r="D469">
        <v>378.79</v>
      </c>
      <c r="E469">
        <v>385.25</v>
      </c>
      <c r="F469">
        <v>378.67099999999999</v>
      </c>
    </row>
    <row r="470" spans="1:6" x14ac:dyDescent="0.25">
      <c r="A470" s="1">
        <v>44860</v>
      </c>
      <c r="B470">
        <v>382.02</v>
      </c>
      <c r="C470">
        <v>104087300</v>
      </c>
      <c r="D470">
        <v>381.62</v>
      </c>
      <c r="E470">
        <v>387.58</v>
      </c>
      <c r="F470">
        <v>381.35</v>
      </c>
    </row>
    <row r="471" spans="1:6" x14ac:dyDescent="0.25">
      <c r="A471" s="1">
        <v>44861</v>
      </c>
      <c r="B471">
        <v>379.98</v>
      </c>
      <c r="C471">
        <v>81971760</v>
      </c>
      <c r="D471">
        <v>383.07</v>
      </c>
      <c r="E471">
        <v>385</v>
      </c>
      <c r="F471">
        <v>379.33</v>
      </c>
    </row>
    <row r="472" spans="1:6" x14ac:dyDescent="0.25">
      <c r="A472" s="1">
        <v>44862</v>
      </c>
      <c r="B472">
        <v>389.02</v>
      </c>
      <c r="C472">
        <v>100302000</v>
      </c>
      <c r="D472">
        <v>379.87</v>
      </c>
      <c r="E472">
        <v>389.52</v>
      </c>
      <c r="F472">
        <v>379.68</v>
      </c>
    </row>
    <row r="473" spans="1:6" x14ac:dyDescent="0.25">
      <c r="A473" s="1">
        <v>44865</v>
      </c>
      <c r="B473">
        <v>386.21</v>
      </c>
      <c r="C473">
        <v>96631260</v>
      </c>
      <c r="D473">
        <v>386.44</v>
      </c>
      <c r="E473">
        <v>388.4</v>
      </c>
      <c r="F473">
        <v>385.26</v>
      </c>
    </row>
    <row r="474" spans="1:6" x14ac:dyDescent="0.25">
      <c r="A474" s="1">
        <v>44866</v>
      </c>
      <c r="B474">
        <v>384.52</v>
      </c>
      <c r="C474">
        <v>85407600</v>
      </c>
      <c r="D474">
        <v>390.14</v>
      </c>
      <c r="E474">
        <v>390.39</v>
      </c>
      <c r="F474">
        <v>383.29</v>
      </c>
    </row>
    <row r="475" spans="1:6" x14ac:dyDescent="0.25">
      <c r="A475" s="1">
        <v>44867</v>
      </c>
      <c r="B475">
        <v>374.87</v>
      </c>
      <c r="C475">
        <v>126990400</v>
      </c>
      <c r="D475">
        <v>383.9</v>
      </c>
      <c r="E475">
        <v>388.63</v>
      </c>
      <c r="F475">
        <v>374.76</v>
      </c>
    </row>
    <row r="476" spans="1:6" x14ac:dyDescent="0.25">
      <c r="A476" s="1">
        <v>44868</v>
      </c>
      <c r="B476">
        <v>371.01</v>
      </c>
      <c r="C476">
        <v>87100120</v>
      </c>
      <c r="D476">
        <v>371.46499999999997</v>
      </c>
      <c r="E476">
        <v>374.2</v>
      </c>
      <c r="F476">
        <v>368.79</v>
      </c>
    </row>
    <row r="477" spans="1:6" x14ac:dyDescent="0.25">
      <c r="A477" s="1">
        <v>44869</v>
      </c>
      <c r="B477">
        <v>376.35</v>
      </c>
      <c r="C477">
        <v>103505200</v>
      </c>
      <c r="D477">
        <v>377</v>
      </c>
      <c r="E477">
        <v>378.87</v>
      </c>
      <c r="F477">
        <v>370</v>
      </c>
    </row>
    <row r="478" spans="1:6" x14ac:dyDescent="0.25">
      <c r="A478" s="1">
        <v>44872</v>
      </c>
      <c r="B478">
        <v>379.95</v>
      </c>
      <c r="C478">
        <v>68286950</v>
      </c>
      <c r="D478">
        <v>377.71</v>
      </c>
      <c r="E478">
        <v>380.57</v>
      </c>
      <c r="F478">
        <v>375.53</v>
      </c>
    </row>
    <row r="479" spans="1:6" x14ac:dyDescent="0.25">
      <c r="A479" s="1">
        <v>44873</v>
      </c>
      <c r="B479">
        <v>382</v>
      </c>
      <c r="C479">
        <v>84641060</v>
      </c>
      <c r="D479">
        <v>381.11</v>
      </c>
      <c r="E479">
        <v>385.12</v>
      </c>
      <c r="F479">
        <v>377.72</v>
      </c>
    </row>
    <row r="480" spans="1:6" x14ac:dyDescent="0.25">
      <c r="A480" s="1">
        <v>44874</v>
      </c>
      <c r="B480">
        <v>374.13</v>
      </c>
      <c r="C480">
        <v>78495470</v>
      </c>
      <c r="D480">
        <v>379.93</v>
      </c>
      <c r="E480">
        <v>381.14</v>
      </c>
      <c r="F480">
        <v>373.61</v>
      </c>
    </row>
    <row r="481" spans="1:6" x14ac:dyDescent="0.25">
      <c r="A481" s="1">
        <v>44875</v>
      </c>
      <c r="B481">
        <v>394.69</v>
      </c>
      <c r="C481">
        <v>141455800</v>
      </c>
      <c r="D481">
        <v>388.05</v>
      </c>
      <c r="E481">
        <v>395.04</v>
      </c>
      <c r="F481">
        <v>385.642</v>
      </c>
    </row>
    <row r="482" spans="1:6" x14ac:dyDescent="0.25">
      <c r="A482" s="1">
        <v>44876</v>
      </c>
      <c r="B482">
        <v>398.51</v>
      </c>
      <c r="C482">
        <v>93839870</v>
      </c>
      <c r="D482">
        <v>395.59</v>
      </c>
      <c r="E482">
        <v>399.35</v>
      </c>
      <c r="F482">
        <v>393.61</v>
      </c>
    </row>
    <row r="483" spans="1:6" x14ac:dyDescent="0.25">
      <c r="A483" s="1">
        <v>44879</v>
      </c>
      <c r="B483">
        <v>395.12</v>
      </c>
      <c r="C483">
        <v>71893170</v>
      </c>
      <c r="D483">
        <v>396.66</v>
      </c>
      <c r="E483">
        <v>400.17989999999998</v>
      </c>
      <c r="F483">
        <v>394.83</v>
      </c>
    </row>
    <row r="484" spans="1:6" x14ac:dyDescent="0.25">
      <c r="A484" s="1">
        <v>44880</v>
      </c>
      <c r="B484">
        <v>398.49</v>
      </c>
      <c r="C484">
        <v>93194450</v>
      </c>
      <c r="D484">
        <v>401.15</v>
      </c>
      <c r="E484">
        <v>402.31</v>
      </c>
      <c r="F484">
        <v>394.49</v>
      </c>
    </row>
    <row r="485" spans="1:6" x14ac:dyDescent="0.25">
      <c r="A485" s="1">
        <v>44881</v>
      </c>
      <c r="B485">
        <v>395.45</v>
      </c>
      <c r="C485">
        <v>68508450</v>
      </c>
      <c r="D485">
        <v>396.78</v>
      </c>
      <c r="E485">
        <v>397.78</v>
      </c>
      <c r="F485">
        <v>394.79</v>
      </c>
    </row>
    <row r="486" spans="1:6" x14ac:dyDescent="0.25">
      <c r="A486" s="1">
        <v>44882</v>
      </c>
      <c r="B486">
        <v>394.24</v>
      </c>
      <c r="C486">
        <v>74496260</v>
      </c>
      <c r="D486">
        <v>390.46</v>
      </c>
      <c r="E486">
        <v>394.95</v>
      </c>
      <c r="F486">
        <v>390.14</v>
      </c>
    </row>
    <row r="487" spans="1:6" x14ac:dyDescent="0.25">
      <c r="A487" s="1">
        <v>44883</v>
      </c>
      <c r="B487">
        <v>396.03</v>
      </c>
      <c r="C487">
        <v>92922450</v>
      </c>
      <c r="D487">
        <v>397.74</v>
      </c>
      <c r="E487">
        <v>397.81</v>
      </c>
      <c r="F487">
        <v>393.04</v>
      </c>
    </row>
    <row r="488" spans="1:6" x14ac:dyDescent="0.25">
      <c r="A488" s="1">
        <v>44886</v>
      </c>
      <c r="B488">
        <v>394.59</v>
      </c>
      <c r="C488">
        <v>51243190</v>
      </c>
      <c r="D488">
        <v>394.64</v>
      </c>
      <c r="E488">
        <v>395.82</v>
      </c>
      <c r="F488">
        <v>392.66</v>
      </c>
    </row>
    <row r="489" spans="1:6" x14ac:dyDescent="0.25">
      <c r="A489" s="1">
        <v>44887</v>
      </c>
      <c r="B489">
        <v>399.9</v>
      </c>
      <c r="C489">
        <v>60429030</v>
      </c>
      <c r="D489">
        <v>396.63</v>
      </c>
      <c r="E489">
        <v>400.07</v>
      </c>
      <c r="F489">
        <v>395.15269999999998</v>
      </c>
    </row>
    <row r="490" spans="1:6" x14ac:dyDescent="0.25">
      <c r="A490" s="1">
        <v>44888</v>
      </c>
      <c r="B490">
        <v>402.42</v>
      </c>
      <c r="C490">
        <v>68261630</v>
      </c>
      <c r="D490">
        <v>399.55</v>
      </c>
      <c r="E490">
        <v>402.93</v>
      </c>
      <c r="F490">
        <v>399.31</v>
      </c>
    </row>
    <row r="491" spans="1:6" x14ac:dyDescent="0.25">
      <c r="A491" s="1">
        <v>44890</v>
      </c>
      <c r="B491">
        <v>402.33</v>
      </c>
      <c r="C491">
        <v>30545430</v>
      </c>
      <c r="D491">
        <v>401.83</v>
      </c>
      <c r="E491">
        <v>402.91</v>
      </c>
      <c r="F491">
        <v>401.53500000000003</v>
      </c>
    </row>
    <row r="492" spans="1:6" x14ac:dyDescent="0.25">
      <c r="A492" s="1">
        <v>44893</v>
      </c>
      <c r="B492">
        <v>395.91</v>
      </c>
      <c r="C492">
        <v>68021750</v>
      </c>
      <c r="D492">
        <v>399.09</v>
      </c>
      <c r="E492">
        <v>400.81</v>
      </c>
      <c r="F492">
        <v>395.11</v>
      </c>
    </row>
    <row r="493" spans="1:6" x14ac:dyDescent="0.25">
      <c r="A493" s="1">
        <v>44894</v>
      </c>
      <c r="B493">
        <v>395.23</v>
      </c>
      <c r="C493">
        <v>52310040</v>
      </c>
      <c r="D493">
        <v>396.05</v>
      </c>
      <c r="E493">
        <v>397.3</v>
      </c>
      <c r="F493">
        <v>393.3</v>
      </c>
    </row>
    <row r="494" spans="1:6" x14ac:dyDescent="0.25">
      <c r="A494" s="1">
        <v>44895</v>
      </c>
      <c r="B494">
        <v>407.68</v>
      </c>
      <c r="C494">
        <v>144566700</v>
      </c>
      <c r="D494">
        <v>395.49</v>
      </c>
      <c r="E494">
        <v>407.68</v>
      </c>
      <c r="F494">
        <v>393.48</v>
      </c>
    </row>
    <row r="495" spans="1:6" x14ac:dyDescent="0.25">
      <c r="A495" s="1">
        <v>44896</v>
      </c>
      <c r="B495">
        <v>407.38</v>
      </c>
      <c r="C495">
        <v>76398170</v>
      </c>
      <c r="D495">
        <v>408.77</v>
      </c>
      <c r="E495">
        <v>410</v>
      </c>
      <c r="F495">
        <v>404.75</v>
      </c>
    </row>
    <row r="496" spans="1:6" x14ac:dyDescent="0.25">
      <c r="A496" s="1">
        <v>44897</v>
      </c>
      <c r="B496">
        <v>406.91</v>
      </c>
      <c r="C496">
        <v>85342730</v>
      </c>
      <c r="D496">
        <v>402.25</v>
      </c>
      <c r="E496">
        <v>407.86</v>
      </c>
      <c r="F496">
        <v>402.14</v>
      </c>
    </row>
    <row r="497" spans="1:6" x14ac:dyDescent="0.25">
      <c r="A497" s="1">
        <v>44900</v>
      </c>
      <c r="B497">
        <v>399.59</v>
      </c>
      <c r="C497">
        <v>77289820</v>
      </c>
      <c r="D497">
        <v>403.95</v>
      </c>
      <c r="E497">
        <v>404.93</v>
      </c>
      <c r="F497">
        <v>398.17</v>
      </c>
    </row>
    <row r="498" spans="1:6" x14ac:dyDescent="0.25">
      <c r="A498" s="1">
        <v>44901</v>
      </c>
      <c r="B498">
        <v>393.83</v>
      </c>
      <c r="C498">
        <v>77972220</v>
      </c>
      <c r="D498">
        <v>399.42</v>
      </c>
      <c r="E498">
        <v>399.99</v>
      </c>
      <c r="F498">
        <v>391.64</v>
      </c>
    </row>
    <row r="499" spans="1:6" x14ac:dyDescent="0.25">
      <c r="A499" s="1">
        <v>44902</v>
      </c>
      <c r="B499">
        <v>393.16</v>
      </c>
      <c r="C499">
        <v>65927900</v>
      </c>
      <c r="D499">
        <v>392.94</v>
      </c>
      <c r="E499">
        <v>395.64</v>
      </c>
      <c r="F499">
        <v>391.97</v>
      </c>
    </row>
    <row r="500" spans="1:6" x14ac:dyDescent="0.25">
      <c r="A500" s="1">
        <v>44903</v>
      </c>
      <c r="B500">
        <v>396.24</v>
      </c>
      <c r="C500">
        <v>60737910</v>
      </c>
      <c r="D500">
        <v>395.14</v>
      </c>
      <c r="E500">
        <v>397.36</v>
      </c>
      <c r="F500">
        <v>393.26839999999999</v>
      </c>
    </row>
    <row r="501" spans="1:6" x14ac:dyDescent="0.25">
      <c r="A501" s="1">
        <v>44904</v>
      </c>
      <c r="B501">
        <v>393.28</v>
      </c>
      <c r="C501">
        <v>81447730</v>
      </c>
      <c r="D501">
        <v>394.94</v>
      </c>
      <c r="E501">
        <v>397.62</v>
      </c>
      <c r="F501">
        <v>393.15</v>
      </c>
    </row>
    <row r="502" spans="1:6" x14ac:dyDescent="0.25">
      <c r="A502" s="1">
        <v>44907</v>
      </c>
      <c r="B502">
        <v>398.95</v>
      </c>
      <c r="C502">
        <v>75405840</v>
      </c>
      <c r="D502">
        <v>394.11</v>
      </c>
      <c r="E502">
        <v>398.95</v>
      </c>
      <c r="F502">
        <v>393.41199999999998</v>
      </c>
    </row>
    <row r="503" spans="1:6" x14ac:dyDescent="0.25">
      <c r="A503" s="1">
        <v>44908</v>
      </c>
      <c r="B503">
        <v>401.97</v>
      </c>
      <c r="C503">
        <v>123782500</v>
      </c>
      <c r="D503">
        <v>410.22</v>
      </c>
      <c r="E503">
        <v>410.49</v>
      </c>
      <c r="F503">
        <v>399.07</v>
      </c>
    </row>
    <row r="504" spans="1:6" x14ac:dyDescent="0.25">
      <c r="A504" s="1">
        <v>44909</v>
      </c>
      <c r="B504">
        <v>399.4</v>
      </c>
      <c r="C504">
        <v>108111300</v>
      </c>
      <c r="D504">
        <v>401.61</v>
      </c>
      <c r="E504">
        <v>405.5</v>
      </c>
      <c r="F504">
        <v>396.31</v>
      </c>
    </row>
    <row r="505" spans="1:6" x14ac:dyDescent="0.25">
      <c r="A505" s="1">
        <v>44910</v>
      </c>
      <c r="B505">
        <v>389.63</v>
      </c>
      <c r="C505">
        <v>117705900</v>
      </c>
      <c r="D505">
        <v>394.3</v>
      </c>
      <c r="E505">
        <v>395.25</v>
      </c>
      <c r="F505">
        <v>387.88499999999999</v>
      </c>
    </row>
    <row r="506" spans="1:6" x14ac:dyDescent="0.25">
      <c r="A506" s="1">
        <v>44911</v>
      </c>
      <c r="B506">
        <v>383.27</v>
      </c>
      <c r="C506">
        <v>119858000</v>
      </c>
      <c r="D506">
        <v>385.18</v>
      </c>
      <c r="E506">
        <v>386.57499999999999</v>
      </c>
      <c r="F506">
        <v>381.04</v>
      </c>
    </row>
    <row r="507" spans="1:6" x14ac:dyDescent="0.25">
      <c r="A507" s="1">
        <v>44914</v>
      </c>
      <c r="B507">
        <v>380.02</v>
      </c>
      <c r="C507">
        <v>79878100</v>
      </c>
      <c r="D507">
        <v>383.47</v>
      </c>
      <c r="E507">
        <v>383.82</v>
      </c>
      <c r="F507">
        <v>378.28</v>
      </c>
    </row>
    <row r="508" spans="1:6" x14ac:dyDescent="0.25">
      <c r="A508" s="1">
        <v>44915</v>
      </c>
      <c r="B508">
        <v>380.54</v>
      </c>
      <c r="C508">
        <v>74427240</v>
      </c>
      <c r="D508">
        <v>379.23</v>
      </c>
      <c r="E508">
        <v>382.23</v>
      </c>
      <c r="F508">
        <v>377.85</v>
      </c>
    </row>
    <row r="509" spans="1:6" x14ac:dyDescent="0.25">
      <c r="A509" s="1">
        <v>44916</v>
      </c>
      <c r="B509">
        <v>386.23</v>
      </c>
      <c r="C509">
        <v>78167370</v>
      </c>
      <c r="D509">
        <v>383.25</v>
      </c>
      <c r="E509">
        <v>387.41</v>
      </c>
      <c r="F509">
        <v>382.69</v>
      </c>
    </row>
    <row r="510" spans="1:6" x14ac:dyDescent="0.25">
      <c r="A510" s="1">
        <v>44917</v>
      </c>
      <c r="B510">
        <v>380.72</v>
      </c>
      <c r="C510">
        <v>100120900</v>
      </c>
      <c r="D510">
        <v>383.05</v>
      </c>
      <c r="E510">
        <v>386.21339999999998</v>
      </c>
      <c r="F510">
        <v>374.77</v>
      </c>
    </row>
    <row r="511" spans="1:6" x14ac:dyDescent="0.25">
      <c r="A511" s="1">
        <v>44918</v>
      </c>
      <c r="B511">
        <v>382.91</v>
      </c>
      <c r="C511">
        <v>59857330</v>
      </c>
      <c r="D511">
        <v>379.65</v>
      </c>
      <c r="E511">
        <v>383.06</v>
      </c>
      <c r="F511">
        <v>378.03</v>
      </c>
    </row>
    <row r="512" spans="1:6" x14ac:dyDescent="0.25">
      <c r="A512" s="1">
        <v>44922</v>
      </c>
      <c r="B512">
        <v>381.4</v>
      </c>
      <c r="C512">
        <v>51638180</v>
      </c>
      <c r="D512">
        <v>382.79</v>
      </c>
      <c r="E512">
        <v>383.15</v>
      </c>
      <c r="F512">
        <v>379.65</v>
      </c>
    </row>
    <row r="513" spans="1:6" x14ac:dyDescent="0.25">
      <c r="A513" s="1">
        <v>44923</v>
      </c>
      <c r="B513">
        <v>376.66</v>
      </c>
      <c r="C513">
        <v>70911520</v>
      </c>
      <c r="D513">
        <v>381.33</v>
      </c>
      <c r="E513">
        <v>383.39</v>
      </c>
      <c r="F513">
        <v>376.42</v>
      </c>
    </row>
    <row r="514" spans="1:6" x14ac:dyDescent="0.25">
      <c r="A514" s="1">
        <v>44924</v>
      </c>
      <c r="B514">
        <v>383.44</v>
      </c>
      <c r="C514">
        <v>66970880</v>
      </c>
      <c r="D514">
        <v>379.63</v>
      </c>
      <c r="E514">
        <v>384.35</v>
      </c>
      <c r="F514">
        <v>379.08</v>
      </c>
    </row>
    <row r="515" spans="1:6" x14ac:dyDescent="0.25">
      <c r="A515" s="1">
        <v>44925</v>
      </c>
      <c r="B515">
        <v>382.43</v>
      </c>
      <c r="C515">
        <v>84022210</v>
      </c>
      <c r="D515">
        <v>380.64</v>
      </c>
      <c r="E515">
        <v>382.58</v>
      </c>
      <c r="F515">
        <v>378.43</v>
      </c>
    </row>
    <row r="516" spans="1:6" x14ac:dyDescent="0.25">
      <c r="A516" s="1">
        <v>44929</v>
      </c>
      <c r="B516">
        <v>380.82</v>
      </c>
      <c r="C516">
        <v>74850730</v>
      </c>
      <c r="D516">
        <v>384.37</v>
      </c>
      <c r="E516">
        <v>386.43</v>
      </c>
      <c r="F516">
        <v>377.83100000000002</v>
      </c>
    </row>
    <row r="517" spans="1:6" x14ac:dyDescent="0.25">
      <c r="A517" s="1">
        <v>44930</v>
      </c>
      <c r="B517">
        <v>383.76</v>
      </c>
      <c r="C517">
        <v>85934100</v>
      </c>
      <c r="D517">
        <v>383.18</v>
      </c>
      <c r="E517">
        <v>385.88</v>
      </c>
      <c r="F517">
        <v>380</v>
      </c>
    </row>
    <row r="518" spans="1:6" x14ac:dyDescent="0.25">
      <c r="A518" s="1">
        <v>44931</v>
      </c>
      <c r="B518">
        <v>379.38</v>
      </c>
      <c r="C518">
        <v>76970460</v>
      </c>
      <c r="D518">
        <v>381.72</v>
      </c>
      <c r="E518">
        <v>381.84</v>
      </c>
      <c r="F518">
        <v>378.76</v>
      </c>
    </row>
    <row r="519" spans="1:6" x14ac:dyDescent="0.25">
      <c r="A519" s="1">
        <v>44932</v>
      </c>
      <c r="B519">
        <v>388.08</v>
      </c>
      <c r="C519">
        <v>104189600</v>
      </c>
      <c r="D519">
        <v>382.61</v>
      </c>
      <c r="E519">
        <v>389.25</v>
      </c>
      <c r="F519">
        <v>379.41269999999997</v>
      </c>
    </row>
    <row r="520" spans="1:6" x14ac:dyDescent="0.25">
      <c r="A520" s="1">
        <v>44935</v>
      </c>
      <c r="B520">
        <v>387.86</v>
      </c>
      <c r="C520">
        <v>73978070</v>
      </c>
      <c r="D520">
        <v>390.37</v>
      </c>
      <c r="E520">
        <v>393.7</v>
      </c>
      <c r="F520">
        <v>387.67</v>
      </c>
    </row>
    <row r="521" spans="1:6" x14ac:dyDescent="0.25">
      <c r="A521" s="1">
        <v>44936</v>
      </c>
      <c r="B521">
        <v>390.58</v>
      </c>
      <c r="C521">
        <v>65358090</v>
      </c>
      <c r="D521">
        <v>387.25</v>
      </c>
      <c r="E521">
        <v>390.65</v>
      </c>
      <c r="F521">
        <v>386.27</v>
      </c>
    </row>
    <row r="522" spans="1:6" x14ac:dyDescent="0.25">
      <c r="A522" s="1">
        <v>44937</v>
      </c>
      <c r="B522">
        <v>395.52</v>
      </c>
      <c r="C522">
        <v>68881080</v>
      </c>
      <c r="D522">
        <v>392.23</v>
      </c>
      <c r="E522">
        <v>395.6</v>
      </c>
      <c r="F522">
        <v>391.38</v>
      </c>
    </row>
    <row r="523" spans="1:6" x14ac:dyDescent="0.25">
      <c r="A523" s="1">
        <v>44938</v>
      </c>
      <c r="B523">
        <v>396.96</v>
      </c>
      <c r="C523">
        <v>90157700</v>
      </c>
      <c r="D523">
        <v>396.67</v>
      </c>
      <c r="E523">
        <v>398.48500000000001</v>
      </c>
      <c r="F523">
        <v>392.42</v>
      </c>
    </row>
    <row r="524" spans="1:6" x14ac:dyDescent="0.25">
      <c r="A524" s="1">
        <v>44939</v>
      </c>
      <c r="B524">
        <v>398.5</v>
      </c>
      <c r="C524">
        <v>63903930</v>
      </c>
      <c r="D524">
        <v>393.62</v>
      </c>
      <c r="E524">
        <v>399.1</v>
      </c>
      <c r="F524">
        <v>393.34</v>
      </c>
    </row>
    <row r="525" spans="1:6" x14ac:dyDescent="0.25">
      <c r="A525" s="1">
        <v>44943</v>
      </c>
      <c r="B525">
        <v>397.77</v>
      </c>
      <c r="C525">
        <v>62677280</v>
      </c>
      <c r="D525">
        <v>398.48</v>
      </c>
      <c r="E525">
        <v>400.23</v>
      </c>
      <c r="F525">
        <v>397.06</v>
      </c>
    </row>
    <row r="526" spans="1:6" x14ac:dyDescent="0.25">
      <c r="A526" s="1">
        <v>44944</v>
      </c>
      <c r="B526">
        <v>391.49</v>
      </c>
      <c r="C526">
        <v>99632260</v>
      </c>
      <c r="D526">
        <v>399.01</v>
      </c>
      <c r="E526">
        <v>400.12</v>
      </c>
      <c r="F526">
        <v>391.28</v>
      </c>
    </row>
    <row r="527" spans="1:6" x14ac:dyDescent="0.25">
      <c r="A527" s="1">
        <v>44945</v>
      </c>
      <c r="B527">
        <v>388.64</v>
      </c>
      <c r="C527">
        <v>86958920</v>
      </c>
      <c r="D527">
        <v>389.36</v>
      </c>
      <c r="E527">
        <v>391.08</v>
      </c>
      <c r="F527">
        <v>387.26</v>
      </c>
    </row>
    <row r="528" spans="1:6" x14ac:dyDescent="0.25">
      <c r="A528" s="1">
        <v>44946</v>
      </c>
      <c r="B528">
        <v>395.88</v>
      </c>
      <c r="C528">
        <v>91806360</v>
      </c>
      <c r="D528">
        <v>390.1</v>
      </c>
      <c r="E528">
        <v>396.04</v>
      </c>
      <c r="F528">
        <v>388.38</v>
      </c>
    </row>
    <row r="529" spans="1:6" x14ac:dyDescent="0.25">
      <c r="A529" s="1">
        <v>44949</v>
      </c>
      <c r="B529">
        <v>400.63</v>
      </c>
      <c r="C529">
        <v>84178800</v>
      </c>
      <c r="D529">
        <v>396.72</v>
      </c>
      <c r="E529">
        <v>402.64499999999998</v>
      </c>
      <c r="F529">
        <v>395.72</v>
      </c>
    </row>
    <row r="530" spans="1:6" x14ac:dyDescent="0.25">
      <c r="A530" s="1">
        <v>44950</v>
      </c>
      <c r="B530">
        <v>400.2</v>
      </c>
      <c r="C530">
        <v>59524910</v>
      </c>
      <c r="D530">
        <v>398.88</v>
      </c>
      <c r="E530">
        <v>401.15</v>
      </c>
      <c r="F530">
        <v>397.64</v>
      </c>
    </row>
    <row r="531" spans="1:6" x14ac:dyDescent="0.25">
      <c r="A531" s="1">
        <v>44951</v>
      </c>
      <c r="B531">
        <v>400.35</v>
      </c>
      <c r="C531">
        <v>84800250</v>
      </c>
      <c r="D531">
        <v>395.95</v>
      </c>
      <c r="E531">
        <v>400.7</v>
      </c>
      <c r="F531">
        <v>393.56</v>
      </c>
    </row>
    <row r="532" spans="1:6" x14ac:dyDescent="0.25">
      <c r="A532" s="1">
        <v>44952</v>
      </c>
      <c r="B532">
        <v>404.75</v>
      </c>
      <c r="C532">
        <v>72287430</v>
      </c>
      <c r="D532">
        <v>403.13</v>
      </c>
      <c r="E532">
        <v>404.92</v>
      </c>
      <c r="F532">
        <v>400.03</v>
      </c>
    </row>
    <row r="533" spans="1:6" x14ac:dyDescent="0.25">
      <c r="A533" s="1">
        <v>44953</v>
      </c>
      <c r="B533">
        <v>405.68</v>
      </c>
      <c r="C533">
        <v>68346180</v>
      </c>
      <c r="D533">
        <v>403.65499999999997</v>
      </c>
      <c r="E533">
        <v>408.16</v>
      </c>
      <c r="F533">
        <v>403.44</v>
      </c>
    </row>
    <row r="534" spans="1:6" x14ac:dyDescent="0.25">
      <c r="A534" s="1">
        <v>44956</v>
      </c>
      <c r="B534">
        <v>400.59</v>
      </c>
      <c r="C534">
        <v>74202020</v>
      </c>
      <c r="D534">
        <v>402.8</v>
      </c>
      <c r="E534">
        <v>405.13</v>
      </c>
      <c r="F534">
        <v>400.28</v>
      </c>
    </row>
    <row r="535" spans="1:6" x14ac:dyDescent="0.25">
      <c r="A535" s="1">
        <v>44957</v>
      </c>
      <c r="B535">
        <v>406.48</v>
      </c>
      <c r="C535">
        <v>86811790</v>
      </c>
      <c r="D535">
        <v>401.13</v>
      </c>
      <c r="E535">
        <v>406.53</v>
      </c>
      <c r="F535">
        <v>400.77</v>
      </c>
    </row>
    <row r="536" spans="1:6" x14ac:dyDescent="0.25">
      <c r="A536" s="1">
        <v>44958</v>
      </c>
      <c r="B536">
        <v>410.8</v>
      </c>
      <c r="C536">
        <v>101459200</v>
      </c>
      <c r="D536">
        <v>405.21100000000001</v>
      </c>
      <c r="E536">
        <v>413.67</v>
      </c>
      <c r="F536">
        <v>402.35</v>
      </c>
    </row>
    <row r="537" spans="1:6" x14ac:dyDescent="0.25">
      <c r="A537" s="1">
        <v>44959</v>
      </c>
      <c r="B537">
        <v>416.78</v>
      </c>
      <c r="C537">
        <v>101654500</v>
      </c>
      <c r="D537">
        <v>414.86</v>
      </c>
      <c r="E537">
        <v>418.31</v>
      </c>
      <c r="F537">
        <v>412.88</v>
      </c>
    </row>
    <row r="538" spans="1:6" x14ac:dyDescent="0.25">
      <c r="A538" s="1">
        <v>44960</v>
      </c>
      <c r="B538">
        <v>412.35</v>
      </c>
      <c r="C538">
        <v>94736780</v>
      </c>
      <c r="D538">
        <v>411.59</v>
      </c>
      <c r="E538">
        <v>416.97</v>
      </c>
      <c r="F538">
        <v>411.09</v>
      </c>
    </row>
    <row r="539" spans="1:6" x14ac:dyDescent="0.25">
      <c r="A539" s="1">
        <v>44963</v>
      </c>
      <c r="B539">
        <v>409.83</v>
      </c>
      <c r="C539">
        <v>60295330</v>
      </c>
      <c r="D539">
        <v>409.79</v>
      </c>
      <c r="E539">
        <v>411.29</v>
      </c>
      <c r="F539">
        <v>408.1</v>
      </c>
    </row>
    <row r="540" spans="1:6" x14ac:dyDescent="0.25">
      <c r="A540" s="1">
        <v>44964</v>
      </c>
      <c r="B540">
        <v>415.19</v>
      </c>
      <c r="C540">
        <v>90990750</v>
      </c>
      <c r="D540">
        <v>408.87</v>
      </c>
      <c r="E540">
        <v>416.49</v>
      </c>
      <c r="F540">
        <v>407.57</v>
      </c>
    </row>
    <row r="541" spans="1:6" x14ac:dyDescent="0.25">
      <c r="A541" s="1">
        <v>44965</v>
      </c>
      <c r="B541">
        <v>410.65</v>
      </c>
      <c r="C541">
        <v>76227460</v>
      </c>
      <c r="D541">
        <v>413.13</v>
      </c>
      <c r="E541">
        <v>414.53</v>
      </c>
      <c r="F541">
        <v>409.93</v>
      </c>
    </row>
    <row r="542" spans="1:6" x14ac:dyDescent="0.25">
      <c r="A542" s="1">
        <v>44966</v>
      </c>
      <c r="B542">
        <v>407.09</v>
      </c>
      <c r="C542">
        <v>78694860</v>
      </c>
      <c r="D542">
        <v>414.41</v>
      </c>
      <c r="E542">
        <v>414.57</v>
      </c>
      <c r="F542">
        <v>405.81</v>
      </c>
    </row>
    <row r="543" spans="1:6" x14ac:dyDescent="0.25">
      <c r="A543" s="1">
        <v>44967</v>
      </c>
      <c r="B543">
        <v>408.04</v>
      </c>
      <c r="C543">
        <v>70769720</v>
      </c>
      <c r="D543">
        <v>405.86</v>
      </c>
      <c r="E543">
        <v>408.44</v>
      </c>
      <c r="F543">
        <v>405.01</v>
      </c>
    </row>
    <row r="544" spans="1:6" x14ac:dyDescent="0.25">
      <c r="A544" s="1">
        <v>44970</v>
      </c>
      <c r="B544">
        <v>412.83</v>
      </c>
      <c r="C544">
        <v>64913540</v>
      </c>
      <c r="D544">
        <v>408.72</v>
      </c>
      <c r="E544">
        <v>412.97</v>
      </c>
      <c r="F544">
        <v>408.24</v>
      </c>
    </row>
    <row r="545" spans="1:6" x14ac:dyDescent="0.25">
      <c r="A545" s="1">
        <v>44971</v>
      </c>
      <c r="B545">
        <v>412.64</v>
      </c>
      <c r="C545">
        <v>88389310</v>
      </c>
      <c r="D545">
        <v>411.24</v>
      </c>
      <c r="E545">
        <v>415.05</v>
      </c>
      <c r="F545">
        <v>408.51100000000002</v>
      </c>
    </row>
    <row r="546" spans="1:6" x14ac:dyDescent="0.25">
      <c r="A546" s="1">
        <v>44972</v>
      </c>
      <c r="B546">
        <v>413.98</v>
      </c>
      <c r="C546">
        <v>61685280</v>
      </c>
      <c r="D546">
        <v>410.35</v>
      </c>
      <c r="E546">
        <v>414.06</v>
      </c>
      <c r="F546">
        <v>409.47</v>
      </c>
    </row>
    <row r="547" spans="1:6" x14ac:dyDescent="0.25">
      <c r="A547" s="1">
        <v>44973</v>
      </c>
      <c r="B547">
        <v>408.28</v>
      </c>
      <c r="C547">
        <v>76431470</v>
      </c>
      <c r="D547">
        <v>408.79</v>
      </c>
      <c r="E547">
        <v>412.91</v>
      </c>
      <c r="F547">
        <v>408.14</v>
      </c>
    </row>
    <row r="548" spans="1:6" x14ac:dyDescent="0.25">
      <c r="A548" s="1">
        <v>44974</v>
      </c>
      <c r="B548">
        <v>407.26</v>
      </c>
      <c r="C548">
        <v>89257820</v>
      </c>
      <c r="D548">
        <v>406.06</v>
      </c>
      <c r="E548">
        <v>407.51</v>
      </c>
      <c r="F548">
        <v>404.05</v>
      </c>
    </row>
    <row r="549" spans="1:6" x14ac:dyDescent="0.25">
      <c r="A549" s="1">
        <v>44978</v>
      </c>
      <c r="B549">
        <v>399.09</v>
      </c>
      <c r="C549">
        <v>82655920</v>
      </c>
      <c r="D549">
        <v>403.06</v>
      </c>
      <c r="E549">
        <v>404.16</v>
      </c>
      <c r="F549">
        <v>398.82</v>
      </c>
    </row>
    <row r="550" spans="1:6" x14ac:dyDescent="0.25">
      <c r="A550" s="1">
        <v>44979</v>
      </c>
      <c r="B550">
        <v>398.54</v>
      </c>
      <c r="C550">
        <v>83742290</v>
      </c>
      <c r="D550">
        <v>399.52</v>
      </c>
      <c r="E550">
        <v>401.13</v>
      </c>
      <c r="F550">
        <v>397.02</v>
      </c>
    </row>
    <row r="551" spans="1:6" x14ac:dyDescent="0.25">
      <c r="A551" s="1">
        <v>44980</v>
      </c>
      <c r="B551">
        <v>400.66</v>
      </c>
      <c r="C551">
        <v>96242400</v>
      </c>
      <c r="D551">
        <v>401.56</v>
      </c>
      <c r="E551">
        <v>402.2</v>
      </c>
      <c r="F551">
        <v>396.25</v>
      </c>
    </row>
    <row r="552" spans="1:6" x14ac:dyDescent="0.25">
      <c r="A552" s="1">
        <v>44981</v>
      </c>
      <c r="B552">
        <v>396.38</v>
      </c>
      <c r="C552">
        <v>108194400</v>
      </c>
      <c r="D552">
        <v>395.42</v>
      </c>
      <c r="E552">
        <v>397.25</v>
      </c>
      <c r="F552">
        <v>393.64</v>
      </c>
    </row>
    <row r="553" spans="1:6" x14ac:dyDescent="0.25">
      <c r="A553" s="1">
        <v>44984</v>
      </c>
      <c r="B553">
        <v>397.73</v>
      </c>
      <c r="C553">
        <v>80444740</v>
      </c>
      <c r="D553">
        <v>399.87</v>
      </c>
      <c r="E553">
        <v>401.29</v>
      </c>
      <c r="F553">
        <v>396.75</v>
      </c>
    </row>
    <row r="554" spans="1:6" x14ac:dyDescent="0.25">
      <c r="A554" s="1">
        <v>44985</v>
      </c>
      <c r="B554">
        <v>396.26</v>
      </c>
      <c r="C554">
        <v>96438570</v>
      </c>
      <c r="D554">
        <v>397.23</v>
      </c>
      <c r="E554">
        <v>399.28</v>
      </c>
      <c r="F554">
        <v>396.15</v>
      </c>
    </row>
    <row r="555" spans="1:6" x14ac:dyDescent="0.25">
      <c r="A555" s="1">
        <v>44986</v>
      </c>
      <c r="B555">
        <v>394.74</v>
      </c>
      <c r="C555">
        <v>99706820</v>
      </c>
      <c r="D555">
        <v>395.41</v>
      </c>
      <c r="E555">
        <v>396.69</v>
      </c>
      <c r="F555">
        <v>393.38</v>
      </c>
    </row>
    <row r="556" spans="1:6" x14ac:dyDescent="0.25">
      <c r="A556" s="1">
        <v>44987</v>
      </c>
      <c r="B556">
        <v>397.81</v>
      </c>
      <c r="C556">
        <v>85404730</v>
      </c>
      <c r="D556">
        <v>392.68</v>
      </c>
      <c r="E556">
        <v>398.69</v>
      </c>
      <c r="F556">
        <v>392.33</v>
      </c>
    </row>
    <row r="557" spans="1:6" x14ac:dyDescent="0.25">
      <c r="A557" s="1">
        <v>44988</v>
      </c>
      <c r="B557">
        <v>404.19</v>
      </c>
      <c r="C557">
        <v>90119950</v>
      </c>
      <c r="D557">
        <v>399.71</v>
      </c>
      <c r="E557">
        <v>404.45</v>
      </c>
      <c r="F557">
        <v>399.03</v>
      </c>
    </row>
    <row r="558" spans="1:6" x14ac:dyDescent="0.25">
      <c r="A558" s="1">
        <v>44991</v>
      </c>
      <c r="B558">
        <v>404.47</v>
      </c>
      <c r="C558">
        <v>72795950</v>
      </c>
      <c r="D558">
        <v>405.05</v>
      </c>
      <c r="E558">
        <v>407.45</v>
      </c>
      <c r="F558">
        <v>404.01</v>
      </c>
    </row>
    <row r="559" spans="1:6" x14ac:dyDescent="0.25">
      <c r="A559" s="1">
        <v>44992</v>
      </c>
      <c r="B559">
        <v>398.27</v>
      </c>
      <c r="C559">
        <v>108310600</v>
      </c>
      <c r="D559">
        <v>404.42</v>
      </c>
      <c r="E559">
        <v>404.67</v>
      </c>
      <c r="F559">
        <v>397.625</v>
      </c>
    </row>
    <row r="560" spans="1:6" x14ac:dyDescent="0.25">
      <c r="A560" s="1">
        <v>44993</v>
      </c>
      <c r="B560">
        <v>398.92</v>
      </c>
      <c r="C560">
        <v>74746630</v>
      </c>
      <c r="D560">
        <v>398.39</v>
      </c>
      <c r="E560">
        <v>399.71</v>
      </c>
      <c r="F560">
        <v>396.59</v>
      </c>
    </row>
    <row r="561" spans="1:6" x14ac:dyDescent="0.25">
      <c r="A561" s="1">
        <v>44994</v>
      </c>
      <c r="B561">
        <v>391.56</v>
      </c>
      <c r="C561">
        <v>111945300</v>
      </c>
      <c r="D561">
        <v>399.74</v>
      </c>
      <c r="E561">
        <v>401.48</v>
      </c>
      <c r="F561">
        <v>390.53</v>
      </c>
    </row>
    <row r="562" spans="1:6" x14ac:dyDescent="0.25">
      <c r="A562" s="1">
        <v>44995</v>
      </c>
      <c r="B562">
        <v>385.91</v>
      </c>
      <c r="C562">
        <v>189253000</v>
      </c>
      <c r="D562">
        <v>390.99</v>
      </c>
      <c r="E562">
        <v>393.16</v>
      </c>
      <c r="F562">
        <v>384.32</v>
      </c>
    </row>
    <row r="563" spans="1:6" x14ac:dyDescent="0.25">
      <c r="A563" s="1">
        <v>44998</v>
      </c>
      <c r="B563">
        <v>385.36</v>
      </c>
      <c r="C563">
        <v>157790000</v>
      </c>
      <c r="D563">
        <v>381.81</v>
      </c>
      <c r="E563">
        <v>390.39</v>
      </c>
      <c r="F563">
        <v>380.65</v>
      </c>
    </row>
    <row r="564" spans="1:6" x14ac:dyDescent="0.25">
      <c r="A564" s="1">
        <v>44999</v>
      </c>
      <c r="B564">
        <v>391.73</v>
      </c>
      <c r="C564">
        <v>149752400</v>
      </c>
      <c r="D564">
        <v>390.5</v>
      </c>
      <c r="E564">
        <v>393.45</v>
      </c>
      <c r="F564">
        <v>387.05</v>
      </c>
    </row>
    <row r="565" spans="1:6" x14ac:dyDescent="0.25">
      <c r="A565" s="1">
        <v>45000</v>
      </c>
      <c r="B565">
        <v>389.28</v>
      </c>
      <c r="C565">
        <v>172996900</v>
      </c>
      <c r="D565">
        <v>385.89</v>
      </c>
      <c r="E565">
        <v>389.49</v>
      </c>
      <c r="F565">
        <v>383.71</v>
      </c>
    </row>
    <row r="566" spans="1:6" x14ac:dyDescent="0.25">
      <c r="A566" s="1">
        <v>45001</v>
      </c>
      <c r="B566">
        <v>396.11</v>
      </c>
      <c r="C566">
        <v>143753900</v>
      </c>
      <c r="D566">
        <v>386.82</v>
      </c>
      <c r="E566">
        <v>396.47</v>
      </c>
      <c r="F566">
        <v>386.29</v>
      </c>
    </row>
    <row r="567" spans="1:6" x14ac:dyDescent="0.25">
      <c r="A567" s="1">
        <v>45002</v>
      </c>
      <c r="B567">
        <v>389.99</v>
      </c>
      <c r="C567">
        <v>140553400</v>
      </c>
      <c r="D567">
        <v>393.22</v>
      </c>
      <c r="E567">
        <v>394.4</v>
      </c>
      <c r="F567">
        <v>388.55</v>
      </c>
    </row>
    <row r="568" spans="1:6" x14ac:dyDescent="0.25">
      <c r="A568" s="1">
        <v>45005</v>
      </c>
      <c r="B568">
        <v>393.74</v>
      </c>
      <c r="C568">
        <v>93055780</v>
      </c>
      <c r="D568">
        <v>390.8</v>
      </c>
      <c r="E568">
        <v>394.17</v>
      </c>
      <c r="F568">
        <v>390.07</v>
      </c>
    </row>
    <row r="569" spans="1:6" x14ac:dyDescent="0.25">
      <c r="A569" s="1">
        <v>45006</v>
      </c>
      <c r="B569">
        <v>398.91</v>
      </c>
      <c r="C569">
        <v>91524250</v>
      </c>
      <c r="D569">
        <v>397.24</v>
      </c>
      <c r="E569">
        <v>399.41</v>
      </c>
      <c r="F569">
        <v>395.58</v>
      </c>
    </row>
    <row r="570" spans="1:6" x14ac:dyDescent="0.25">
      <c r="A570" s="1">
        <v>45007</v>
      </c>
      <c r="B570">
        <v>392.11</v>
      </c>
      <c r="C570">
        <v>111746600</v>
      </c>
      <c r="D570">
        <v>398.73</v>
      </c>
      <c r="E570">
        <v>402.49</v>
      </c>
      <c r="F570">
        <v>392.07</v>
      </c>
    </row>
    <row r="571" spans="1:6" x14ac:dyDescent="0.25">
      <c r="A571" s="1">
        <v>45008</v>
      </c>
      <c r="B571">
        <v>393.17</v>
      </c>
      <c r="C571">
        <v>119351300</v>
      </c>
      <c r="D571">
        <v>395.09</v>
      </c>
      <c r="E571">
        <v>399.29</v>
      </c>
      <c r="F571">
        <v>390.35</v>
      </c>
    </row>
    <row r="572" spans="1:6" x14ac:dyDescent="0.25">
      <c r="A572" s="1">
        <v>45009</v>
      </c>
      <c r="B572">
        <v>395.75</v>
      </c>
      <c r="C572">
        <v>107770100</v>
      </c>
      <c r="D572">
        <v>391.84100000000001</v>
      </c>
      <c r="E572">
        <v>395.84</v>
      </c>
      <c r="F572">
        <v>389.4</v>
      </c>
    </row>
    <row r="573" spans="1:6" x14ac:dyDescent="0.25">
      <c r="A573" s="1">
        <v>45012</v>
      </c>
      <c r="B573">
        <v>396.49</v>
      </c>
      <c r="C573">
        <v>74010410</v>
      </c>
      <c r="D573">
        <v>398.12</v>
      </c>
      <c r="E573">
        <v>398.92</v>
      </c>
      <c r="F573">
        <v>395.56</v>
      </c>
    </row>
    <row r="574" spans="1:6" x14ac:dyDescent="0.25">
      <c r="A574" s="1">
        <v>45013</v>
      </c>
      <c r="B574">
        <v>395.6</v>
      </c>
      <c r="C574">
        <v>62871680</v>
      </c>
      <c r="D574">
        <v>395.77</v>
      </c>
      <c r="E574">
        <v>396.49</v>
      </c>
      <c r="F574">
        <v>393.69</v>
      </c>
    </row>
    <row r="575" spans="1:6" x14ac:dyDescent="0.25">
      <c r="A575" s="1">
        <v>45014</v>
      </c>
      <c r="B575">
        <v>401.35</v>
      </c>
      <c r="C575">
        <v>77497880</v>
      </c>
      <c r="D575">
        <v>399.92500000000001</v>
      </c>
      <c r="E575">
        <v>401.6</v>
      </c>
      <c r="F575">
        <v>398.68</v>
      </c>
    </row>
    <row r="576" spans="1:6" x14ac:dyDescent="0.25">
      <c r="A576" s="1">
        <v>45015</v>
      </c>
      <c r="B576">
        <v>403.7</v>
      </c>
      <c r="C576">
        <v>69840050</v>
      </c>
      <c r="D576">
        <v>404.09</v>
      </c>
      <c r="E576">
        <v>404.35</v>
      </c>
      <c r="F576">
        <v>401.76</v>
      </c>
    </row>
    <row r="577" spans="1:6" x14ac:dyDescent="0.25">
      <c r="A577" s="1">
        <v>45016</v>
      </c>
      <c r="B577">
        <v>409.39</v>
      </c>
      <c r="C577">
        <v>112062600</v>
      </c>
      <c r="D577">
        <v>404.66</v>
      </c>
      <c r="E577">
        <v>409.7</v>
      </c>
      <c r="F577">
        <v>404.55</v>
      </c>
    </row>
    <row r="578" spans="1:6" x14ac:dyDescent="0.25">
      <c r="A578" s="1">
        <v>45019</v>
      </c>
      <c r="B578">
        <v>410.95</v>
      </c>
      <c r="C578">
        <v>67391100</v>
      </c>
      <c r="D578">
        <v>408.85</v>
      </c>
      <c r="E578">
        <v>411.37</v>
      </c>
      <c r="F578">
        <v>408.44</v>
      </c>
    </row>
    <row r="579" spans="1:6" x14ac:dyDescent="0.25">
      <c r="A579" s="1">
        <v>45020</v>
      </c>
      <c r="B579">
        <v>408.67</v>
      </c>
      <c r="C579">
        <v>66601530</v>
      </c>
      <c r="D579">
        <v>411.62</v>
      </c>
      <c r="E579">
        <v>411.92</v>
      </c>
      <c r="F579">
        <v>407.24</v>
      </c>
    </row>
    <row r="580" spans="1:6" x14ac:dyDescent="0.25">
      <c r="A580" s="1">
        <v>45021</v>
      </c>
      <c r="B580">
        <v>407.6</v>
      </c>
      <c r="C580">
        <v>65200240</v>
      </c>
      <c r="D580">
        <v>407.91</v>
      </c>
      <c r="E580">
        <v>408.7</v>
      </c>
      <c r="F580">
        <v>405.88</v>
      </c>
    </row>
    <row r="581" spans="1:6" x14ac:dyDescent="0.25">
      <c r="A581" s="1">
        <v>45022</v>
      </c>
      <c r="B581">
        <v>409.19</v>
      </c>
      <c r="C581">
        <v>63743350</v>
      </c>
      <c r="D581">
        <v>406.77</v>
      </c>
      <c r="E581">
        <v>409.48</v>
      </c>
      <c r="F581">
        <v>405.678</v>
      </c>
    </row>
    <row r="582" spans="1:6" x14ac:dyDescent="0.25">
      <c r="A582" s="1">
        <v>45026</v>
      </c>
      <c r="B582">
        <v>409.61</v>
      </c>
      <c r="C582">
        <v>63681040</v>
      </c>
      <c r="D582">
        <v>406.61</v>
      </c>
      <c r="E582">
        <v>409.69</v>
      </c>
      <c r="F582">
        <v>405.97</v>
      </c>
    </row>
    <row r="583" spans="1:6" x14ac:dyDescent="0.25">
      <c r="A583" s="1">
        <v>45027</v>
      </c>
      <c r="B583">
        <v>409.72</v>
      </c>
      <c r="C583">
        <v>59297950</v>
      </c>
      <c r="D583">
        <v>410.26</v>
      </c>
      <c r="E583">
        <v>411.18</v>
      </c>
      <c r="F583">
        <v>408.92</v>
      </c>
    </row>
    <row r="584" spans="1:6" x14ac:dyDescent="0.25">
      <c r="A584" s="1">
        <v>45028</v>
      </c>
      <c r="B584">
        <v>408.05</v>
      </c>
      <c r="C584">
        <v>86420380</v>
      </c>
      <c r="D584">
        <v>411.87</v>
      </c>
      <c r="E584">
        <v>412.17</v>
      </c>
      <c r="F584">
        <v>407.44</v>
      </c>
    </row>
    <row r="585" spans="1:6" x14ac:dyDescent="0.25">
      <c r="A585" s="1">
        <v>45029</v>
      </c>
      <c r="B585">
        <v>413.47</v>
      </c>
      <c r="C585">
        <v>85814750</v>
      </c>
      <c r="D585">
        <v>409.18</v>
      </c>
      <c r="E585">
        <v>413.84</v>
      </c>
      <c r="F585">
        <v>407.99220000000003</v>
      </c>
    </row>
    <row r="586" spans="1:6" x14ac:dyDescent="0.25">
      <c r="A586" s="1">
        <v>45030</v>
      </c>
      <c r="B586">
        <v>412.46</v>
      </c>
      <c r="C586">
        <v>78161500</v>
      </c>
      <c r="D586">
        <v>412.81</v>
      </c>
      <c r="E586">
        <v>415.09</v>
      </c>
      <c r="F586">
        <v>410.06</v>
      </c>
    </row>
    <row r="587" spans="1:6" x14ac:dyDescent="0.25">
      <c r="A587" s="1">
        <v>45033</v>
      </c>
      <c r="B587">
        <v>413.94</v>
      </c>
      <c r="C587">
        <v>66436400</v>
      </c>
      <c r="D587">
        <v>412.37</v>
      </c>
      <c r="E587">
        <v>413.96</v>
      </c>
      <c r="F587">
        <v>411.08499999999998</v>
      </c>
    </row>
    <row r="588" spans="1:6" x14ac:dyDescent="0.25">
      <c r="A588" s="1">
        <v>45034</v>
      </c>
      <c r="B588">
        <v>414.21</v>
      </c>
      <c r="C588">
        <v>63560000</v>
      </c>
      <c r="D588">
        <v>415.58</v>
      </c>
      <c r="E588">
        <v>415.72</v>
      </c>
      <c r="F588">
        <v>412.78019999999998</v>
      </c>
    </row>
    <row r="589" spans="1:6" x14ac:dyDescent="0.25">
      <c r="A589" s="1">
        <v>45035</v>
      </c>
      <c r="B589">
        <v>414.14</v>
      </c>
      <c r="C589">
        <v>55227330</v>
      </c>
      <c r="D589">
        <v>412.22</v>
      </c>
      <c r="E589">
        <v>415.08</v>
      </c>
      <c r="F589">
        <v>412.16</v>
      </c>
    </row>
    <row r="590" spans="1:6" x14ac:dyDescent="0.25">
      <c r="A590" s="1">
        <v>45036</v>
      </c>
      <c r="B590">
        <v>411.88</v>
      </c>
      <c r="C590">
        <v>75840360</v>
      </c>
      <c r="D590">
        <v>411.21</v>
      </c>
      <c r="E590">
        <v>413.7</v>
      </c>
      <c r="F590">
        <v>410.27</v>
      </c>
    </row>
    <row r="591" spans="1:6" x14ac:dyDescent="0.25">
      <c r="A591" s="1">
        <v>45037</v>
      </c>
      <c r="B591">
        <v>412.2</v>
      </c>
      <c r="C591">
        <v>73457420</v>
      </c>
      <c r="D591">
        <v>412.19</v>
      </c>
      <c r="E591">
        <v>412.68</v>
      </c>
      <c r="F591">
        <v>410.17</v>
      </c>
    </row>
    <row r="592" spans="1:6" x14ac:dyDescent="0.25">
      <c r="A592" s="1">
        <v>45040</v>
      </c>
      <c r="B592">
        <v>412.63</v>
      </c>
      <c r="C592">
        <v>64332100</v>
      </c>
      <c r="D592">
        <v>411.99</v>
      </c>
      <c r="E592">
        <v>413.07</v>
      </c>
      <c r="F592">
        <v>410.6</v>
      </c>
    </row>
    <row r="593" spans="1:6" x14ac:dyDescent="0.25">
      <c r="A593" s="1">
        <v>45041</v>
      </c>
      <c r="B593">
        <v>406.08</v>
      </c>
      <c r="C593">
        <v>97766720</v>
      </c>
      <c r="D593">
        <v>410.58</v>
      </c>
      <c r="E593">
        <v>411.16</v>
      </c>
      <c r="F593">
        <v>406.02</v>
      </c>
    </row>
    <row r="594" spans="1:6" x14ac:dyDescent="0.25">
      <c r="A594" s="1">
        <v>45042</v>
      </c>
      <c r="B594">
        <v>404.36</v>
      </c>
      <c r="C594">
        <v>80447050</v>
      </c>
      <c r="D594">
        <v>406.72</v>
      </c>
      <c r="E594">
        <v>407.84</v>
      </c>
      <c r="F594">
        <v>403.78</v>
      </c>
    </row>
    <row r="595" spans="1:6" x14ac:dyDescent="0.25">
      <c r="A595" s="1">
        <v>45043</v>
      </c>
      <c r="B595">
        <v>412.41</v>
      </c>
      <c r="C595">
        <v>92968370</v>
      </c>
      <c r="D595">
        <v>407</v>
      </c>
      <c r="E595">
        <v>412.69</v>
      </c>
      <c r="F595">
        <v>406.74</v>
      </c>
    </row>
    <row r="596" spans="1:6" x14ac:dyDescent="0.25">
      <c r="A596" s="1">
        <v>45044</v>
      </c>
      <c r="B596">
        <v>415.93</v>
      </c>
      <c r="C596">
        <v>89433140</v>
      </c>
      <c r="D596">
        <v>411.49</v>
      </c>
      <c r="E596">
        <v>415.94</v>
      </c>
      <c r="F596">
        <v>411.43</v>
      </c>
    </row>
    <row r="597" spans="1:6" x14ac:dyDescent="0.25">
      <c r="A597" s="1">
        <v>45047</v>
      </c>
      <c r="B597">
        <v>415.51</v>
      </c>
      <c r="C597">
        <v>62122250</v>
      </c>
      <c r="D597">
        <v>415.47</v>
      </c>
      <c r="E597">
        <v>417.62</v>
      </c>
      <c r="F597">
        <v>415.26499999999999</v>
      </c>
    </row>
    <row r="598" spans="1:6" x14ac:dyDescent="0.25">
      <c r="A598" s="1">
        <v>45048</v>
      </c>
      <c r="B598">
        <v>410.84</v>
      </c>
      <c r="C598">
        <v>103998500</v>
      </c>
      <c r="D598">
        <v>414.77</v>
      </c>
      <c r="E598">
        <v>414.82</v>
      </c>
      <c r="F598">
        <v>407.82</v>
      </c>
    </row>
    <row r="599" spans="1:6" x14ac:dyDescent="0.25">
      <c r="A599" s="1">
        <v>45049</v>
      </c>
      <c r="B599">
        <v>408.02</v>
      </c>
      <c r="C599">
        <v>91531770</v>
      </c>
      <c r="D599">
        <v>411.36</v>
      </c>
      <c r="E599">
        <v>413.87</v>
      </c>
      <c r="F599">
        <v>407.77</v>
      </c>
    </row>
    <row r="600" spans="1:6" x14ac:dyDescent="0.25">
      <c r="A600" s="1">
        <v>45050</v>
      </c>
      <c r="B600">
        <v>405.13</v>
      </c>
      <c r="C600">
        <v>94901860</v>
      </c>
      <c r="D600">
        <v>406.93</v>
      </c>
      <c r="E600">
        <v>407.27</v>
      </c>
      <c r="F600">
        <v>403.74</v>
      </c>
    </row>
    <row r="601" spans="1:6" x14ac:dyDescent="0.25">
      <c r="A601" s="1">
        <v>45051</v>
      </c>
      <c r="B601">
        <v>412.63</v>
      </c>
      <c r="C601">
        <v>87891790</v>
      </c>
      <c r="D601">
        <v>408.91</v>
      </c>
      <c r="E601">
        <v>413.72</v>
      </c>
      <c r="F601">
        <v>408.64</v>
      </c>
    </row>
    <row r="602" spans="1:6" x14ac:dyDescent="0.25">
      <c r="A602" s="1">
        <v>45054</v>
      </c>
      <c r="B602">
        <v>412.74</v>
      </c>
      <c r="C602">
        <v>50046770</v>
      </c>
      <c r="D602">
        <v>412.97</v>
      </c>
      <c r="E602">
        <v>413.24</v>
      </c>
      <c r="F602">
        <v>411.28</v>
      </c>
    </row>
    <row r="603" spans="1:6" x14ac:dyDescent="0.25">
      <c r="A603" s="1">
        <v>45055</v>
      </c>
      <c r="B603">
        <v>410.93</v>
      </c>
      <c r="C603">
        <v>49220120</v>
      </c>
      <c r="D603">
        <v>411.13</v>
      </c>
      <c r="E603">
        <v>412.09</v>
      </c>
      <c r="F603">
        <v>410.68939999999998</v>
      </c>
    </row>
    <row r="604" spans="1:6" x14ac:dyDescent="0.25">
      <c r="A604" s="1">
        <v>45056</v>
      </c>
      <c r="B604">
        <v>412.85</v>
      </c>
      <c r="C604">
        <v>96142920</v>
      </c>
      <c r="D604">
        <v>413.88</v>
      </c>
      <c r="E604">
        <v>414.53500000000003</v>
      </c>
      <c r="F604">
        <v>408.87</v>
      </c>
    </row>
    <row r="605" spans="1:6" x14ac:dyDescent="0.25">
      <c r="A605" s="1">
        <v>45057</v>
      </c>
      <c r="B605">
        <v>412.13</v>
      </c>
      <c r="C605">
        <v>70157060</v>
      </c>
      <c r="D605">
        <v>411.95</v>
      </c>
      <c r="E605">
        <v>412.43</v>
      </c>
      <c r="F605">
        <v>409.97</v>
      </c>
    </row>
    <row r="606" spans="1:6" x14ac:dyDescent="0.25">
      <c r="A606" s="1">
        <v>45058</v>
      </c>
      <c r="B606">
        <v>411.59</v>
      </c>
      <c r="C606">
        <v>70481550</v>
      </c>
      <c r="D606">
        <v>413.42</v>
      </c>
      <c r="E606">
        <v>413.64</v>
      </c>
      <c r="F606">
        <v>409.07</v>
      </c>
    </row>
    <row r="607" spans="1:6" x14ac:dyDescent="0.25">
      <c r="A607" s="1">
        <v>45061</v>
      </c>
      <c r="B607">
        <v>413.01</v>
      </c>
      <c r="C607">
        <v>54289380</v>
      </c>
      <c r="D607">
        <v>412.22</v>
      </c>
      <c r="E607">
        <v>413.43</v>
      </c>
      <c r="F607">
        <v>410.23</v>
      </c>
    </row>
    <row r="608" spans="1:6" x14ac:dyDescent="0.25">
      <c r="A608" s="1">
        <v>45062</v>
      </c>
      <c r="B608">
        <v>410.25</v>
      </c>
      <c r="C608">
        <v>57705500</v>
      </c>
      <c r="D608">
        <v>411.86</v>
      </c>
      <c r="E608">
        <v>412.815</v>
      </c>
      <c r="F608">
        <v>410.24</v>
      </c>
    </row>
    <row r="609" spans="1:6" x14ac:dyDescent="0.25">
      <c r="A609" s="1">
        <v>45063</v>
      </c>
      <c r="B609">
        <v>415.23</v>
      </c>
      <c r="C609">
        <v>87286960</v>
      </c>
      <c r="D609">
        <v>412.35</v>
      </c>
      <c r="E609">
        <v>415.85500000000002</v>
      </c>
      <c r="F609">
        <v>410.63499999999999</v>
      </c>
    </row>
    <row r="610" spans="1:6" x14ac:dyDescent="0.25">
      <c r="A610" s="1">
        <v>45064</v>
      </c>
      <c r="B610">
        <v>419.23</v>
      </c>
      <c r="C610">
        <v>97177200</v>
      </c>
      <c r="D610">
        <v>414.9</v>
      </c>
      <c r="E610">
        <v>419.67</v>
      </c>
      <c r="F610">
        <v>414.67</v>
      </c>
    </row>
    <row r="611" spans="1:6" x14ac:dyDescent="0.25">
      <c r="A611" s="1">
        <v>45065</v>
      </c>
      <c r="B611">
        <v>418.62</v>
      </c>
      <c r="C611">
        <v>103793300</v>
      </c>
      <c r="D611">
        <v>420.17</v>
      </c>
      <c r="E611">
        <v>420.72</v>
      </c>
      <c r="F611">
        <v>417.35</v>
      </c>
    </row>
    <row r="612" spans="1:6" x14ac:dyDescent="0.25">
      <c r="A612" s="1">
        <v>45068</v>
      </c>
      <c r="B612">
        <v>418.79</v>
      </c>
      <c r="C612">
        <v>60745400</v>
      </c>
      <c r="D612">
        <v>418.64</v>
      </c>
      <c r="E612">
        <v>420.39</v>
      </c>
      <c r="F612">
        <v>417.35</v>
      </c>
    </row>
    <row r="613" spans="1:6" x14ac:dyDescent="0.25">
      <c r="A613" s="1">
        <v>45069</v>
      </c>
      <c r="B613">
        <v>414.09</v>
      </c>
      <c r="C613">
        <v>86383490</v>
      </c>
      <c r="D613">
        <v>417.08</v>
      </c>
      <c r="E613">
        <v>418.72199999999998</v>
      </c>
      <c r="F613">
        <v>413.68</v>
      </c>
    </row>
    <row r="614" spans="1:6" x14ac:dyDescent="0.25">
      <c r="A614" s="1">
        <v>45070</v>
      </c>
      <c r="B614">
        <v>411.09</v>
      </c>
      <c r="C614">
        <v>89213680</v>
      </c>
      <c r="D614">
        <v>412.42</v>
      </c>
      <c r="E614">
        <v>412.82</v>
      </c>
      <c r="F614">
        <v>409.87950000000001</v>
      </c>
    </row>
    <row r="615" spans="1:6" x14ac:dyDescent="0.25">
      <c r="A615" s="1">
        <v>45071</v>
      </c>
      <c r="B615">
        <v>414.65</v>
      </c>
      <c r="C615">
        <v>90961610</v>
      </c>
      <c r="D615">
        <v>414.74</v>
      </c>
      <c r="E615">
        <v>416.16</v>
      </c>
      <c r="F615">
        <v>412.4101</v>
      </c>
    </row>
    <row r="616" spans="1:6" x14ac:dyDescent="0.25">
      <c r="A616" s="1">
        <v>45072</v>
      </c>
      <c r="B616">
        <v>420.02</v>
      </c>
      <c r="C616">
        <v>93829980</v>
      </c>
      <c r="D616">
        <v>415.33</v>
      </c>
      <c r="E616">
        <v>420.77</v>
      </c>
      <c r="F616">
        <v>415.25</v>
      </c>
    </row>
    <row r="617" spans="1:6" x14ac:dyDescent="0.25">
      <c r="A617" s="1">
        <v>45076</v>
      </c>
      <c r="B617">
        <v>420.18</v>
      </c>
      <c r="C617">
        <v>72215960</v>
      </c>
      <c r="D617">
        <v>422.03</v>
      </c>
      <c r="E617">
        <v>422.58</v>
      </c>
      <c r="F617">
        <v>418.73500000000001</v>
      </c>
    </row>
    <row r="618" spans="1:6" x14ac:dyDescent="0.25">
      <c r="A618" s="1">
        <v>45077</v>
      </c>
      <c r="B618">
        <v>417.85</v>
      </c>
      <c r="C618">
        <v>110811800</v>
      </c>
      <c r="D618">
        <v>418.28</v>
      </c>
      <c r="E618">
        <v>419.22</v>
      </c>
      <c r="F618">
        <v>416.22</v>
      </c>
    </row>
    <row r="619" spans="1:6" x14ac:dyDescent="0.25">
      <c r="A619" s="1">
        <v>45078</v>
      </c>
      <c r="B619">
        <v>421.82</v>
      </c>
      <c r="C619">
        <v>88865020</v>
      </c>
      <c r="D619">
        <v>418.09</v>
      </c>
      <c r="E619">
        <v>422.92</v>
      </c>
      <c r="F619">
        <v>416.79</v>
      </c>
    </row>
    <row r="620" spans="1:6" x14ac:dyDescent="0.25">
      <c r="A620" s="1">
        <v>45079</v>
      </c>
      <c r="B620">
        <v>427.92</v>
      </c>
      <c r="C620">
        <v>91426170</v>
      </c>
      <c r="D620">
        <v>424.5</v>
      </c>
      <c r="E620">
        <v>428.74</v>
      </c>
      <c r="F620">
        <v>423.95</v>
      </c>
    </row>
    <row r="621" spans="1:6" x14ac:dyDescent="0.25">
      <c r="A621" s="1">
        <v>45082</v>
      </c>
      <c r="B621">
        <v>427.1</v>
      </c>
      <c r="C621">
        <v>65460160</v>
      </c>
      <c r="D621">
        <v>428.28</v>
      </c>
      <c r="E621">
        <v>429.62</v>
      </c>
      <c r="F621">
        <v>426.37</v>
      </c>
    </row>
    <row r="622" spans="1:6" x14ac:dyDescent="0.25">
      <c r="A622" s="1">
        <v>45083</v>
      </c>
      <c r="B622">
        <v>428.03</v>
      </c>
      <c r="C622">
        <v>64022180</v>
      </c>
      <c r="D622">
        <v>426.67</v>
      </c>
      <c r="E622">
        <v>428.5772</v>
      </c>
      <c r="F622">
        <v>425.99</v>
      </c>
    </row>
    <row r="623" spans="1:6" x14ac:dyDescent="0.25">
      <c r="A623" s="1">
        <v>45084</v>
      </c>
      <c r="B623">
        <v>426.55</v>
      </c>
      <c r="C623">
        <v>85373280</v>
      </c>
      <c r="D623">
        <v>428.44</v>
      </c>
      <c r="E623">
        <v>429.62</v>
      </c>
      <c r="F623">
        <v>426.11</v>
      </c>
    </row>
    <row r="624" spans="1:6" x14ac:dyDescent="0.25">
      <c r="A624" s="1">
        <v>45085</v>
      </c>
      <c r="B624">
        <v>429.13</v>
      </c>
      <c r="C624">
        <v>61952840</v>
      </c>
      <c r="D624">
        <v>426.62</v>
      </c>
      <c r="E624">
        <v>429.6</v>
      </c>
      <c r="F624">
        <v>425.82</v>
      </c>
    </row>
    <row r="625" spans="1:6" x14ac:dyDescent="0.25">
      <c r="A625" s="1">
        <v>45086</v>
      </c>
      <c r="B625">
        <v>429.9</v>
      </c>
      <c r="C625">
        <v>85647270</v>
      </c>
      <c r="D625">
        <v>429.96</v>
      </c>
      <c r="E625">
        <v>431.99</v>
      </c>
      <c r="F625">
        <v>428.87</v>
      </c>
    </row>
    <row r="626" spans="1:6" x14ac:dyDescent="0.25">
      <c r="A626" s="1">
        <v>45089</v>
      </c>
      <c r="B626">
        <v>433.8</v>
      </c>
      <c r="C626">
        <v>76256700</v>
      </c>
      <c r="D626">
        <v>430.92</v>
      </c>
      <c r="E626">
        <v>433.88</v>
      </c>
      <c r="F626">
        <v>430.17</v>
      </c>
    </row>
    <row r="627" spans="1:6" x14ac:dyDescent="0.25">
      <c r="A627" s="1">
        <v>45090</v>
      </c>
      <c r="B627">
        <v>436.66</v>
      </c>
      <c r="C627">
        <v>95899700</v>
      </c>
      <c r="D627">
        <v>435.32</v>
      </c>
      <c r="E627">
        <v>437.33</v>
      </c>
      <c r="F627">
        <v>434.63</v>
      </c>
    </row>
    <row r="628" spans="1:6" x14ac:dyDescent="0.25">
      <c r="A628" s="1">
        <v>45091</v>
      </c>
      <c r="B628">
        <v>437.18</v>
      </c>
      <c r="C628">
        <v>100612100</v>
      </c>
      <c r="D628">
        <v>437.01</v>
      </c>
      <c r="E628">
        <v>439.06119999999999</v>
      </c>
      <c r="F628">
        <v>433.59</v>
      </c>
    </row>
    <row r="629" spans="1:6" x14ac:dyDescent="0.25">
      <c r="A629" s="1">
        <v>45092</v>
      </c>
      <c r="B629">
        <v>442.6</v>
      </c>
      <c r="C629">
        <v>110303100</v>
      </c>
      <c r="D629">
        <v>436.33</v>
      </c>
      <c r="E629">
        <v>443.9</v>
      </c>
      <c r="F629">
        <v>436.23</v>
      </c>
    </row>
    <row r="630" spans="1:6" x14ac:dyDescent="0.25">
      <c r="A630" s="1">
        <v>45093</v>
      </c>
      <c r="B630">
        <v>439.46</v>
      </c>
      <c r="C630">
        <v>114165800</v>
      </c>
      <c r="D630">
        <v>443.02</v>
      </c>
      <c r="E630">
        <v>443.6078</v>
      </c>
      <c r="F630">
        <v>438.97</v>
      </c>
    </row>
    <row r="631" spans="1:6" x14ac:dyDescent="0.25">
      <c r="A631" s="1">
        <v>45097</v>
      </c>
      <c r="B631">
        <v>437.18</v>
      </c>
      <c r="C631">
        <v>76160360</v>
      </c>
      <c r="D631">
        <v>437.45</v>
      </c>
      <c r="E631">
        <v>438.37</v>
      </c>
      <c r="F631">
        <v>435.03</v>
      </c>
    </row>
    <row r="632" spans="1:6" x14ac:dyDescent="0.25">
      <c r="A632" s="1">
        <v>45098</v>
      </c>
      <c r="B632">
        <v>434.94</v>
      </c>
      <c r="C632">
        <v>76982250</v>
      </c>
      <c r="D632">
        <v>436.16</v>
      </c>
      <c r="E632">
        <v>436.99</v>
      </c>
      <c r="F632">
        <v>434.33</v>
      </c>
    </row>
    <row r="633" spans="1:6" x14ac:dyDescent="0.25">
      <c r="A633" s="1">
        <v>45099</v>
      </c>
      <c r="B633">
        <v>436.51</v>
      </c>
      <c r="C633">
        <v>70637180</v>
      </c>
      <c r="D633">
        <v>433.95</v>
      </c>
      <c r="E633">
        <v>436.62</v>
      </c>
      <c r="F633">
        <v>433.6</v>
      </c>
    </row>
    <row r="634" spans="1:6" x14ac:dyDescent="0.25">
      <c r="A634" s="1">
        <v>45100</v>
      </c>
      <c r="B634">
        <v>433.21</v>
      </c>
      <c r="C634">
        <v>92074540</v>
      </c>
      <c r="D634">
        <v>432.93</v>
      </c>
      <c r="E634">
        <v>435.06</v>
      </c>
      <c r="F634">
        <v>432.47</v>
      </c>
    </row>
    <row r="635" spans="1:6" x14ac:dyDescent="0.25">
      <c r="A635" s="1">
        <v>45103</v>
      </c>
      <c r="B635">
        <v>431.44</v>
      </c>
      <c r="C635">
        <v>72823560</v>
      </c>
      <c r="D635">
        <v>432.62</v>
      </c>
      <c r="E635">
        <v>434.61</v>
      </c>
      <c r="F635">
        <v>431.19</v>
      </c>
    </row>
    <row r="636" spans="1:6" x14ac:dyDescent="0.25">
      <c r="A636" s="1">
        <v>45104</v>
      </c>
      <c r="B636">
        <v>436.17</v>
      </c>
      <c r="C636">
        <v>72813700</v>
      </c>
      <c r="D636">
        <v>432.35</v>
      </c>
      <c r="E636">
        <v>436.81</v>
      </c>
      <c r="F636">
        <v>431.88</v>
      </c>
    </row>
    <row r="637" spans="1:6" x14ac:dyDescent="0.25">
      <c r="A637" s="1">
        <v>45105</v>
      </c>
      <c r="B637">
        <v>436.39</v>
      </c>
      <c r="C637">
        <v>75635980</v>
      </c>
      <c r="D637">
        <v>435.05</v>
      </c>
      <c r="E637">
        <v>437.44</v>
      </c>
      <c r="F637">
        <v>434.41</v>
      </c>
    </row>
    <row r="638" spans="1:6" x14ac:dyDescent="0.25">
      <c r="A638" s="1">
        <v>45106</v>
      </c>
      <c r="B638">
        <v>438.11</v>
      </c>
      <c r="C638">
        <v>67882300</v>
      </c>
      <c r="D638">
        <v>435.96</v>
      </c>
      <c r="E638">
        <v>438.28</v>
      </c>
      <c r="F638">
        <v>435.54</v>
      </c>
    </row>
    <row r="639" spans="1:6" x14ac:dyDescent="0.25">
      <c r="A639" s="1">
        <v>45107</v>
      </c>
      <c r="B639">
        <v>443.28</v>
      </c>
      <c r="C639">
        <v>104964000</v>
      </c>
      <c r="D639">
        <v>441.44</v>
      </c>
      <c r="E639">
        <v>444.3</v>
      </c>
      <c r="F639">
        <v>441.11</v>
      </c>
    </row>
    <row r="640" spans="1:6" x14ac:dyDescent="0.25">
      <c r="A640" s="1">
        <v>45110</v>
      </c>
      <c r="B640">
        <v>443.79</v>
      </c>
      <c r="C640">
        <v>32793380</v>
      </c>
      <c r="D640">
        <v>442.92</v>
      </c>
      <c r="E640">
        <v>444.08</v>
      </c>
      <c r="F640">
        <v>442.63</v>
      </c>
    </row>
    <row r="641" spans="1:6" x14ac:dyDescent="0.25">
      <c r="A641" s="1">
        <v>45112</v>
      </c>
      <c r="B641">
        <v>443.13</v>
      </c>
      <c r="C641">
        <v>58418430</v>
      </c>
      <c r="D641">
        <v>441.91</v>
      </c>
      <c r="E641">
        <v>443.88900000000001</v>
      </c>
      <c r="F641">
        <v>441.9</v>
      </c>
    </row>
    <row r="642" spans="1:6" x14ac:dyDescent="0.25">
      <c r="A642" s="1">
        <v>45113</v>
      </c>
      <c r="B642">
        <v>439.66</v>
      </c>
      <c r="C642">
        <v>80658300</v>
      </c>
      <c r="D642">
        <v>439.42</v>
      </c>
      <c r="E642">
        <v>440.1</v>
      </c>
      <c r="F642">
        <v>437.06</v>
      </c>
    </row>
    <row r="643" spans="1:6" x14ac:dyDescent="0.25">
      <c r="A643" s="1">
        <v>45114</v>
      </c>
      <c r="B643">
        <v>438.55</v>
      </c>
      <c r="C643">
        <v>86134180</v>
      </c>
      <c r="D643">
        <v>438.63</v>
      </c>
      <c r="E643">
        <v>442.64</v>
      </c>
      <c r="F643">
        <v>438.3</v>
      </c>
    </row>
    <row r="644" spans="1:6" x14ac:dyDescent="0.25">
      <c r="A644" s="1">
        <v>45117</v>
      </c>
      <c r="B644">
        <v>439.66</v>
      </c>
      <c r="C644">
        <v>62443500</v>
      </c>
      <c r="D644">
        <v>438.18</v>
      </c>
      <c r="E644">
        <v>439.84</v>
      </c>
      <c r="F644">
        <v>437.58499999999998</v>
      </c>
    </row>
    <row r="645" spans="1:6" x14ac:dyDescent="0.25">
      <c r="A645" s="1">
        <v>45118</v>
      </c>
      <c r="B645">
        <v>442.46</v>
      </c>
      <c r="C645">
        <v>64463750</v>
      </c>
      <c r="D645">
        <v>440.45</v>
      </c>
      <c r="E645">
        <v>442.97</v>
      </c>
      <c r="F645">
        <v>439.44</v>
      </c>
    </row>
    <row r="646" spans="1:6" x14ac:dyDescent="0.25">
      <c r="A646" s="1">
        <v>45119</v>
      </c>
      <c r="B646">
        <v>446.02</v>
      </c>
      <c r="C646">
        <v>91924530</v>
      </c>
      <c r="D646">
        <v>446.39</v>
      </c>
      <c r="E646">
        <v>447.47989999999999</v>
      </c>
      <c r="F646">
        <v>444.91</v>
      </c>
    </row>
    <row r="647" spans="1:6" x14ac:dyDescent="0.25">
      <c r="A647" s="1">
        <v>45120</v>
      </c>
      <c r="B647">
        <v>449.56</v>
      </c>
      <c r="C647">
        <v>72425240</v>
      </c>
      <c r="D647">
        <v>447.9</v>
      </c>
      <c r="E647">
        <v>450.38</v>
      </c>
      <c r="F647">
        <v>447.45</v>
      </c>
    </row>
    <row r="648" spans="1:6" x14ac:dyDescent="0.25">
      <c r="A648" s="1">
        <v>45121</v>
      </c>
      <c r="B648">
        <v>449.28</v>
      </c>
      <c r="C648">
        <v>69815820</v>
      </c>
      <c r="D648">
        <v>450.47500000000002</v>
      </c>
      <c r="E648">
        <v>451.36</v>
      </c>
      <c r="F648">
        <v>448.49</v>
      </c>
    </row>
    <row r="649" spans="1:6" x14ac:dyDescent="0.25">
      <c r="A649" s="1">
        <v>45124</v>
      </c>
      <c r="B649">
        <v>450.84</v>
      </c>
      <c r="C649">
        <v>52680220</v>
      </c>
      <c r="D649">
        <v>449.13</v>
      </c>
      <c r="E649">
        <v>451.93</v>
      </c>
      <c r="F649">
        <v>449.08</v>
      </c>
    </row>
    <row r="650" spans="1:6" x14ac:dyDescent="0.25">
      <c r="A650" s="1">
        <v>45125</v>
      </c>
      <c r="B650">
        <v>454.19</v>
      </c>
      <c r="C650">
        <v>80744450</v>
      </c>
      <c r="D650">
        <v>450.5</v>
      </c>
      <c r="E650">
        <v>454.86</v>
      </c>
      <c r="F650">
        <v>450.04840000000002</v>
      </c>
    </row>
    <row r="651" spans="1:6" x14ac:dyDescent="0.25">
      <c r="A651" s="1">
        <v>45126</v>
      </c>
      <c r="B651">
        <v>455.2</v>
      </c>
      <c r="C651">
        <v>65891690</v>
      </c>
      <c r="D651">
        <v>455.01</v>
      </c>
      <c r="E651">
        <v>456.43</v>
      </c>
      <c r="F651">
        <v>454.11189999999999</v>
      </c>
    </row>
    <row r="652" spans="1:6" x14ac:dyDescent="0.25">
      <c r="A652" s="1">
        <v>45127</v>
      </c>
      <c r="B652">
        <v>452.18</v>
      </c>
      <c r="C652">
        <v>70591640</v>
      </c>
      <c r="D652">
        <v>454.17</v>
      </c>
      <c r="E652">
        <v>455.1</v>
      </c>
      <c r="F652">
        <v>451.44</v>
      </c>
    </row>
    <row r="653" spans="1:6" x14ac:dyDescent="0.25">
      <c r="A653" s="1">
        <v>45128</v>
      </c>
      <c r="B653">
        <v>452.18</v>
      </c>
      <c r="C653">
        <v>71275620</v>
      </c>
      <c r="D653">
        <v>453.96</v>
      </c>
      <c r="E653">
        <v>454.16500000000002</v>
      </c>
      <c r="F653">
        <v>452.17</v>
      </c>
    </row>
    <row r="654" spans="1:6" x14ac:dyDescent="0.25">
      <c r="A654" s="1">
        <v>45131</v>
      </c>
      <c r="B654">
        <v>454.2</v>
      </c>
      <c r="C654">
        <v>54023380</v>
      </c>
      <c r="D654">
        <v>453.37</v>
      </c>
      <c r="E654">
        <v>455.04</v>
      </c>
      <c r="F654">
        <v>452.298</v>
      </c>
    </row>
    <row r="655" spans="1:6" x14ac:dyDescent="0.25">
      <c r="A655" s="1">
        <v>45132</v>
      </c>
      <c r="B655">
        <v>455.44</v>
      </c>
      <c r="C655">
        <v>55191240</v>
      </c>
      <c r="D655">
        <v>453.92</v>
      </c>
      <c r="E655">
        <v>456.73500000000001</v>
      </c>
      <c r="F655">
        <v>453.87</v>
      </c>
    </row>
    <row r="656" spans="1:6" x14ac:dyDescent="0.25">
      <c r="A656" s="1">
        <v>45133</v>
      </c>
      <c r="B656">
        <v>455.51</v>
      </c>
      <c r="C656">
        <v>71052890</v>
      </c>
      <c r="D656">
        <v>454.47</v>
      </c>
      <c r="E656">
        <v>456.99</v>
      </c>
      <c r="F656">
        <v>453.38</v>
      </c>
    </row>
    <row r="657" spans="1:6" x14ac:dyDescent="0.25">
      <c r="A657" s="1">
        <v>45134</v>
      </c>
      <c r="B657">
        <v>452.49</v>
      </c>
      <c r="C657">
        <v>92194380</v>
      </c>
      <c r="D657">
        <v>459.02</v>
      </c>
      <c r="E657">
        <v>459.44</v>
      </c>
      <c r="F657">
        <v>451.55</v>
      </c>
    </row>
    <row r="658" spans="1:6" x14ac:dyDescent="0.25">
      <c r="A658" s="1">
        <v>45135</v>
      </c>
      <c r="B658">
        <v>456.92</v>
      </c>
      <c r="C658">
        <v>80011790</v>
      </c>
      <c r="D658">
        <v>455.88</v>
      </c>
      <c r="E658">
        <v>457.78</v>
      </c>
      <c r="F658">
        <v>452.49180000000001</v>
      </c>
    </row>
    <row r="659" spans="1:6" x14ac:dyDescent="0.25">
      <c r="A659" s="1">
        <v>45138</v>
      </c>
      <c r="B659">
        <v>457.79</v>
      </c>
      <c r="C659">
        <v>62040450</v>
      </c>
      <c r="D659">
        <v>457.41</v>
      </c>
      <c r="E659">
        <v>458.16</v>
      </c>
      <c r="F659">
        <v>456.04500000000002</v>
      </c>
    </row>
    <row r="660" spans="1:6" x14ac:dyDescent="0.25">
      <c r="A660" s="1">
        <v>45139</v>
      </c>
      <c r="B660">
        <v>456.48</v>
      </c>
      <c r="C660">
        <v>55502200</v>
      </c>
      <c r="D660">
        <v>456.27</v>
      </c>
      <c r="E660">
        <v>457.25</v>
      </c>
      <c r="F660">
        <v>455.49</v>
      </c>
    </row>
    <row r="661" spans="1:6" x14ac:dyDescent="0.25">
      <c r="A661" s="1">
        <v>45140</v>
      </c>
      <c r="B661">
        <v>450.13</v>
      </c>
      <c r="C661">
        <v>93933370</v>
      </c>
      <c r="D661">
        <v>453.25</v>
      </c>
      <c r="E661">
        <v>453.52</v>
      </c>
      <c r="F661">
        <v>449.34989999999999</v>
      </c>
    </row>
    <row r="662" spans="1:6" x14ac:dyDescent="0.25">
      <c r="A662" s="1">
        <v>45141</v>
      </c>
      <c r="B662">
        <v>448.84</v>
      </c>
      <c r="C662">
        <v>64419690</v>
      </c>
      <c r="D662">
        <v>448.04</v>
      </c>
      <c r="E662">
        <v>450.79</v>
      </c>
      <c r="F662">
        <v>447.37</v>
      </c>
    </row>
    <row r="663" spans="1:6" x14ac:dyDescent="0.25">
      <c r="A663" s="1">
        <v>45142</v>
      </c>
      <c r="B663">
        <v>446.81</v>
      </c>
      <c r="C663">
        <v>100128900</v>
      </c>
      <c r="D663">
        <v>450.72</v>
      </c>
      <c r="E663">
        <v>452.89499999999998</v>
      </c>
      <c r="F663">
        <v>446.27</v>
      </c>
    </row>
    <row r="664" spans="1:6" x14ac:dyDescent="0.25">
      <c r="A664" s="1">
        <v>45145</v>
      </c>
      <c r="B664">
        <v>450.71</v>
      </c>
      <c r="C664">
        <v>58357460</v>
      </c>
      <c r="D664">
        <v>448.71</v>
      </c>
      <c r="E664">
        <v>450.86500000000001</v>
      </c>
      <c r="F664">
        <v>447.99</v>
      </c>
    </row>
    <row r="665" spans="1:6" x14ac:dyDescent="0.25">
      <c r="A665" s="1">
        <v>45146</v>
      </c>
      <c r="B665">
        <v>448.75</v>
      </c>
      <c r="C665">
        <v>71361320</v>
      </c>
      <c r="D665">
        <v>448.08</v>
      </c>
      <c r="E665">
        <v>450.6952</v>
      </c>
      <c r="F665">
        <v>445.27050000000003</v>
      </c>
    </row>
    <row r="666" spans="1:6" x14ac:dyDescent="0.25">
      <c r="A666" s="1">
        <v>45147</v>
      </c>
      <c r="B666">
        <v>445.75</v>
      </c>
      <c r="C666">
        <v>78789580</v>
      </c>
      <c r="D666">
        <v>449.03</v>
      </c>
      <c r="E666">
        <v>449.19990000000001</v>
      </c>
      <c r="F666">
        <v>444.96</v>
      </c>
    </row>
    <row r="667" spans="1:6" x14ac:dyDescent="0.25">
      <c r="A667" s="1">
        <v>45148</v>
      </c>
      <c r="B667">
        <v>445.91</v>
      </c>
      <c r="C667">
        <v>93005500</v>
      </c>
      <c r="D667">
        <v>448.19</v>
      </c>
      <c r="E667">
        <v>451.7</v>
      </c>
      <c r="F667">
        <v>444.7</v>
      </c>
    </row>
    <row r="668" spans="1:6" x14ac:dyDescent="0.25">
      <c r="A668" s="1">
        <v>45149</v>
      </c>
      <c r="B668">
        <v>445.65</v>
      </c>
      <c r="C668">
        <v>68690900</v>
      </c>
      <c r="D668">
        <v>443.97</v>
      </c>
      <c r="E668">
        <v>446.70069999999998</v>
      </c>
      <c r="F668">
        <v>443.34500000000003</v>
      </c>
    </row>
    <row r="669" spans="1:6" x14ac:dyDescent="0.25">
      <c r="A669" s="1">
        <v>45152</v>
      </c>
      <c r="B669">
        <v>448.11</v>
      </c>
      <c r="C669">
        <v>47867440</v>
      </c>
      <c r="D669">
        <v>444.7</v>
      </c>
      <c r="E669">
        <v>448.11</v>
      </c>
      <c r="F669">
        <v>444.38</v>
      </c>
    </row>
    <row r="670" spans="1:6" x14ac:dyDescent="0.25">
      <c r="A670" s="1">
        <v>45153</v>
      </c>
      <c r="B670">
        <v>442.89</v>
      </c>
      <c r="C670">
        <v>75707530</v>
      </c>
      <c r="D670">
        <v>446.27</v>
      </c>
      <c r="E670">
        <v>446.64</v>
      </c>
      <c r="F670">
        <v>442.3</v>
      </c>
    </row>
    <row r="671" spans="1:6" x14ac:dyDescent="0.25">
      <c r="A671" s="1">
        <v>45154</v>
      </c>
      <c r="B671">
        <v>439.64</v>
      </c>
      <c r="C671">
        <v>80107210</v>
      </c>
      <c r="D671">
        <v>442.46</v>
      </c>
      <c r="E671">
        <v>444.18</v>
      </c>
      <c r="F671">
        <v>439.53</v>
      </c>
    </row>
    <row r="672" spans="1:6" x14ac:dyDescent="0.25">
      <c r="A672" s="1">
        <v>45155</v>
      </c>
      <c r="B672">
        <v>436.29</v>
      </c>
      <c r="C672">
        <v>95711320</v>
      </c>
      <c r="D672">
        <v>441.16</v>
      </c>
      <c r="E672">
        <v>441.43</v>
      </c>
      <c r="F672">
        <v>435.75</v>
      </c>
    </row>
    <row r="673" spans="1:6" x14ac:dyDescent="0.25">
      <c r="A673" s="1">
        <v>45156</v>
      </c>
      <c r="B673">
        <v>436.5</v>
      </c>
      <c r="C673">
        <v>98851960</v>
      </c>
      <c r="D673">
        <v>433.37</v>
      </c>
      <c r="E673">
        <v>437.57</v>
      </c>
      <c r="F673">
        <v>433.01</v>
      </c>
    </row>
    <row r="674" spans="1:6" x14ac:dyDescent="0.25">
      <c r="A674" s="1">
        <v>45159</v>
      </c>
      <c r="B674">
        <v>439.34</v>
      </c>
      <c r="C674">
        <v>68718960</v>
      </c>
      <c r="D674">
        <v>437.55</v>
      </c>
      <c r="E674">
        <v>440.11</v>
      </c>
      <c r="F674">
        <v>435.32</v>
      </c>
    </row>
    <row r="675" spans="1:6" x14ac:dyDescent="0.25">
      <c r="A675" s="1">
        <v>45160</v>
      </c>
      <c r="B675">
        <v>438.15</v>
      </c>
      <c r="C675">
        <v>65062860</v>
      </c>
      <c r="D675">
        <v>441.18</v>
      </c>
      <c r="E675">
        <v>441.18</v>
      </c>
      <c r="F675">
        <v>437.57</v>
      </c>
    </row>
    <row r="676" spans="1:6" x14ac:dyDescent="0.25">
      <c r="A676" s="1">
        <v>45161</v>
      </c>
      <c r="B676">
        <v>443.03</v>
      </c>
      <c r="C676">
        <v>68441020</v>
      </c>
      <c r="D676">
        <v>439.25</v>
      </c>
      <c r="E676">
        <v>443.67</v>
      </c>
      <c r="F676">
        <v>439.1</v>
      </c>
    </row>
    <row r="677" spans="1:6" x14ac:dyDescent="0.25">
      <c r="A677" s="1">
        <v>45162</v>
      </c>
      <c r="B677">
        <v>436.89</v>
      </c>
      <c r="C677">
        <v>88517270</v>
      </c>
      <c r="D677">
        <v>444.69</v>
      </c>
      <c r="E677">
        <v>445.22</v>
      </c>
      <c r="F677">
        <v>436.85500000000002</v>
      </c>
    </row>
    <row r="678" spans="1:6" x14ac:dyDescent="0.25">
      <c r="A678" s="1">
        <v>45163</v>
      </c>
      <c r="B678">
        <v>439.97</v>
      </c>
      <c r="C678">
        <v>102325100</v>
      </c>
      <c r="D678">
        <v>438.68</v>
      </c>
      <c r="E678">
        <v>441.3</v>
      </c>
      <c r="F678">
        <v>435</v>
      </c>
    </row>
    <row r="679" spans="1:6" x14ac:dyDescent="0.25">
      <c r="A679" s="1">
        <v>45166</v>
      </c>
      <c r="B679">
        <v>442.76</v>
      </c>
      <c r="C679">
        <v>61595390</v>
      </c>
      <c r="D679">
        <v>442.24</v>
      </c>
      <c r="E679">
        <v>443.4</v>
      </c>
      <c r="F679">
        <v>439.97280000000001</v>
      </c>
    </row>
    <row r="680" spans="1:6" x14ac:dyDescent="0.25">
      <c r="A680" s="1">
        <v>45167</v>
      </c>
      <c r="B680">
        <v>449.16</v>
      </c>
      <c r="C680">
        <v>83081920</v>
      </c>
      <c r="D680">
        <v>442.65</v>
      </c>
      <c r="E680">
        <v>449.45</v>
      </c>
      <c r="F680">
        <v>442.46</v>
      </c>
    </row>
    <row r="681" spans="1:6" x14ac:dyDescent="0.25">
      <c r="A681" s="1">
        <v>45168</v>
      </c>
      <c r="B681">
        <v>451.01</v>
      </c>
      <c r="C681">
        <v>69053910</v>
      </c>
      <c r="D681">
        <v>449.51</v>
      </c>
      <c r="E681">
        <v>451.67</v>
      </c>
      <c r="F681">
        <v>448.78</v>
      </c>
    </row>
    <row r="682" spans="1:6" x14ac:dyDescent="0.25">
      <c r="A682" s="1">
        <v>45169</v>
      </c>
      <c r="B682">
        <v>450.35</v>
      </c>
      <c r="C682">
        <v>66084560</v>
      </c>
      <c r="D682">
        <v>451.65</v>
      </c>
      <c r="E682">
        <v>452.83</v>
      </c>
      <c r="F682">
        <v>450.16</v>
      </c>
    </row>
    <row r="683" spans="1:6" x14ac:dyDescent="0.25">
      <c r="A683" s="1">
        <v>45170</v>
      </c>
      <c r="B683">
        <v>451.19</v>
      </c>
      <c r="C683">
        <v>58944100</v>
      </c>
      <c r="D683">
        <v>453.17</v>
      </c>
      <c r="E683">
        <v>453.67</v>
      </c>
      <c r="F683">
        <v>449.68</v>
      </c>
    </row>
    <row r="684" spans="1:6" x14ac:dyDescent="0.25">
      <c r="A684" s="1">
        <v>45174</v>
      </c>
      <c r="B684">
        <v>449.24</v>
      </c>
      <c r="C684">
        <v>55166210</v>
      </c>
      <c r="D684">
        <v>450.73</v>
      </c>
      <c r="E684">
        <v>451.06</v>
      </c>
      <c r="F684">
        <v>449.17</v>
      </c>
    </row>
    <row r="685" spans="1:6" x14ac:dyDescent="0.25">
      <c r="A685" s="1">
        <v>45175</v>
      </c>
      <c r="B685">
        <v>446.22</v>
      </c>
      <c r="C685">
        <v>70758510</v>
      </c>
      <c r="D685">
        <v>448.4</v>
      </c>
      <c r="E685">
        <v>448.51</v>
      </c>
      <c r="F685">
        <v>443.81</v>
      </c>
    </row>
    <row r="686" spans="1:6" x14ac:dyDescent="0.25">
      <c r="A686" s="1">
        <v>45176</v>
      </c>
      <c r="B686">
        <v>444.85</v>
      </c>
      <c r="C686">
        <v>70355430</v>
      </c>
      <c r="D686">
        <v>443.11</v>
      </c>
      <c r="E686">
        <v>445.55</v>
      </c>
      <c r="F686">
        <v>442.75</v>
      </c>
    </row>
    <row r="687" spans="1:6" x14ac:dyDescent="0.25">
      <c r="A687" s="1">
        <v>45177</v>
      </c>
      <c r="B687">
        <v>445.52</v>
      </c>
      <c r="C687">
        <v>62068440</v>
      </c>
      <c r="D687">
        <v>444.9</v>
      </c>
      <c r="E687">
        <v>447.11</v>
      </c>
      <c r="F687">
        <v>444.53</v>
      </c>
    </row>
    <row r="688" spans="1:6" x14ac:dyDescent="0.25">
      <c r="A688" s="1">
        <v>45180</v>
      </c>
      <c r="B688">
        <v>448.45</v>
      </c>
      <c r="C688">
        <v>60180120</v>
      </c>
      <c r="D688">
        <v>448.24</v>
      </c>
      <c r="E688">
        <v>448.77</v>
      </c>
      <c r="F688">
        <v>446.4699</v>
      </c>
    </row>
    <row r="689" spans="1:6" x14ac:dyDescent="0.25">
      <c r="A689" s="1">
        <v>45181</v>
      </c>
      <c r="B689">
        <v>445.99</v>
      </c>
      <c r="C689">
        <v>67565420</v>
      </c>
      <c r="D689">
        <v>446.95</v>
      </c>
      <c r="E689">
        <v>448.53</v>
      </c>
      <c r="F689">
        <v>445.39</v>
      </c>
    </row>
    <row r="690" spans="1:6" x14ac:dyDescent="0.25">
      <c r="A690" s="1">
        <v>45182</v>
      </c>
      <c r="B690">
        <v>446.51</v>
      </c>
      <c r="C690">
        <v>60199270</v>
      </c>
      <c r="D690">
        <v>446.22</v>
      </c>
      <c r="E690">
        <v>447.71</v>
      </c>
      <c r="F690">
        <v>445.07929999999999</v>
      </c>
    </row>
    <row r="691" spans="1:6" x14ac:dyDescent="0.25">
      <c r="A691" s="1">
        <v>45183</v>
      </c>
      <c r="B691">
        <v>450.36</v>
      </c>
      <c r="C691">
        <v>83430810</v>
      </c>
      <c r="D691">
        <v>449.07</v>
      </c>
      <c r="E691">
        <v>451.08</v>
      </c>
      <c r="F691">
        <v>447.71499999999997</v>
      </c>
    </row>
    <row r="692" spans="1:6" x14ac:dyDescent="0.25">
      <c r="A692" s="1">
        <v>45184</v>
      </c>
      <c r="B692">
        <v>443.37</v>
      </c>
      <c r="C692">
        <v>111848900</v>
      </c>
      <c r="D692">
        <v>447.14</v>
      </c>
      <c r="E692">
        <v>447.48</v>
      </c>
      <c r="F692">
        <v>442.92</v>
      </c>
    </row>
    <row r="693" spans="1:6" x14ac:dyDescent="0.25">
      <c r="A693" s="1">
        <v>45187</v>
      </c>
      <c r="B693">
        <v>443.63</v>
      </c>
      <c r="C693">
        <v>55752210</v>
      </c>
      <c r="D693">
        <v>443.05</v>
      </c>
      <c r="E693">
        <v>444.97</v>
      </c>
      <c r="F693">
        <v>442.56</v>
      </c>
    </row>
    <row r="694" spans="1:6" x14ac:dyDescent="0.25">
      <c r="A694" s="1">
        <v>45188</v>
      </c>
      <c r="B694">
        <v>442.71</v>
      </c>
      <c r="C694">
        <v>66514650</v>
      </c>
      <c r="D694">
        <v>442.68</v>
      </c>
      <c r="E694">
        <v>443.29</v>
      </c>
      <c r="F694">
        <v>439.94</v>
      </c>
    </row>
    <row r="695" spans="1:6" x14ac:dyDescent="0.25">
      <c r="A695" s="1">
        <v>45189</v>
      </c>
      <c r="B695">
        <v>438.64</v>
      </c>
      <c r="C695">
        <v>82562600</v>
      </c>
      <c r="D695">
        <v>444.01</v>
      </c>
      <c r="E695">
        <v>444.435</v>
      </c>
      <c r="F695">
        <v>438.43</v>
      </c>
    </row>
    <row r="696" spans="1:6" x14ac:dyDescent="0.25">
      <c r="A696" s="1">
        <v>45190</v>
      </c>
      <c r="B696">
        <v>431.39</v>
      </c>
      <c r="C696">
        <v>104095800</v>
      </c>
      <c r="D696">
        <v>435.7</v>
      </c>
      <c r="E696">
        <v>435.97</v>
      </c>
      <c r="F696">
        <v>431.23</v>
      </c>
    </row>
    <row r="697" spans="1:6" x14ac:dyDescent="0.25">
      <c r="A697" s="1">
        <v>45191</v>
      </c>
      <c r="B697">
        <v>430.42</v>
      </c>
      <c r="C697">
        <v>100829700</v>
      </c>
      <c r="D697">
        <v>432.45</v>
      </c>
      <c r="E697">
        <v>434.1</v>
      </c>
      <c r="F697">
        <v>429.99</v>
      </c>
    </row>
    <row r="698" spans="1:6" x14ac:dyDescent="0.25">
      <c r="A698" s="1">
        <v>45194</v>
      </c>
      <c r="B698">
        <v>432.23</v>
      </c>
      <c r="C698">
        <v>70874530</v>
      </c>
      <c r="D698">
        <v>429.17</v>
      </c>
      <c r="E698">
        <v>432.27</v>
      </c>
      <c r="F698">
        <v>428.72</v>
      </c>
    </row>
    <row r="699" spans="1:6" x14ac:dyDescent="0.25">
      <c r="A699" s="1">
        <v>45195</v>
      </c>
      <c r="B699">
        <v>425.88</v>
      </c>
      <c r="C699">
        <v>96168440</v>
      </c>
      <c r="D699">
        <v>429.09</v>
      </c>
      <c r="E699">
        <v>429.82</v>
      </c>
      <c r="F699">
        <v>425.02</v>
      </c>
    </row>
    <row r="700" spans="1:6" x14ac:dyDescent="0.25">
      <c r="A700" s="1">
        <v>45196</v>
      </c>
      <c r="B700">
        <v>426.05</v>
      </c>
      <c r="C700">
        <v>104705800</v>
      </c>
      <c r="D700">
        <v>427.09</v>
      </c>
      <c r="E700">
        <v>427.67</v>
      </c>
      <c r="F700">
        <v>422.29</v>
      </c>
    </row>
    <row r="701" spans="1:6" x14ac:dyDescent="0.25">
      <c r="A701" s="1">
        <v>45197</v>
      </c>
      <c r="B701">
        <v>428.52</v>
      </c>
      <c r="C701">
        <v>92258310</v>
      </c>
      <c r="D701">
        <v>425.48</v>
      </c>
      <c r="E701">
        <v>430.24990000000003</v>
      </c>
      <c r="F701">
        <v>424.87</v>
      </c>
    </row>
    <row r="702" spans="1:6" x14ac:dyDescent="0.25">
      <c r="A702" s="1">
        <v>45198</v>
      </c>
      <c r="B702">
        <v>427.48</v>
      </c>
      <c r="C702">
        <v>115111300</v>
      </c>
      <c r="D702">
        <v>431.67</v>
      </c>
      <c r="E702">
        <v>431.85</v>
      </c>
      <c r="F702">
        <v>425.91</v>
      </c>
    </row>
    <row r="703" spans="1:6" x14ac:dyDescent="0.25">
      <c r="A703" s="1">
        <v>45201</v>
      </c>
      <c r="B703">
        <v>427.31</v>
      </c>
      <c r="C703">
        <v>83798600</v>
      </c>
      <c r="D703">
        <v>426.62</v>
      </c>
      <c r="E703">
        <v>428.6</v>
      </c>
      <c r="F703">
        <v>424.46</v>
      </c>
    </row>
    <row r="704" spans="1:6" x14ac:dyDescent="0.25">
      <c r="A704" s="1">
        <v>45202</v>
      </c>
      <c r="B704">
        <v>421.59</v>
      </c>
      <c r="C704">
        <v>103760600</v>
      </c>
      <c r="D704">
        <v>425.06</v>
      </c>
      <c r="E704">
        <v>427.37290000000002</v>
      </c>
      <c r="F704">
        <v>420.18</v>
      </c>
    </row>
    <row r="705" spans="1:6" x14ac:dyDescent="0.25">
      <c r="A705" s="1">
        <v>45203</v>
      </c>
      <c r="B705">
        <v>424.66</v>
      </c>
      <c r="C705">
        <v>87452970</v>
      </c>
      <c r="D705">
        <v>422.07</v>
      </c>
      <c r="E705">
        <v>425.42989999999998</v>
      </c>
      <c r="F705">
        <v>420.56</v>
      </c>
    </row>
    <row r="706" spans="1:6" x14ac:dyDescent="0.25">
      <c r="A706" s="1">
        <v>45204</v>
      </c>
      <c r="B706">
        <v>424.5</v>
      </c>
      <c r="C706">
        <v>70142740</v>
      </c>
      <c r="D706">
        <v>424.36</v>
      </c>
      <c r="E706">
        <v>425.37</v>
      </c>
      <c r="F706">
        <v>421.17009999999999</v>
      </c>
    </row>
    <row r="707" spans="1:6" x14ac:dyDescent="0.25">
      <c r="A707" s="1">
        <v>45205</v>
      </c>
      <c r="B707">
        <v>429.54</v>
      </c>
      <c r="C707">
        <v>113273300</v>
      </c>
      <c r="D707">
        <v>421.97</v>
      </c>
      <c r="E707">
        <v>431.125</v>
      </c>
      <c r="F707">
        <v>420.6</v>
      </c>
    </row>
    <row r="708" spans="1:6" x14ac:dyDescent="0.25">
      <c r="A708" s="1">
        <v>45208</v>
      </c>
      <c r="B708">
        <v>432.29</v>
      </c>
      <c r="C708">
        <v>80374360</v>
      </c>
      <c r="D708">
        <v>427.58</v>
      </c>
      <c r="E708">
        <v>432.88</v>
      </c>
      <c r="F708">
        <v>427.01010000000002</v>
      </c>
    </row>
    <row r="709" spans="1:6" x14ac:dyDescent="0.25">
      <c r="A709" s="1">
        <v>45209</v>
      </c>
      <c r="B709">
        <v>434.54</v>
      </c>
      <c r="C709">
        <v>78607270</v>
      </c>
      <c r="D709">
        <v>432.94</v>
      </c>
      <c r="E709">
        <v>437.22</v>
      </c>
      <c r="F709">
        <v>432.53</v>
      </c>
    </row>
    <row r="710" spans="1:6" x14ac:dyDescent="0.25">
      <c r="A710" s="1">
        <v>45210</v>
      </c>
      <c r="B710">
        <v>436.32</v>
      </c>
      <c r="C710">
        <v>62451740</v>
      </c>
      <c r="D710">
        <v>435.64</v>
      </c>
      <c r="E710">
        <v>436.58</v>
      </c>
      <c r="F710">
        <v>433.18</v>
      </c>
    </row>
    <row r="711" spans="1:6" x14ac:dyDescent="0.25">
      <c r="A711" s="1">
        <v>45211</v>
      </c>
      <c r="B711">
        <v>433.66</v>
      </c>
      <c r="C711">
        <v>81154230</v>
      </c>
      <c r="D711">
        <v>436.95</v>
      </c>
      <c r="E711">
        <v>437.33499999999998</v>
      </c>
      <c r="F711">
        <v>431.23</v>
      </c>
    </row>
    <row r="712" spans="1:6" x14ac:dyDescent="0.25">
      <c r="A712" s="1">
        <v>45212</v>
      </c>
      <c r="B712">
        <v>431.5</v>
      </c>
      <c r="C712">
        <v>95201130</v>
      </c>
      <c r="D712">
        <v>435.21</v>
      </c>
      <c r="E712">
        <v>436.45</v>
      </c>
      <c r="F712">
        <v>429.88</v>
      </c>
    </row>
    <row r="713" spans="1:6" x14ac:dyDescent="0.25">
      <c r="A713" s="1">
        <v>45215</v>
      </c>
      <c r="B713">
        <v>436.04</v>
      </c>
      <c r="C713">
        <v>75433190</v>
      </c>
      <c r="D713">
        <v>433.82</v>
      </c>
      <c r="E713">
        <v>437.14</v>
      </c>
      <c r="F713">
        <v>433.57</v>
      </c>
    </row>
    <row r="714" spans="1:6" x14ac:dyDescent="0.25">
      <c r="A714" s="1">
        <v>45216</v>
      </c>
      <c r="B714">
        <v>436.02</v>
      </c>
      <c r="C714">
        <v>75324710</v>
      </c>
      <c r="D714">
        <v>432.81</v>
      </c>
      <c r="E714">
        <v>438.14</v>
      </c>
      <c r="F714">
        <v>432.45</v>
      </c>
    </row>
    <row r="715" spans="1:6" x14ac:dyDescent="0.25">
      <c r="A715" s="1">
        <v>45217</v>
      </c>
      <c r="B715">
        <v>430.21</v>
      </c>
      <c r="C715">
        <v>93559800</v>
      </c>
      <c r="D715">
        <v>434.19</v>
      </c>
      <c r="E715">
        <v>435.18</v>
      </c>
      <c r="F715">
        <v>429.09</v>
      </c>
    </row>
    <row r="716" spans="1:6" x14ac:dyDescent="0.25">
      <c r="A716" s="1">
        <v>45218</v>
      </c>
      <c r="B716">
        <v>426.43</v>
      </c>
      <c r="C716">
        <v>121323000</v>
      </c>
      <c r="D716">
        <v>430.95</v>
      </c>
      <c r="E716">
        <v>432.82</v>
      </c>
      <c r="F716">
        <v>425.72500000000002</v>
      </c>
    </row>
    <row r="717" spans="1:6" x14ac:dyDescent="0.25">
      <c r="A717" s="1">
        <v>45219</v>
      </c>
      <c r="B717">
        <v>421.19</v>
      </c>
      <c r="C717">
        <v>123919900</v>
      </c>
      <c r="D717">
        <v>425.98</v>
      </c>
      <c r="E717">
        <v>426.54</v>
      </c>
      <c r="F717">
        <v>421.08</v>
      </c>
    </row>
    <row r="718" spans="1:6" x14ac:dyDescent="0.25">
      <c r="A718" s="1">
        <v>45222</v>
      </c>
      <c r="B718">
        <v>420.46</v>
      </c>
      <c r="C718">
        <v>92035100</v>
      </c>
      <c r="D718">
        <v>419.61</v>
      </c>
      <c r="E718">
        <v>424.45</v>
      </c>
      <c r="F718">
        <v>417.8</v>
      </c>
    </row>
    <row r="719" spans="1:6" x14ac:dyDescent="0.25">
      <c r="A719" s="1">
        <v>45223</v>
      </c>
      <c r="B719">
        <v>423.63</v>
      </c>
      <c r="C719">
        <v>78564240</v>
      </c>
      <c r="D719">
        <v>422.65</v>
      </c>
      <c r="E719">
        <v>424.82</v>
      </c>
      <c r="F719">
        <v>420.74</v>
      </c>
    </row>
    <row r="720" spans="1:6" x14ac:dyDescent="0.25">
      <c r="A720" s="1">
        <v>45224</v>
      </c>
      <c r="B720">
        <v>417.55</v>
      </c>
      <c r="C720">
        <v>94223200</v>
      </c>
      <c r="D720">
        <v>421.89</v>
      </c>
      <c r="E720">
        <v>421.92</v>
      </c>
      <c r="F720">
        <v>417.01499999999999</v>
      </c>
    </row>
    <row r="721" spans="1:6" x14ac:dyDescent="0.25">
      <c r="A721" s="1">
        <v>45225</v>
      </c>
      <c r="B721">
        <v>412.55</v>
      </c>
      <c r="C721">
        <v>115156800</v>
      </c>
      <c r="D721">
        <v>416.45</v>
      </c>
      <c r="E721">
        <v>417.32499999999999</v>
      </c>
      <c r="F721">
        <v>411.6</v>
      </c>
    </row>
    <row r="722" spans="1:6" x14ac:dyDescent="0.25">
      <c r="A722" s="1">
        <v>45226</v>
      </c>
      <c r="B722">
        <v>410.68</v>
      </c>
      <c r="C722">
        <v>107367700</v>
      </c>
      <c r="D722">
        <v>414.19</v>
      </c>
      <c r="E722">
        <v>414.6</v>
      </c>
      <c r="F722">
        <v>409.21</v>
      </c>
    </row>
    <row r="723" spans="1:6" x14ac:dyDescent="0.25">
      <c r="A723" s="1">
        <v>45229</v>
      </c>
      <c r="B723">
        <v>415.59</v>
      </c>
      <c r="C723">
        <v>86562680</v>
      </c>
      <c r="D723">
        <v>413.56</v>
      </c>
      <c r="E723">
        <v>416.68</v>
      </c>
      <c r="F723">
        <v>412.22</v>
      </c>
    </row>
    <row r="724" spans="1:6" x14ac:dyDescent="0.25">
      <c r="A724" s="1">
        <v>45230</v>
      </c>
      <c r="B724">
        <v>418.2</v>
      </c>
      <c r="C724">
        <v>79665150</v>
      </c>
      <c r="D724">
        <v>416.18</v>
      </c>
      <c r="E724">
        <v>418.53</v>
      </c>
      <c r="F724">
        <v>414.21</v>
      </c>
    </row>
    <row r="725" spans="1:6" x14ac:dyDescent="0.25">
      <c r="A725" s="1">
        <v>45231</v>
      </c>
      <c r="B725">
        <v>422.66</v>
      </c>
      <c r="C725">
        <v>98068120</v>
      </c>
      <c r="D725">
        <v>419.2</v>
      </c>
      <c r="E725">
        <v>423.5</v>
      </c>
      <c r="F725">
        <v>418.6499</v>
      </c>
    </row>
    <row r="726" spans="1:6" x14ac:dyDescent="0.25">
      <c r="A726" s="1">
        <v>45232</v>
      </c>
      <c r="B726">
        <v>430.76</v>
      </c>
      <c r="C726">
        <v>94938910</v>
      </c>
      <c r="D726">
        <v>426.58</v>
      </c>
      <c r="E726">
        <v>430.91500000000002</v>
      </c>
      <c r="F726">
        <v>426.56</v>
      </c>
    </row>
    <row r="727" spans="1:6" x14ac:dyDescent="0.25">
      <c r="A727" s="1">
        <v>45233</v>
      </c>
      <c r="B727">
        <v>434.69</v>
      </c>
      <c r="C727">
        <v>100167800</v>
      </c>
      <c r="D727">
        <v>433.14</v>
      </c>
      <c r="E727">
        <v>436.29</v>
      </c>
      <c r="F727">
        <v>433.01</v>
      </c>
    </row>
    <row r="728" spans="1:6" x14ac:dyDescent="0.25">
      <c r="A728" s="1">
        <v>45236</v>
      </c>
      <c r="B728">
        <v>435.69</v>
      </c>
      <c r="C728">
        <v>67831660</v>
      </c>
      <c r="D728">
        <v>435.47</v>
      </c>
      <c r="E728">
        <v>436.14980000000003</v>
      </c>
      <c r="F728">
        <v>433.68</v>
      </c>
    </row>
    <row r="729" spans="1:6" x14ac:dyDescent="0.25">
      <c r="A729" s="1">
        <v>45237</v>
      </c>
      <c r="B729">
        <v>436.93</v>
      </c>
      <c r="C729">
        <v>64256110</v>
      </c>
      <c r="D729">
        <v>435.69</v>
      </c>
      <c r="E729">
        <v>437.58499999999998</v>
      </c>
      <c r="F729">
        <v>434.51</v>
      </c>
    </row>
    <row r="730" spans="1:6" x14ac:dyDescent="0.25">
      <c r="A730" s="1">
        <v>45238</v>
      </c>
      <c r="B730">
        <v>437.25</v>
      </c>
      <c r="C730">
        <v>61746030</v>
      </c>
      <c r="D730">
        <v>437.55</v>
      </c>
      <c r="E730">
        <v>438.09</v>
      </c>
      <c r="F730">
        <v>434.87</v>
      </c>
    </row>
    <row r="731" spans="1:6" x14ac:dyDescent="0.25">
      <c r="A731" s="1">
        <v>45239</v>
      </c>
      <c r="B731">
        <v>433.84</v>
      </c>
      <c r="C731">
        <v>83174420</v>
      </c>
      <c r="D731">
        <v>438.43</v>
      </c>
      <c r="E731">
        <v>438.47</v>
      </c>
      <c r="F731">
        <v>433.4</v>
      </c>
    </row>
    <row r="732" spans="1:6" x14ac:dyDescent="0.25">
      <c r="A732" s="1">
        <v>45240</v>
      </c>
      <c r="B732">
        <v>440.61</v>
      </c>
      <c r="C732">
        <v>89558050</v>
      </c>
      <c r="D732">
        <v>435.98</v>
      </c>
      <c r="E732">
        <v>440.93</v>
      </c>
      <c r="F732">
        <v>433.83350000000002</v>
      </c>
    </row>
    <row r="733" spans="1:6" x14ac:dyDescent="0.25">
      <c r="A733" s="1">
        <v>45243</v>
      </c>
      <c r="B733">
        <v>440.19</v>
      </c>
      <c r="C733">
        <v>52236070</v>
      </c>
      <c r="D733">
        <v>439.23</v>
      </c>
      <c r="E733">
        <v>441.33</v>
      </c>
      <c r="F733">
        <v>438.42</v>
      </c>
    </row>
    <row r="734" spans="1:6" x14ac:dyDescent="0.25">
      <c r="A734" s="1">
        <v>45244</v>
      </c>
      <c r="B734">
        <v>448.73</v>
      </c>
      <c r="C734">
        <v>97176940</v>
      </c>
      <c r="D734">
        <v>446.32</v>
      </c>
      <c r="E734">
        <v>450.06</v>
      </c>
      <c r="F734">
        <v>446.09</v>
      </c>
    </row>
    <row r="735" spans="1:6" x14ac:dyDescent="0.25">
      <c r="A735" s="1">
        <v>45245</v>
      </c>
      <c r="B735">
        <v>449.68</v>
      </c>
      <c r="C735">
        <v>77327570</v>
      </c>
      <c r="D735">
        <v>450.11</v>
      </c>
      <c r="E735">
        <v>451.38</v>
      </c>
      <c r="F735">
        <v>448.8</v>
      </c>
    </row>
    <row r="736" spans="1:6" x14ac:dyDescent="0.25">
      <c r="A736" s="1">
        <v>45246</v>
      </c>
      <c r="B736">
        <v>450.23</v>
      </c>
      <c r="C736">
        <v>66665800</v>
      </c>
      <c r="D736">
        <v>449.22</v>
      </c>
      <c r="E736">
        <v>450.56</v>
      </c>
      <c r="F736">
        <v>448.12</v>
      </c>
    </row>
    <row r="737" spans="1:6" x14ac:dyDescent="0.25">
      <c r="A737" s="1">
        <v>45247</v>
      </c>
      <c r="B737">
        <v>450.79</v>
      </c>
      <c r="C737">
        <v>83193900</v>
      </c>
      <c r="D737">
        <v>450.24</v>
      </c>
      <c r="E737">
        <v>451.42</v>
      </c>
      <c r="F737">
        <v>449.29</v>
      </c>
    </row>
    <row r="738" spans="1:6" x14ac:dyDescent="0.25">
      <c r="A738" s="1">
        <v>45250</v>
      </c>
      <c r="B738">
        <v>454.26</v>
      </c>
      <c r="C738">
        <v>70055630</v>
      </c>
      <c r="D738">
        <v>450.53</v>
      </c>
      <c r="E738">
        <v>455.125</v>
      </c>
      <c r="F738">
        <v>450.52</v>
      </c>
    </row>
    <row r="739" spans="1:6" x14ac:dyDescent="0.25">
      <c r="A739" s="1">
        <v>45251</v>
      </c>
      <c r="B739">
        <v>453.27</v>
      </c>
      <c r="C739">
        <v>49244640</v>
      </c>
      <c r="D739">
        <v>453.18419999999998</v>
      </c>
      <c r="E739">
        <v>454.13099999999997</v>
      </c>
      <c r="F739">
        <v>451.9599</v>
      </c>
    </row>
    <row r="740" spans="1:6" x14ac:dyDescent="0.25">
      <c r="A740" s="1">
        <v>45252</v>
      </c>
      <c r="B740">
        <v>455.02</v>
      </c>
      <c r="C740">
        <v>59446570</v>
      </c>
      <c r="D740">
        <v>454.98</v>
      </c>
      <c r="E740">
        <v>456.38</v>
      </c>
      <c r="F740">
        <v>453.8895</v>
      </c>
    </row>
    <row r="741" spans="1:6" x14ac:dyDescent="0.25">
      <c r="A741" s="1">
        <v>45254</v>
      </c>
      <c r="B741">
        <v>455.3</v>
      </c>
      <c r="C741">
        <v>29737380</v>
      </c>
      <c r="D741">
        <v>455.07</v>
      </c>
      <c r="E741">
        <v>455.5</v>
      </c>
      <c r="F741">
        <v>454.73</v>
      </c>
    </row>
    <row r="742" spans="1:6" x14ac:dyDescent="0.25">
      <c r="A742" s="1">
        <v>45257</v>
      </c>
      <c r="B742">
        <v>454.48</v>
      </c>
      <c r="C742">
        <v>50505990</v>
      </c>
      <c r="D742">
        <v>454.65</v>
      </c>
      <c r="E742">
        <v>455.49009999999998</v>
      </c>
      <c r="F742">
        <v>454.07990000000001</v>
      </c>
    </row>
    <row r="743" spans="1:6" x14ac:dyDescent="0.25">
      <c r="A743" s="1">
        <v>45258</v>
      </c>
      <c r="B743">
        <v>454.93</v>
      </c>
      <c r="C743">
        <v>62115010</v>
      </c>
      <c r="D743">
        <v>454.08</v>
      </c>
      <c r="E743">
        <v>456.27</v>
      </c>
      <c r="F743">
        <v>453.5</v>
      </c>
    </row>
    <row r="744" spans="1:6" x14ac:dyDescent="0.25">
      <c r="A744" s="1">
        <v>45259</v>
      </c>
      <c r="B744">
        <v>454.61</v>
      </c>
      <c r="C744">
        <v>63145990</v>
      </c>
      <c r="D744">
        <v>457.15</v>
      </c>
      <c r="E744">
        <v>458.32</v>
      </c>
      <c r="F744">
        <v>454.2</v>
      </c>
    </row>
    <row r="745" spans="1:6" x14ac:dyDescent="0.25">
      <c r="A745" s="1">
        <v>45260</v>
      </c>
      <c r="B745">
        <v>456.4</v>
      </c>
      <c r="C745">
        <v>79752700</v>
      </c>
      <c r="D745">
        <v>455.48</v>
      </c>
      <c r="E745">
        <v>456.76</v>
      </c>
      <c r="F745">
        <v>453.34</v>
      </c>
    </row>
    <row r="746" spans="1:6" x14ac:dyDescent="0.25">
      <c r="A746" s="1">
        <v>45261</v>
      </c>
      <c r="B746">
        <v>459.1</v>
      </c>
      <c r="C746">
        <v>89183400</v>
      </c>
      <c r="D746">
        <v>455.77</v>
      </c>
      <c r="E746">
        <v>459.65</v>
      </c>
      <c r="F746">
        <v>455.16</v>
      </c>
    </row>
    <row r="747" spans="1:6" x14ac:dyDescent="0.25">
      <c r="A747" s="1">
        <v>45264</v>
      </c>
      <c r="B747">
        <v>456.69</v>
      </c>
      <c r="C747">
        <v>72430890</v>
      </c>
      <c r="D747">
        <v>455.6</v>
      </c>
      <c r="E747">
        <v>459.12060000000002</v>
      </c>
      <c r="F747">
        <v>454.34</v>
      </c>
    </row>
    <row r="748" spans="1:6" x14ac:dyDescent="0.25">
      <c r="A748" s="1">
        <v>45265</v>
      </c>
      <c r="B748">
        <v>456.6</v>
      </c>
      <c r="C748">
        <v>69793470</v>
      </c>
      <c r="D748">
        <v>455.26</v>
      </c>
      <c r="E748">
        <v>457.59</v>
      </c>
      <c r="F748">
        <v>454.87</v>
      </c>
    </row>
    <row r="749" spans="1:6" x14ac:dyDescent="0.25">
      <c r="A749" s="1">
        <v>45266</v>
      </c>
      <c r="B749">
        <v>454.76</v>
      </c>
      <c r="C749">
        <v>69124690</v>
      </c>
      <c r="D749">
        <v>458.81</v>
      </c>
      <c r="E749">
        <v>458.84</v>
      </c>
      <c r="F749">
        <v>454.31</v>
      </c>
    </row>
    <row r="750" spans="1:6" x14ac:dyDescent="0.25">
      <c r="A750" s="1">
        <v>45267</v>
      </c>
      <c r="B750">
        <v>458.23</v>
      </c>
      <c r="C750">
        <v>66995450</v>
      </c>
      <c r="D750">
        <v>456.91</v>
      </c>
      <c r="E750">
        <v>458.9</v>
      </c>
      <c r="F750">
        <v>456.29</v>
      </c>
    </row>
    <row r="751" spans="1:6" x14ac:dyDescent="0.25">
      <c r="A751" s="1">
        <v>45268</v>
      </c>
      <c r="B751">
        <v>460.2</v>
      </c>
      <c r="C751">
        <v>83194400</v>
      </c>
      <c r="D751">
        <v>457.46</v>
      </c>
      <c r="E751">
        <v>460.745</v>
      </c>
      <c r="F751">
        <v>457.21</v>
      </c>
    </row>
    <row r="752" spans="1:6" x14ac:dyDescent="0.25">
      <c r="A752" s="1">
        <v>45271</v>
      </c>
      <c r="B752">
        <v>461.99</v>
      </c>
      <c r="C752">
        <v>65002250</v>
      </c>
      <c r="D752">
        <v>459.69</v>
      </c>
      <c r="E752">
        <v>462.17</v>
      </c>
      <c r="F752">
        <v>459.47</v>
      </c>
    </row>
    <row r="753" spans="1:6" x14ac:dyDescent="0.25">
      <c r="A753" s="1">
        <v>45272</v>
      </c>
      <c r="B753">
        <v>464.1</v>
      </c>
      <c r="C753">
        <v>68327620</v>
      </c>
      <c r="D753">
        <v>461.63</v>
      </c>
      <c r="E753">
        <v>464.2</v>
      </c>
      <c r="F753">
        <v>460.6</v>
      </c>
    </row>
    <row r="754" spans="1:6" x14ac:dyDescent="0.25">
      <c r="A754" s="1">
        <v>45273</v>
      </c>
      <c r="B754">
        <v>470.5</v>
      </c>
      <c r="C754">
        <v>93277960</v>
      </c>
      <c r="D754">
        <v>464.49</v>
      </c>
      <c r="E754">
        <v>470.75990000000002</v>
      </c>
      <c r="F754">
        <v>464.12</v>
      </c>
    </row>
    <row r="755" spans="1:6" x14ac:dyDescent="0.25">
      <c r="A755" s="1">
        <v>45274</v>
      </c>
      <c r="B755">
        <v>472.01</v>
      </c>
      <c r="C755">
        <v>119026000</v>
      </c>
      <c r="D755">
        <v>472.5</v>
      </c>
      <c r="E755">
        <v>473.73</v>
      </c>
      <c r="F755">
        <v>469.25</v>
      </c>
    </row>
    <row r="756" spans="1:6" x14ac:dyDescent="0.25">
      <c r="A756" s="1">
        <v>45275</v>
      </c>
      <c r="B756">
        <v>469.33</v>
      </c>
      <c r="C756">
        <v>141553700</v>
      </c>
      <c r="D756">
        <v>469.49</v>
      </c>
      <c r="E756">
        <v>470.7</v>
      </c>
      <c r="F756">
        <v>467.42630000000003</v>
      </c>
    </row>
    <row r="757" spans="1:6" x14ac:dyDescent="0.25">
      <c r="A757" s="1">
        <v>45278</v>
      </c>
      <c r="B757">
        <v>471.97</v>
      </c>
      <c r="C757">
        <v>70375290</v>
      </c>
      <c r="D757">
        <v>470.98</v>
      </c>
      <c r="E757">
        <v>472.98</v>
      </c>
      <c r="F757">
        <v>469.8929</v>
      </c>
    </row>
    <row r="758" spans="1:6" x14ac:dyDescent="0.25">
      <c r="A758" s="1">
        <v>45279</v>
      </c>
      <c r="B758">
        <v>474.84</v>
      </c>
      <c r="C758">
        <v>55761810</v>
      </c>
      <c r="D758">
        <v>472.53</v>
      </c>
      <c r="E758">
        <v>474.92</v>
      </c>
      <c r="F758">
        <v>472.45</v>
      </c>
    </row>
    <row r="759" spans="1:6" x14ac:dyDescent="0.25">
      <c r="A759" s="1">
        <v>45280</v>
      </c>
      <c r="B759">
        <v>468.26</v>
      </c>
      <c r="C759">
        <v>102921000</v>
      </c>
      <c r="D759">
        <v>473.96</v>
      </c>
      <c r="E759">
        <v>475.89499999999998</v>
      </c>
      <c r="F759">
        <v>467.82</v>
      </c>
    </row>
    <row r="760" spans="1:6" x14ac:dyDescent="0.25">
      <c r="A760" s="1">
        <v>45281</v>
      </c>
      <c r="B760">
        <v>472.7</v>
      </c>
      <c r="C760">
        <v>86667470</v>
      </c>
      <c r="D760">
        <v>471.33</v>
      </c>
      <c r="E760">
        <v>472.97500000000002</v>
      </c>
      <c r="F760">
        <v>468.84</v>
      </c>
    </row>
    <row r="761" spans="1:6" x14ac:dyDescent="0.25">
      <c r="A761" s="1">
        <v>45282</v>
      </c>
      <c r="B761">
        <v>473.65</v>
      </c>
      <c r="C761">
        <v>67160420</v>
      </c>
      <c r="D761">
        <v>473.86</v>
      </c>
      <c r="E761">
        <v>475.38</v>
      </c>
      <c r="F761">
        <v>471.7</v>
      </c>
    </row>
    <row r="762" spans="1:6" x14ac:dyDescent="0.25">
      <c r="A762" s="1">
        <v>45286</v>
      </c>
      <c r="B762">
        <v>475.65</v>
      </c>
      <c r="C762">
        <v>55386950</v>
      </c>
      <c r="D762">
        <v>474.07</v>
      </c>
      <c r="E762">
        <v>476.58</v>
      </c>
      <c r="F762">
        <v>473.99</v>
      </c>
    </row>
    <row r="763" spans="1:6" x14ac:dyDescent="0.25">
      <c r="A763" s="1">
        <v>45287</v>
      </c>
      <c r="B763">
        <v>476.51</v>
      </c>
      <c r="C763">
        <v>68000310</v>
      </c>
      <c r="D763">
        <v>475.44</v>
      </c>
      <c r="E763">
        <v>476.66</v>
      </c>
      <c r="F763">
        <v>474.89</v>
      </c>
    </row>
    <row r="764" spans="1:6" x14ac:dyDescent="0.25">
      <c r="A764" s="1">
        <v>45288</v>
      </c>
      <c r="B764">
        <v>476.69</v>
      </c>
      <c r="C764">
        <v>77158120</v>
      </c>
      <c r="D764">
        <v>476.88</v>
      </c>
      <c r="E764">
        <v>477.55</v>
      </c>
      <c r="F764">
        <v>476.26</v>
      </c>
    </row>
    <row r="765" spans="1:6" x14ac:dyDescent="0.25">
      <c r="A765" s="1">
        <v>45289</v>
      </c>
      <c r="B765">
        <v>475.31</v>
      </c>
      <c r="C765">
        <v>122283100</v>
      </c>
      <c r="D765">
        <v>476.49</v>
      </c>
      <c r="E765">
        <v>477.03</v>
      </c>
      <c r="F765">
        <v>473.3</v>
      </c>
    </row>
    <row r="766" spans="1:6" x14ac:dyDescent="0.25">
      <c r="A766" s="1">
        <v>45293</v>
      </c>
      <c r="B766">
        <v>472.65</v>
      </c>
      <c r="C766">
        <v>123007800</v>
      </c>
      <c r="D766">
        <v>472.16</v>
      </c>
      <c r="E766">
        <v>473.67</v>
      </c>
      <c r="F766">
        <v>470.49</v>
      </c>
    </row>
    <row r="767" spans="1:6" x14ac:dyDescent="0.25">
      <c r="A767" s="1">
        <v>45294</v>
      </c>
      <c r="B767">
        <v>468.79</v>
      </c>
      <c r="C767">
        <v>103585900</v>
      </c>
      <c r="D767">
        <v>470.43</v>
      </c>
      <c r="E767">
        <v>471.19</v>
      </c>
      <c r="F767">
        <v>468.17</v>
      </c>
    </row>
    <row r="768" spans="1:6" x14ac:dyDescent="0.25">
      <c r="A768" s="1">
        <v>45295</v>
      </c>
      <c r="B768">
        <v>467.28</v>
      </c>
      <c r="C768">
        <v>84232170</v>
      </c>
      <c r="D768">
        <v>468.3</v>
      </c>
      <c r="E768">
        <v>470.96</v>
      </c>
      <c r="F768">
        <v>467.05</v>
      </c>
    </row>
    <row r="769" spans="1:6" x14ac:dyDescent="0.25">
      <c r="A769" s="1">
        <v>45296</v>
      </c>
      <c r="B769">
        <v>467.92</v>
      </c>
      <c r="C769">
        <v>86118910</v>
      </c>
      <c r="D769">
        <v>467.49</v>
      </c>
      <c r="E769">
        <v>470.44</v>
      </c>
      <c r="F769">
        <v>466.43</v>
      </c>
    </row>
    <row r="770" spans="1:6" x14ac:dyDescent="0.25">
      <c r="A770" s="1">
        <v>45299</v>
      </c>
      <c r="B770">
        <v>474.6</v>
      </c>
      <c r="C770">
        <v>74879070</v>
      </c>
      <c r="D770">
        <v>468.43</v>
      </c>
      <c r="E770">
        <v>474.75</v>
      </c>
      <c r="F770">
        <v>468.3</v>
      </c>
    </row>
    <row r="771" spans="1:6" x14ac:dyDescent="0.25">
      <c r="A771" s="1">
        <v>45300</v>
      </c>
      <c r="B771">
        <v>473.88</v>
      </c>
      <c r="C771">
        <v>65931440</v>
      </c>
      <c r="D771">
        <v>471.87</v>
      </c>
      <c r="E771">
        <v>474.93</v>
      </c>
      <c r="F771">
        <v>471.35</v>
      </c>
    </row>
    <row r="772" spans="1:6" x14ac:dyDescent="0.25">
      <c r="A772" s="1">
        <v>45301</v>
      </c>
      <c r="B772">
        <v>476.56</v>
      </c>
      <c r="C772">
        <v>67310640</v>
      </c>
      <c r="D772">
        <v>474.16</v>
      </c>
      <c r="E772">
        <v>477.44810000000001</v>
      </c>
      <c r="F772">
        <v>473.87</v>
      </c>
    </row>
    <row r="773" spans="1:6" x14ac:dyDescent="0.25">
      <c r="A773" s="1">
        <v>45302</v>
      </c>
      <c r="B773">
        <v>476.35</v>
      </c>
      <c r="C773">
        <v>77940720</v>
      </c>
      <c r="D773">
        <v>477.59</v>
      </c>
      <c r="E773">
        <v>478.12</v>
      </c>
      <c r="F773">
        <v>472.26</v>
      </c>
    </row>
    <row r="774" spans="1:6" x14ac:dyDescent="0.25">
      <c r="A774" s="1">
        <v>45303</v>
      </c>
      <c r="B774">
        <v>476.68</v>
      </c>
      <c r="C774">
        <v>58026420</v>
      </c>
      <c r="D774">
        <v>477.84</v>
      </c>
      <c r="E774">
        <v>478.6</v>
      </c>
      <c r="F774">
        <v>475.23</v>
      </c>
    </row>
    <row r="775" spans="1:6" x14ac:dyDescent="0.25">
      <c r="A775" s="1">
        <v>45307</v>
      </c>
      <c r="B775">
        <v>474.93</v>
      </c>
      <c r="C775">
        <v>85014870</v>
      </c>
      <c r="D775">
        <v>475.26</v>
      </c>
      <c r="E775">
        <v>476.60980000000001</v>
      </c>
      <c r="F775">
        <v>473.06</v>
      </c>
    </row>
    <row r="776" spans="1:6" x14ac:dyDescent="0.25">
      <c r="A776" s="1">
        <v>45308</v>
      </c>
      <c r="B776">
        <v>472.29</v>
      </c>
      <c r="C776">
        <v>68843870</v>
      </c>
      <c r="D776">
        <v>471.82</v>
      </c>
      <c r="E776">
        <v>472.79</v>
      </c>
      <c r="F776">
        <v>469.87</v>
      </c>
    </row>
    <row r="777" spans="1:6" x14ac:dyDescent="0.25">
      <c r="A777" s="1">
        <v>45309</v>
      </c>
      <c r="B777">
        <v>476.49</v>
      </c>
      <c r="C777">
        <v>91856250</v>
      </c>
      <c r="D777">
        <v>474.01</v>
      </c>
      <c r="E777">
        <v>477.06</v>
      </c>
      <c r="F777">
        <v>472.42</v>
      </c>
    </row>
    <row r="778" spans="1:6" x14ac:dyDescent="0.25">
      <c r="A778" s="1">
        <v>45310</v>
      </c>
      <c r="B778">
        <v>482.43</v>
      </c>
      <c r="C778">
        <v>110834500</v>
      </c>
      <c r="D778">
        <v>477.65</v>
      </c>
      <c r="E778">
        <v>482.72</v>
      </c>
      <c r="F778">
        <v>476.53739999999999</v>
      </c>
    </row>
    <row r="779" spans="1:6" x14ac:dyDescent="0.25">
      <c r="A779" s="1">
        <v>45313</v>
      </c>
      <c r="B779">
        <v>483.45</v>
      </c>
      <c r="C779">
        <v>75844930</v>
      </c>
      <c r="D779">
        <v>484.01</v>
      </c>
      <c r="E779">
        <v>485.22</v>
      </c>
      <c r="F779">
        <v>482.78</v>
      </c>
    </row>
    <row r="780" spans="1:6" x14ac:dyDescent="0.25">
      <c r="A780" s="1">
        <v>45314</v>
      </c>
      <c r="B780">
        <v>484.86</v>
      </c>
      <c r="C780">
        <v>49945300</v>
      </c>
      <c r="D780">
        <v>484.01</v>
      </c>
      <c r="E780">
        <v>485.10500000000002</v>
      </c>
      <c r="F780">
        <v>482.89</v>
      </c>
    </row>
    <row r="781" spans="1:6" x14ac:dyDescent="0.25">
      <c r="A781" s="1">
        <v>45315</v>
      </c>
      <c r="B781">
        <v>485.39</v>
      </c>
      <c r="C781">
        <v>81765040</v>
      </c>
      <c r="D781">
        <v>487.81</v>
      </c>
      <c r="E781">
        <v>488.77</v>
      </c>
      <c r="F781">
        <v>484.88189999999997</v>
      </c>
    </row>
    <row r="782" spans="1:6" x14ac:dyDescent="0.25">
      <c r="A782" s="1">
        <v>45316</v>
      </c>
      <c r="B782">
        <v>488.03</v>
      </c>
      <c r="C782">
        <v>72524990</v>
      </c>
      <c r="D782">
        <v>487.57499999999999</v>
      </c>
      <c r="E782">
        <v>488.30500000000001</v>
      </c>
      <c r="F782">
        <v>485.39</v>
      </c>
    </row>
    <row r="783" spans="1:6" x14ac:dyDescent="0.25">
      <c r="A783" s="1">
        <v>45317</v>
      </c>
      <c r="B783">
        <v>487.41</v>
      </c>
      <c r="C783">
        <v>76641610</v>
      </c>
      <c r="D783">
        <v>487.59</v>
      </c>
      <c r="E783">
        <v>489.12</v>
      </c>
      <c r="F783">
        <v>486.54</v>
      </c>
    </row>
    <row r="784" spans="1:6" x14ac:dyDescent="0.25">
      <c r="A784" s="1">
        <v>45320</v>
      </c>
      <c r="B784">
        <v>491.27</v>
      </c>
      <c r="C784">
        <v>61322750</v>
      </c>
      <c r="D784">
        <v>487.73</v>
      </c>
      <c r="E784">
        <v>491.41500000000002</v>
      </c>
      <c r="F784">
        <v>487.17</v>
      </c>
    </row>
    <row r="785" spans="1:6" x14ac:dyDescent="0.25">
      <c r="A785" s="1">
        <v>45321</v>
      </c>
      <c r="B785">
        <v>490.89</v>
      </c>
      <c r="C785">
        <v>58618390</v>
      </c>
      <c r="D785">
        <v>490.56</v>
      </c>
      <c r="E785">
        <v>491.62</v>
      </c>
      <c r="F785">
        <v>490.11</v>
      </c>
    </row>
    <row r="786" spans="1:6" x14ac:dyDescent="0.25">
      <c r="A786" s="1">
        <v>45322</v>
      </c>
      <c r="B786">
        <v>482.88</v>
      </c>
      <c r="C786">
        <v>126011100</v>
      </c>
      <c r="D786">
        <v>488.62</v>
      </c>
      <c r="E786">
        <v>489.0813</v>
      </c>
      <c r="F786">
        <v>482.86</v>
      </c>
    </row>
    <row r="787" spans="1:6" x14ac:dyDescent="0.25">
      <c r="A787" s="1">
        <v>45323</v>
      </c>
      <c r="B787">
        <v>489.2</v>
      </c>
      <c r="C787">
        <v>91891640</v>
      </c>
      <c r="D787">
        <v>484.63</v>
      </c>
      <c r="E787">
        <v>489.23</v>
      </c>
      <c r="F787">
        <v>483.8</v>
      </c>
    </row>
    <row r="788" spans="1:6" x14ac:dyDescent="0.25">
      <c r="A788" s="1">
        <v>45324</v>
      </c>
      <c r="B788">
        <v>494.35</v>
      </c>
      <c r="C788">
        <v>99228190</v>
      </c>
      <c r="D788">
        <v>489.65</v>
      </c>
      <c r="E788">
        <v>496.05</v>
      </c>
      <c r="F788">
        <v>489.3</v>
      </c>
    </row>
    <row r="789" spans="1:6" x14ac:dyDescent="0.25">
      <c r="A789" s="1">
        <v>45327</v>
      </c>
      <c r="B789">
        <v>492.55</v>
      </c>
      <c r="C789">
        <v>75757100</v>
      </c>
      <c r="D789">
        <v>493.69499999999999</v>
      </c>
      <c r="E789">
        <v>494.37779999999998</v>
      </c>
      <c r="F789">
        <v>490.23</v>
      </c>
    </row>
    <row r="790" spans="1:6" x14ac:dyDescent="0.25">
      <c r="A790" s="1">
        <v>45328</v>
      </c>
      <c r="B790">
        <v>493.98</v>
      </c>
      <c r="C790">
        <v>55918600</v>
      </c>
      <c r="D790">
        <v>493.52</v>
      </c>
      <c r="E790">
        <v>494.32</v>
      </c>
      <c r="F790">
        <v>492.05</v>
      </c>
    </row>
    <row r="791" spans="1:6" x14ac:dyDescent="0.25">
      <c r="A791" s="1">
        <v>45329</v>
      </c>
      <c r="B791">
        <v>498.1</v>
      </c>
      <c r="C791">
        <v>70556510</v>
      </c>
      <c r="D791">
        <v>496.29</v>
      </c>
      <c r="E791">
        <v>498.53</v>
      </c>
      <c r="F791">
        <v>495.36</v>
      </c>
    </row>
    <row r="792" spans="1:6" x14ac:dyDescent="0.25">
      <c r="A792" s="1">
        <v>45330</v>
      </c>
      <c r="B792">
        <v>498.32</v>
      </c>
      <c r="C792">
        <v>52343640</v>
      </c>
      <c r="D792">
        <v>498.1</v>
      </c>
      <c r="E792">
        <v>498.71</v>
      </c>
      <c r="F792">
        <v>497.26</v>
      </c>
    </row>
    <row r="793" spans="1:6" x14ac:dyDescent="0.25">
      <c r="A793" s="1">
        <v>45331</v>
      </c>
      <c r="B793">
        <v>501.2</v>
      </c>
      <c r="C793">
        <v>63979380</v>
      </c>
      <c r="D793">
        <v>498.84</v>
      </c>
      <c r="E793">
        <v>501.65</v>
      </c>
      <c r="F793">
        <v>498.49</v>
      </c>
    </row>
    <row r="794" spans="1:6" x14ac:dyDescent="0.25">
      <c r="A794" s="1">
        <v>45334</v>
      </c>
      <c r="B794">
        <v>500.98</v>
      </c>
      <c r="C794">
        <v>56502280</v>
      </c>
      <c r="D794">
        <v>501.17</v>
      </c>
      <c r="E794">
        <v>503.5</v>
      </c>
      <c r="F794">
        <v>500.24</v>
      </c>
    </row>
    <row r="795" spans="1:6" x14ac:dyDescent="0.25">
      <c r="A795" s="1">
        <v>45335</v>
      </c>
      <c r="B795">
        <v>494.08</v>
      </c>
      <c r="C795">
        <v>113099200</v>
      </c>
      <c r="D795">
        <v>494.53</v>
      </c>
      <c r="E795">
        <v>497.09</v>
      </c>
      <c r="F795">
        <v>490.71499999999997</v>
      </c>
    </row>
    <row r="796" spans="1:6" x14ac:dyDescent="0.25">
      <c r="A796" s="1">
        <v>45336</v>
      </c>
      <c r="B796">
        <v>498.57</v>
      </c>
      <c r="C796">
        <v>68387830</v>
      </c>
      <c r="D796">
        <v>496.79</v>
      </c>
      <c r="E796">
        <v>499.07</v>
      </c>
      <c r="F796">
        <v>494.4</v>
      </c>
    </row>
    <row r="797" spans="1:6" x14ac:dyDescent="0.25">
      <c r="A797" s="1">
        <v>45337</v>
      </c>
      <c r="B797">
        <v>502.01</v>
      </c>
      <c r="C797">
        <v>61682960</v>
      </c>
      <c r="D797">
        <v>499.29</v>
      </c>
      <c r="E797">
        <v>502.2</v>
      </c>
      <c r="F797">
        <v>498.79500000000002</v>
      </c>
    </row>
    <row r="798" spans="1:6" x14ac:dyDescent="0.25">
      <c r="A798" s="1">
        <v>45338</v>
      </c>
      <c r="B798">
        <v>499.51</v>
      </c>
      <c r="C798">
        <v>75532930</v>
      </c>
      <c r="D798">
        <v>501.7</v>
      </c>
      <c r="E798">
        <v>502.87</v>
      </c>
      <c r="F798">
        <v>498.75</v>
      </c>
    </row>
    <row r="799" spans="1:6" x14ac:dyDescent="0.25">
      <c r="A799" s="1">
        <v>45342</v>
      </c>
      <c r="B799">
        <v>496.76</v>
      </c>
      <c r="C799">
        <v>71736740</v>
      </c>
      <c r="D799">
        <v>497.72</v>
      </c>
      <c r="E799">
        <v>498.41</v>
      </c>
      <c r="F799">
        <v>494.45</v>
      </c>
    </row>
    <row r="800" spans="1:6" x14ac:dyDescent="0.25">
      <c r="A800" s="1">
        <v>45343</v>
      </c>
      <c r="B800">
        <v>497.21</v>
      </c>
      <c r="C800">
        <v>59603770</v>
      </c>
      <c r="D800">
        <v>495.42</v>
      </c>
      <c r="E800">
        <v>497.37</v>
      </c>
      <c r="F800">
        <v>493.56</v>
      </c>
    </row>
    <row r="801" spans="1:6" x14ac:dyDescent="0.25">
      <c r="A801" s="1">
        <v>45344</v>
      </c>
      <c r="B801">
        <v>507.5</v>
      </c>
      <c r="C801">
        <v>76402540</v>
      </c>
      <c r="D801">
        <v>504.01</v>
      </c>
      <c r="E801">
        <v>508.49</v>
      </c>
      <c r="F801">
        <v>503.02</v>
      </c>
    </row>
    <row r="802" spans="1:6" x14ac:dyDescent="0.25">
      <c r="A802" s="1">
        <v>45345</v>
      </c>
      <c r="B802">
        <v>507.85</v>
      </c>
      <c r="C802">
        <v>61321820</v>
      </c>
      <c r="D802">
        <v>509.27</v>
      </c>
      <c r="E802">
        <v>510.13</v>
      </c>
      <c r="F802">
        <v>507.1</v>
      </c>
    </row>
    <row r="803" spans="1:6" x14ac:dyDescent="0.25">
      <c r="A803" s="1">
        <v>45348</v>
      </c>
      <c r="B803">
        <v>505.99</v>
      </c>
      <c r="C803">
        <v>50386740</v>
      </c>
      <c r="D803">
        <v>508.3</v>
      </c>
      <c r="E803">
        <v>508.75</v>
      </c>
      <c r="F803">
        <v>505.86</v>
      </c>
    </row>
    <row r="804" spans="1:6" x14ac:dyDescent="0.25">
      <c r="A804" s="1">
        <v>45349</v>
      </c>
      <c r="B804">
        <v>506.93</v>
      </c>
      <c r="C804">
        <v>48854530</v>
      </c>
      <c r="D804">
        <v>506.7</v>
      </c>
      <c r="E804">
        <v>507.16</v>
      </c>
      <c r="F804">
        <v>504.75</v>
      </c>
    </row>
    <row r="805" spans="1:6" x14ac:dyDescent="0.25">
      <c r="A805" s="1">
        <v>45350</v>
      </c>
      <c r="B805">
        <v>506.26</v>
      </c>
      <c r="C805">
        <v>56506630</v>
      </c>
      <c r="D805">
        <v>505.33</v>
      </c>
      <c r="E805">
        <v>506.85500000000002</v>
      </c>
      <c r="F805">
        <v>504.96</v>
      </c>
    </row>
    <row r="806" spans="1:6" x14ac:dyDescent="0.25">
      <c r="A806" s="1">
        <v>45351</v>
      </c>
      <c r="B806">
        <v>508.08</v>
      </c>
      <c r="C806">
        <v>83924800</v>
      </c>
      <c r="D806">
        <v>508.07</v>
      </c>
      <c r="E806">
        <v>509.74</v>
      </c>
      <c r="F806">
        <v>505.35</v>
      </c>
    </row>
    <row r="807" spans="1:6" x14ac:dyDescent="0.25">
      <c r="A807" s="1">
        <v>45352</v>
      </c>
      <c r="B807">
        <v>512.85</v>
      </c>
      <c r="C807">
        <v>76844840</v>
      </c>
      <c r="D807">
        <v>508.98</v>
      </c>
      <c r="E807">
        <v>513.29</v>
      </c>
      <c r="F807">
        <v>508.56</v>
      </c>
    </row>
    <row r="808" spans="1:6" x14ac:dyDescent="0.25">
      <c r="A808" s="1">
        <v>45355</v>
      </c>
      <c r="B808">
        <v>512.29999999999995</v>
      </c>
      <c r="C808">
        <v>49799260</v>
      </c>
      <c r="D808">
        <v>512.03</v>
      </c>
      <c r="E808">
        <v>514.20000000000005</v>
      </c>
      <c r="F808">
        <v>512</v>
      </c>
    </row>
    <row r="809" spans="1:6" x14ac:dyDescent="0.25">
      <c r="A809" s="1">
        <v>45356</v>
      </c>
      <c r="B809">
        <v>507.18</v>
      </c>
      <c r="C809">
        <v>72855620</v>
      </c>
      <c r="D809">
        <v>510.24</v>
      </c>
      <c r="E809">
        <v>510.7</v>
      </c>
      <c r="F809">
        <v>504.91</v>
      </c>
    </row>
    <row r="810" spans="1:6" x14ac:dyDescent="0.25">
      <c r="A810" s="1">
        <v>45357</v>
      </c>
      <c r="B810">
        <v>509.75</v>
      </c>
      <c r="C810">
        <v>68382370</v>
      </c>
      <c r="D810">
        <v>510.55</v>
      </c>
      <c r="E810">
        <v>512.06899999999996</v>
      </c>
      <c r="F810">
        <v>508.42</v>
      </c>
    </row>
    <row r="811" spans="1:6" x14ac:dyDescent="0.25">
      <c r="A811" s="1">
        <v>45358</v>
      </c>
      <c r="B811">
        <v>514.80999999999995</v>
      </c>
      <c r="C811">
        <v>58652090</v>
      </c>
      <c r="D811">
        <v>513.14</v>
      </c>
      <c r="E811">
        <v>515.89</v>
      </c>
      <c r="F811">
        <v>509.80529999999999</v>
      </c>
    </row>
    <row r="812" spans="1:6" x14ac:dyDescent="0.25">
      <c r="A812" s="1">
        <v>45359</v>
      </c>
      <c r="B812">
        <v>511.72</v>
      </c>
      <c r="C812">
        <v>86532540</v>
      </c>
      <c r="D812">
        <v>515.46</v>
      </c>
      <c r="E812">
        <v>518.2201</v>
      </c>
      <c r="F812">
        <v>511.13</v>
      </c>
    </row>
    <row r="813" spans="1:6" x14ac:dyDescent="0.25">
      <c r="A813" s="1">
        <v>45362</v>
      </c>
      <c r="B813">
        <v>511.28</v>
      </c>
      <c r="C813">
        <v>62557180</v>
      </c>
      <c r="D813">
        <v>510.48</v>
      </c>
      <c r="E813">
        <v>511.88</v>
      </c>
      <c r="F813">
        <v>508.5</v>
      </c>
    </row>
    <row r="814" spans="1:6" x14ac:dyDescent="0.25">
      <c r="A814" s="1">
        <v>45363</v>
      </c>
      <c r="B814">
        <v>516.78</v>
      </c>
      <c r="C814">
        <v>73114440</v>
      </c>
      <c r="D814">
        <v>513.45000000000005</v>
      </c>
      <c r="E814">
        <v>517.38</v>
      </c>
      <c r="F814">
        <v>510.86</v>
      </c>
    </row>
    <row r="815" spans="1:6" x14ac:dyDescent="0.25">
      <c r="A815" s="1">
        <v>45364</v>
      </c>
      <c r="B815">
        <v>515.97</v>
      </c>
      <c r="C815">
        <v>55104090</v>
      </c>
      <c r="D815">
        <v>517.11</v>
      </c>
      <c r="E815">
        <v>517.29</v>
      </c>
      <c r="F815">
        <v>514.49</v>
      </c>
    </row>
    <row r="816" spans="1:6" x14ac:dyDescent="0.25">
      <c r="A816" s="1">
        <v>45365</v>
      </c>
      <c r="B816">
        <v>514.95000000000005</v>
      </c>
      <c r="C816">
        <v>110171800</v>
      </c>
      <c r="D816">
        <v>516.97</v>
      </c>
      <c r="E816">
        <v>517.125</v>
      </c>
      <c r="F816">
        <v>511.82</v>
      </c>
    </row>
    <row r="817" spans="1:6" x14ac:dyDescent="0.25">
      <c r="A817" s="1">
        <v>45366</v>
      </c>
      <c r="B817">
        <v>509.83</v>
      </c>
      <c r="C817">
        <v>107646300</v>
      </c>
      <c r="D817">
        <v>510.21</v>
      </c>
      <c r="E817">
        <v>511.7</v>
      </c>
      <c r="F817">
        <v>508.12200000000001</v>
      </c>
    </row>
    <row r="818" spans="1:6" x14ac:dyDescent="0.25">
      <c r="A818" s="1">
        <v>45369</v>
      </c>
      <c r="B818">
        <v>512.86</v>
      </c>
      <c r="C818">
        <v>88893330</v>
      </c>
      <c r="D818">
        <v>514</v>
      </c>
      <c r="E818">
        <v>515.48</v>
      </c>
      <c r="F818">
        <v>512.44000000000005</v>
      </c>
    </row>
    <row r="819" spans="1:6" x14ac:dyDescent="0.25">
      <c r="A819" s="1">
        <v>45370</v>
      </c>
      <c r="B819">
        <v>515.71</v>
      </c>
      <c r="C819">
        <v>60755260</v>
      </c>
      <c r="D819">
        <v>512.15</v>
      </c>
      <c r="E819">
        <v>515.995</v>
      </c>
      <c r="F819">
        <v>511.12</v>
      </c>
    </row>
    <row r="820" spans="1:6" x14ac:dyDescent="0.25">
      <c r="A820" s="1">
        <v>45371</v>
      </c>
      <c r="B820">
        <v>520.48</v>
      </c>
      <c r="C820">
        <v>69594570</v>
      </c>
      <c r="D820">
        <v>515.77</v>
      </c>
      <c r="E820">
        <v>520.62</v>
      </c>
      <c r="F820">
        <v>515.08000000000004</v>
      </c>
    </row>
    <row r="821" spans="1:6" x14ac:dyDescent="0.25">
      <c r="A821" s="1">
        <v>45372</v>
      </c>
      <c r="B821">
        <v>522.20000000000005</v>
      </c>
      <c r="C821">
        <v>60256110</v>
      </c>
      <c r="D821">
        <v>523.39</v>
      </c>
      <c r="E821">
        <v>524.11</v>
      </c>
      <c r="F821">
        <v>521.91</v>
      </c>
    </row>
    <row r="822" spans="1:6" x14ac:dyDescent="0.25">
      <c r="A822" s="1">
        <v>45373</v>
      </c>
      <c r="B822">
        <v>521.21</v>
      </c>
      <c r="C822">
        <v>79070840</v>
      </c>
      <c r="D822">
        <v>522.11</v>
      </c>
      <c r="E822">
        <v>522.60500000000002</v>
      </c>
      <c r="F822">
        <v>520.97</v>
      </c>
    </row>
    <row r="823" spans="1:6" x14ac:dyDescent="0.25">
      <c r="A823" s="1">
        <v>45376</v>
      </c>
      <c r="B823">
        <v>519.77</v>
      </c>
      <c r="C823">
        <v>48512110</v>
      </c>
      <c r="D823">
        <v>519.79999999999995</v>
      </c>
      <c r="E823">
        <v>520.95000000000005</v>
      </c>
      <c r="F823">
        <v>519.61</v>
      </c>
    </row>
    <row r="824" spans="1:6" x14ac:dyDescent="0.25">
      <c r="A824" s="1">
        <v>45377</v>
      </c>
      <c r="B824">
        <v>518.80999999999995</v>
      </c>
      <c r="C824">
        <v>65463740</v>
      </c>
      <c r="D824">
        <v>521.23</v>
      </c>
      <c r="E824">
        <v>521.58000000000004</v>
      </c>
      <c r="F824">
        <v>518.4</v>
      </c>
    </row>
    <row r="825" spans="1:6" x14ac:dyDescent="0.25">
      <c r="A825" s="1">
        <v>45378</v>
      </c>
      <c r="B825">
        <v>523.16999999999996</v>
      </c>
      <c r="C825">
        <v>82999780</v>
      </c>
      <c r="D825">
        <v>521.71</v>
      </c>
      <c r="E825">
        <v>523.21</v>
      </c>
      <c r="F825">
        <v>519.48500000000001</v>
      </c>
    </row>
    <row r="826" spans="1:6" x14ac:dyDescent="0.25">
      <c r="A826" s="1">
        <v>45379</v>
      </c>
      <c r="B826">
        <v>523.07000000000005</v>
      </c>
      <c r="C826">
        <v>96294890</v>
      </c>
      <c r="D826">
        <v>523.21</v>
      </c>
      <c r="E826">
        <v>524.61</v>
      </c>
      <c r="F826">
        <v>522.78</v>
      </c>
    </row>
    <row r="827" spans="1:6" x14ac:dyDescent="0.25">
      <c r="A827" s="1">
        <v>45383</v>
      </c>
      <c r="B827">
        <v>522.16</v>
      </c>
      <c r="C827">
        <v>62477540</v>
      </c>
      <c r="D827">
        <v>523.83000000000004</v>
      </c>
      <c r="E827">
        <v>524.38</v>
      </c>
      <c r="F827">
        <v>520.97</v>
      </c>
    </row>
    <row r="828" spans="1:6" x14ac:dyDescent="0.25">
      <c r="A828" s="1">
        <v>45384</v>
      </c>
      <c r="B828">
        <v>518.84</v>
      </c>
      <c r="C828">
        <v>74230310</v>
      </c>
      <c r="D828">
        <v>518.24</v>
      </c>
      <c r="E828">
        <v>518.98</v>
      </c>
      <c r="F828">
        <v>516.48</v>
      </c>
    </row>
    <row r="829" spans="1:6" x14ac:dyDescent="0.25">
      <c r="A829" s="1">
        <v>45385</v>
      </c>
      <c r="B829">
        <v>519.41</v>
      </c>
      <c r="C829">
        <v>59155760</v>
      </c>
      <c r="D829">
        <v>517.72</v>
      </c>
      <c r="E829">
        <v>520.95000000000005</v>
      </c>
      <c r="F829">
        <v>517.66499999999996</v>
      </c>
    </row>
    <row r="830" spans="1:6" x14ac:dyDescent="0.25">
      <c r="A830" s="1">
        <v>45386</v>
      </c>
      <c r="B830">
        <v>513.07000000000005</v>
      </c>
      <c r="C830">
        <v>96858070</v>
      </c>
      <c r="D830">
        <v>523.52</v>
      </c>
      <c r="E830">
        <v>523.86739999999998</v>
      </c>
      <c r="F830">
        <v>512.755</v>
      </c>
    </row>
    <row r="831" spans="1:6" x14ac:dyDescent="0.25">
      <c r="A831" s="1">
        <v>45387</v>
      </c>
      <c r="B831">
        <v>518.42999999999995</v>
      </c>
      <c r="C831">
        <v>74546480</v>
      </c>
      <c r="D831">
        <v>514.46</v>
      </c>
      <c r="E831">
        <v>520.44000000000005</v>
      </c>
      <c r="F831">
        <v>514.01</v>
      </c>
    </row>
    <row r="832" spans="1:6" x14ac:dyDescent="0.25">
      <c r="A832" s="1">
        <v>45390</v>
      </c>
      <c r="B832">
        <v>518.72</v>
      </c>
      <c r="C832">
        <v>48401750</v>
      </c>
      <c r="D832">
        <v>519.15</v>
      </c>
      <c r="E832">
        <v>520.17999999999995</v>
      </c>
      <c r="F832">
        <v>517.89</v>
      </c>
    </row>
    <row r="833" spans="1:6" x14ac:dyDescent="0.25">
      <c r="A833" s="1">
        <v>45391</v>
      </c>
      <c r="B833">
        <v>519.32000000000005</v>
      </c>
      <c r="C833">
        <v>68124390</v>
      </c>
      <c r="D833">
        <v>520.5</v>
      </c>
      <c r="E833">
        <v>520.75</v>
      </c>
      <c r="F833">
        <v>514.35</v>
      </c>
    </row>
    <row r="834" spans="1:6" x14ac:dyDescent="0.25">
      <c r="A834" s="1">
        <v>45392</v>
      </c>
      <c r="B834">
        <v>514.12</v>
      </c>
      <c r="C834">
        <v>82652810</v>
      </c>
      <c r="D834">
        <v>513.48</v>
      </c>
      <c r="E834">
        <v>516.16</v>
      </c>
      <c r="F834">
        <v>512.09</v>
      </c>
    </row>
    <row r="835" spans="1:6" x14ac:dyDescent="0.25">
      <c r="A835" s="1">
        <v>45393</v>
      </c>
      <c r="B835">
        <v>518</v>
      </c>
      <c r="C835">
        <v>70099010</v>
      </c>
      <c r="D835">
        <v>515.67999999999995</v>
      </c>
      <c r="E835">
        <v>519.48</v>
      </c>
      <c r="F835">
        <v>512.08000000000004</v>
      </c>
    </row>
    <row r="836" spans="1:6" x14ac:dyDescent="0.25">
      <c r="A836" s="1">
        <v>45394</v>
      </c>
      <c r="B836">
        <v>510.85</v>
      </c>
      <c r="C836">
        <v>92561090</v>
      </c>
      <c r="D836">
        <v>514.37</v>
      </c>
      <c r="E836">
        <v>515.81500000000005</v>
      </c>
      <c r="F836">
        <v>509.08</v>
      </c>
    </row>
    <row r="837" spans="1:6" x14ac:dyDescent="0.25">
      <c r="A837" s="1">
        <v>45397</v>
      </c>
      <c r="B837">
        <v>504.45</v>
      </c>
      <c r="C837">
        <v>92101450</v>
      </c>
      <c r="D837">
        <v>515.13</v>
      </c>
      <c r="E837">
        <v>515.29999999999995</v>
      </c>
      <c r="F837">
        <v>503.58</v>
      </c>
    </row>
    <row r="838" spans="1:6" x14ac:dyDescent="0.25">
      <c r="A838" s="1">
        <v>45398</v>
      </c>
      <c r="B838">
        <v>503.53</v>
      </c>
      <c r="C838">
        <v>73484020</v>
      </c>
      <c r="D838">
        <v>504.94</v>
      </c>
      <c r="E838">
        <v>506.5</v>
      </c>
      <c r="F838">
        <v>502.21</v>
      </c>
    </row>
    <row r="839" spans="1:6" x14ac:dyDescent="0.25">
      <c r="A839" s="1">
        <v>45399</v>
      </c>
      <c r="B839">
        <v>500.55</v>
      </c>
      <c r="C839">
        <v>75910310</v>
      </c>
      <c r="D839">
        <v>506.05</v>
      </c>
      <c r="E839">
        <v>506.22</v>
      </c>
      <c r="F839">
        <v>499.12</v>
      </c>
    </row>
    <row r="840" spans="1:6" x14ac:dyDescent="0.25">
      <c r="A840" s="1">
        <v>45400</v>
      </c>
      <c r="B840">
        <v>499.52</v>
      </c>
      <c r="C840">
        <v>74548090</v>
      </c>
      <c r="D840">
        <v>501.98</v>
      </c>
      <c r="E840">
        <v>504.13</v>
      </c>
      <c r="F840">
        <v>498.56</v>
      </c>
    </row>
    <row r="841" spans="1:6" x14ac:dyDescent="0.25">
      <c r="A841" s="1">
        <v>45401</v>
      </c>
      <c r="B841">
        <v>495.16</v>
      </c>
      <c r="C841">
        <v>102212600</v>
      </c>
      <c r="D841">
        <v>499.44</v>
      </c>
      <c r="E841">
        <v>500.45499999999998</v>
      </c>
      <c r="F841">
        <v>493.86</v>
      </c>
    </row>
    <row r="842" spans="1:6" x14ac:dyDescent="0.25">
      <c r="A842" s="1">
        <v>45404</v>
      </c>
      <c r="B842">
        <v>499.72</v>
      </c>
      <c r="C842">
        <v>67961050</v>
      </c>
      <c r="D842">
        <v>497.83</v>
      </c>
      <c r="E842">
        <v>502.38</v>
      </c>
      <c r="F842">
        <v>495.43</v>
      </c>
    </row>
    <row r="843" spans="1:6" x14ac:dyDescent="0.25">
      <c r="A843" s="1">
        <v>45405</v>
      </c>
      <c r="B843">
        <v>505.65</v>
      </c>
      <c r="C843">
        <v>64633620</v>
      </c>
      <c r="D843">
        <v>501.78</v>
      </c>
      <c r="E843">
        <v>506.09</v>
      </c>
      <c r="F843">
        <v>499.53280000000001</v>
      </c>
    </row>
    <row r="844" spans="1:6" x14ac:dyDescent="0.25">
      <c r="A844" s="1">
        <v>45406</v>
      </c>
      <c r="B844">
        <v>505.41</v>
      </c>
      <c r="C844">
        <v>55928080</v>
      </c>
      <c r="D844">
        <v>506.56</v>
      </c>
      <c r="E844">
        <v>507.37</v>
      </c>
      <c r="F844">
        <v>503.13</v>
      </c>
    </row>
    <row r="845" spans="1:6" x14ac:dyDescent="0.25">
      <c r="A845" s="1">
        <v>45407</v>
      </c>
      <c r="B845">
        <v>503.49</v>
      </c>
      <c r="C845">
        <v>69122370</v>
      </c>
      <c r="D845">
        <v>499.18</v>
      </c>
      <c r="E845">
        <v>504.27</v>
      </c>
      <c r="F845">
        <v>497.49</v>
      </c>
    </row>
    <row r="846" spans="1:6" x14ac:dyDescent="0.25">
      <c r="A846" s="1">
        <v>45408</v>
      </c>
      <c r="B846">
        <v>508.26</v>
      </c>
      <c r="C846">
        <v>64306120</v>
      </c>
      <c r="D846">
        <v>506.35</v>
      </c>
      <c r="E846">
        <v>509.88</v>
      </c>
      <c r="F846">
        <v>505.7</v>
      </c>
    </row>
    <row r="847" spans="1:6" x14ac:dyDescent="0.25">
      <c r="A847" s="1">
        <v>45411</v>
      </c>
      <c r="B847">
        <v>510.06</v>
      </c>
      <c r="C847">
        <v>46415450</v>
      </c>
      <c r="D847">
        <v>510.09</v>
      </c>
      <c r="E847">
        <v>510.75</v>
      </c>
      <c r="F847">
        <v>507.25</v>
      </c>
    </row>
    <row r="848" spans="1:6" x14ac:dyDescent="0.25">
      <c r="A848" s="1">
        <v>45412</v>
      </c>
      <c r="B848">
        <v>501.98</v>
      </c>
      <c r="C848">
        <v>77483570</v>
      </c>
      <c r="D848">
        <v>508.56</v>
      </c>
      <c r="E848">
        <v>509.56</v>
      </c>
      <c r="F848">
        <v>501.98</v>
      </c>
    </row>
    <row r="849" spans="1:6" x14ac:dyDescent="0.25">
      <c r="A849" s="1">
        <v>45413</v>
      </c>
      <c r="B849">
        <v>500.35</v>
      </c>
      <c r="C849">
        <v>80242840</v>
      </c>
      <c r="D849">
        <v>501.38</v>
      </c>
      <c r="E849">
        <v>508.19</v>
      </c>
      <c r="F849">
        <v>499.86500000000001</v>
      </c>
    </row>
    <row r="850" spans="1:6" x14ac:dyDescent="0.25">
      <c r="A850" s="1">
        <v>45414</v>
      </c>
      <c r="B850">
        <v>505.03</v>
      </c>
      <c r="C850">
        <v>62550180</v>
      </c>
      <c r="D850">
        <v>504.15</v>
      </c>
      <c r="E850">
        <v>505.89</v>
      </c>
      <c r="F850">
        <v>499.55</v>
      </c>
    </row>
    <row r="851" spans="1:6" x14ac:dyDescent="0.25">
      <c r="A851" s="1">
        <v>45415</v>
      </c>
      <c r="B851">
        <v>511.29</v>
      </c>
      <c r="C851">
        <v>72756710</v>
      </c>
      <c r="D851">
        <v>511.16</v>
      </c>
      <c r="E851">
        <v>512.54999999999995</v>
      </c>
      <c r="F851">
        <v>508.56</v>
      </c>
    </row>
    <row r="852" spans="1:6" x14ac:dyDescent="0.25">
      <c r="A852" s="1">
        <v>45418</v>
      </c>
      <c r="B852">
        <v>516.57000000000005</v>
      </c>
      <c r="C852">
        <v>47264700</v>
      </c>
      <c r="D852">
        <v>513.75</v>
      </c>
      <c r="E852">
        <v>516.61</v>
      </c>
      <c r="F852">
        <v>513.29999999999995</v>
      </c>
    </row>
    <row r="853" spans="1:6" x14ac:dyDescent="0.25">
      <c r="A853" s="1">
        <v>45419</v>
      </c>
      <c r="B853">
        <v>517.14</v>
      </c>
      <c r="C853">
        <v>52561300</v>
      </c>
      <c r="D853">
        <v>517.55999999999995</v>
      </c>
      <c r="E853">
        <v>518.57000000000005</v>
      </c>
      <c r="F853">
        <v>516.45000000000005</v>
      </c>
    </row>
    <row r="854" spans="1:6" x14ac:dyDescent="0.25">
      <c r="A854" s="1">
        <v>45420</v>
      </c>
      <c r="B854">
        <v>517.19000000000005</v>
      </c>
      <c r="C854">
        <v>42047210</v>
      </c>
      <c r="D854">
        <v>515.26</v>
      </c>
      <c r="E854">
        <v>517.74</v>
      </c>
      <c r="F854">
        <v>515.14</v>
      </c>
    </row>
    <row r="855" spans="1:6" x14ac:dyDescent="0.25">
      <c r="A855" s="1">
        <v>45421</v>
      </c>
      <c r="B855">
        <v>520.16999999999996</v>
      </c>
      <c r="C855">
        <v>43643670</v>
      </c>
      <c r="D855">
        <v>517.38</v>
      </c>
      <c r="E855">
        <v>520.20740000000001</v>
      </c>
      <c r="F855">
        <v>516.70500000000004</v>
      </c>
    </row>
    <row r="856" spans="1:6" x14ac:dyDescent="0.25">
      <c r="A856" s="1">
        <v>45422</v>
      </c>
      <c r="B856">
        <v>520.84</v>
      </c>
      <c r="C856">
        <v>52233170</v>
      </c>
      <c r="D856">
        <v>521.80999999999995</v>
      </c>
      <c r="E856">
        <v>522.63499999999999</v>
      </c>
      <c r="F856">
        <v>519.59</v>
      </c>
    </row>
    <row r="857" spans="1:6" x14ac:dyDescent="0.25">
      <c r="A857" s="1">
        <v>45425</v>
      </c>
      <c r="B857">
        <v>520.91</v>
      </c>
      <c r="C857">
        <v>36716360</v>
      </c>
      <c r="D857">
        <v>522.55999999999995</v>
      </c>
      <c r="E857">
        <v>522.66999999999996</v>
      </c>
      <c r="F857">
        <v>519.74</v>
      </c>
    </row>
    <row r="858" spans="1:6" x14ac:dyDescent="0.25">
      <c r="A858" s="1">
        <v>45426</v>
      </c>
      <c r="B858">
        <v>523.29999999999995</v>
      </c>
      <c r="C858">
        <v>57535870</v>
      </c>
      <c r="D858">
        <v>521.11</v>
      </c>
      <c r="E858">
        <v>523.83000000000004</v>
      </c>
      <c r="F858">
        <v>520.55999999999995</v>
      </c>
    </row>
    <row r="859" spans="1:6" x14ac:dyDescent="0.25">
      <c r="A859" s="1">
        <v>45427</v>
      </c>
      <c r="B859">
        <v>529.78</v>
      </c>
      <c r="C859">
        <v>59504900</v>
      </c>
      <c r="D859">
        <v>525.83000000000004</v>
      </c>
      <c r="E859">
        <v>530.08000000000004</v>
      </c>
      <c r="F859">
        <v>525.17999999999995</v>
      </c>
    </row>
    <row r="860" spans="1:6" x14ac:dyDescent="0.25">
      <c r="A860" s="1">
        <v>45428</v>
      </c>
      <c r="B860">
        <v>528.69000000000005</v>
      </c>
      <c r="C860">
        <v>50244830</v>
      </c>
      <c r="D860">
        <v>529.88</v>
      </c>
      <c r="E860">
        <v>531.52179999999998</v>
      </c>
      <c r="F860">
        <v>528.54</v>
      </c>
    </row>
    <row r="861" spans="1:6" x14ac:dyDescent="0.25">
      <c r="A861" s="1">
        <v>45429</v>
      </c>
      <c r="B861">
        <v>529.45000000000005</v>
      </c>
      <c r="C861">
        <v>59187590</v>
      </c>
      <c r="D861">
        <v>528.80999999999995</v>
      </c>
      <c r="E861">
        <v>529.52</v>
      </c>
      <c r="F861">
        <v>527.32000000000005</v>
      </c>
    </row>
    <row r="862" spans="1:6" x14ac:dyDescent="0.25">
      <c r="A862" s="1">
        <v>45432</v>
      </c>
      <c r="B862">
        <v>530.05999999999995</v>
      </c>
      <c r="C862">
        <v>37764210</v>
      </c>
      <c r="D862">
        <v>529.57000000000005</v>
      </c>
      <c r="E862">
        <v>531.56010000000003</v>
      </c>
      <c r="F862">
        <v>529.16999999999996</v>
      </c>
    </row>
    <row r="863" spans="1:6" x14ac:dyDescent="0.25">
      <c r="A863" s="1">
        <v>45433</v>
      </c>
      <c r="B863">
        <v>531.36</v>
      </c>
      <c r="C863">
        <v>33437000</v>
      </c>
      <c r="D863">
        <v>529.28</v>
      </c>
      <c r="E863">
        <v>531.52</v>
      </c>
      <c r="F863">
        <v>529.07000000000005</v>
      </c>
    </row>
    <row r="864" spans="1:6" x14ac:dyDescent="0.25">
      <c r="A864" s="1">
        <v>45434</v>
      </c>
      <c r="B864">
        <v>529.83000000000004</v>
      </c>
      <c r="C864">
        <v>48389970</v>
      </c>
      <c r="D864">
        <v>530.65</v>
      </c>
      <c r="E864">
        <v>531.38</v>
      </c>
      <c r="F864">
        <v>527.6</v>
      </c>
    </row>
    <row r="865" spans="1:6" x14ac:dyDescent="0.25">
      <c r="A865" s="1">
        <v>45435</v>
      </c>
      <c r="B865">
        <v>525.96</v>
      </c>
      <c r="C865">
        <v>57211200</v>
      </c>
      <c r="D865">
        <v>532.96</v>
      </c>
      <c r="E865">
        <v>533.07000000000005</v>
      </c>
      <c r="F865">
        <v>524.72</v>
      </c>
    </row>
    <row r="866" spans="1:6" x14ac:dyDescent="0.25">
      <c r="A866" s="1">
        <v>45436</v>
      </c>
      <c r="B866">
        <v>529.44000000000005</v>
      </c>
      <c r="C866">
        <v>41291080</v>
      </c>
      <c r="D866">
        <v>527.85</v>
      </c>
      <c r="E866">
        <v>530.27</v>
      </c>
      <c r="F866">
        <v>526.88099999999997</v>
      </c>
    </row>
    <row r="867" spans="1:6" x14ac:dyDescent="0.25">
      <c r="A867" s="1">
        <v>45440</v>
      </c>
      <c r="B867">
        <v>529.80999999999995</v>
      </c>
      <c r="C867">
        <v>36269600</v>
      </c>
      <c r="D867">
        <v>530.27</v>
      </c>
      <c r="E867">
        <v>530.51</v>
      </c>
      <c r="F867">
        <v>527.11</v>
      </c>
    </row>
    <row r="868" spans="1:6" x14ac:dyDescent="0.25">
      <c r="A868" s="1">
        <v>45441</v>
      </c>
      <c r="B868">
        <v>526.1</v>
      </c>
      <c r="C868">
        <v>45190320</v>
      </c>
      <c r="D868">
        <v>525.67999999999995</v>
      </c>
      <c r="E868">
        <v>527.30999999999995</v>
      </c>
      <c r="F868">
        <v>525.37</v>
      </c>
    </row>
    <row r="869" spans="1:6" x14ac:dyDescent="0.25">
      <c r="A869" s="1">
        <v>45442</v>
      </c>
      <c r="B869">
        <v>522.61</v>
      </c>
      <c r="C869">
        <v>46468510</v>
      </c>
      <c r="D869">
        <v>524.52</v>
      </c>
      <c r="E869">
        <v>525.20000000000005</v>
      </c>
      <c r="F869">
        <v>521.33000000000004</v>
      </c>
    </row>
    <row r="870" spans="1:6" x14ac:dyDescent="0.25">
      <c r="A870" s="1">
        <v>45443</v>
      </c>
      <c r="B870">
        <v>527.37</v>
      </c>
      <c r="C870">
        <v>90785760</v>
      </c>
      <c r="D870">
        <v>523.59</v>
      </c>
      <c r="E870">
        <v>527.5</v>
      </c>
      <c r="F870">
        <v>518.36</v>
      </c>
    </row>
    <row r="871" spans="1:6" x14ac:dyDescent="0.25">
      <c r="A871" s="1">
        <v>45446</v>
      </c>
      <c r="B871">
        <v>527.79999999999995</v>
      </c>
      <c r="C871">
        <v>46835700</v>
      </c>
      <c r="D871">
        <v>529.02</v>
      </c>
      <c r="E871">
        <v>529.30999999999995</v>
      </c>
      <c r="F871">
        <v>522.6</v>
      </c>
    </row>
    <row r="872" spans="1:6" x14ac:dyDescent="0.25">
      <c r="A872" s="1">
        <v>45447</v>
      </c>
      <c r="B872">
        <v>528.39</v>
      </c>
      <c r="C872">
        <v>34632660</v>
      </c>
      <c r="D872">
        <v>526.46</v>
      </c>
      <c r="E872">
        <v>529.15</v>
      </c>
      <c r="F872">
        <v>524.96</v>
      </c>
    </row>
    <row r="873" spans="1:6" x14ac:dyDescent="0.25">
      <c r="A873" s="1">
        <v>45448</v>
      </c>
      <c r="B873">
        <v>534.66999999999996</v>
      </c>
      <c r="C873">
        <v>47610370</v>
      </c>
      <c r="D873">
        <v>530.77</v>
      </c>
      <c r="E873">
        <v>534.69000000000005</v>
      </c>
      <c r="F873">
        <v>528.72540000000004</v>
      </c>
    </row>
    <row r="874" spans="1:6" x14ac:dyDescent="0.25">
      <c r="A874" s="1">
        <v>45449</v>
      </c>
      <c r="B874">
        <v>534.66</v>
      </c>
      <c r="C874">
        <v>30808530</v>
      </c>
      <c r="D874">
        <v>534.98</v>
      </c>
      <c r="E874">
        <v>535.41999999999996</v>
      </c>
      <c r="F874">
        <v>532.67999999999995</v>
      </c>
    </row>
    <row r="875" spans="1:6" x14ac:dyDescent="0.25">
      <c r="A875" s="1">
        <v>45450</v>
      </c>
      <c r="B875">
        <v>534.01</v>
      </c>
      <c r="C875">
        <v>43224530</v>
      </c>
      <c r="D875">
        <v>533.66</v>
      </c>
      <c r="E875">
        <v>536.89</v>
      </c>
      <c r="F875">
        <v>532.53499999999997</v>
      </c>
    </row>
    <row r="876" spans="1:6" x14ac:dyDescent="0.25">
      <c r="A876" s="1">
        <v>45453</v>
      </c>
      <c r="B876">
        <v>535.66</v>
      </c>
      <c r="C876">
        <v>35729250</v>
      </c>
      <c r="D876">
        <v>533.17999999999995</v>
      </c>
      <c r="E876">
        <v>535.99</v>
      </c>
      <c r="F876">
        <v>532.57000000000005</v>
      </c>
    </row>
    <row r="877" spans="1:6" x14ac:dyDescent="0.25">
      <c r="A877" s="1">
        <v>45454</v>
      </c>
      <c r="B877">
        <v>536.95000000000005</v>
      </c>
      <c r="C877">
        <v>36383410</v>
      </c>
      <c r="D877">
        <v>534.07000000000005</v>
      </c>
      <c r="E877">
        <v>537.01</v>
      </c>
      <c r="F877">
        <v>532.04999999999995</v>
      </c>
    </row>
    <row r="878" spans="1:6" x14ac:dyDescent="0.25">
      <c r="A878" s="1">
        <v>45455</v>
      </c>
      <c r="B878">
        <v>541.36</v>
      </c>
      <c r="C878">
        <v>63251310</v>
      </c>
      <c r="D878">
        <v>541.63</v>
      </c>
      <c r="E878">
        <v>544.12</v>
      </c>
      <c r="F878">
        <v>540.29999999999995</v>
      </c>
    </row>
    <row r="879" spans="1:6" x14ac:dyDescent="0.25">
      <c r="A879" s="1">
        <v>45456</v>
      </c>
      <c r="B879">
        <v>542.45000000000005</v>
      </c>
      <c r="C879">
        <v>44760950</v>
      </c>
      <c r="D879">
        <v>543.15</v>
      </c>
      <c r="E879">
        <v>543.32500000000005</v>
      </c>
      <c r="F879">
        <v>539.59</v>
      </c>
    </row>
    <row r="880" spans="1:6" x14ac:dyDescent="0.25">
      <c r="A880" s="1">
        <v>45457</v>
      </c>
      <c r="B880">
        <v>542.78</v>
      </c>
      <c r="C880">
        <v>40089900</v>
      </c>
      <c r="D880">
        <v>540.88</v>
      </c>
      <c r="E880">
        <v>542.80999999999995</v>
      </c>
      <c r="F880">
        <v>539.85</v>
      </c>
    </row>
    <row r="881" spans="1:6" x14ac:dyDescent="0.25">
      <c r="A881" s="1">
        <v>45460</v>
      </c>
      <c r="B881">
        <v>547.1</v>
      </c>
      <c r="C881">
        <v>55839460</v>
      </c>
      <c r="D881">
        <v>542.08000000000004</v>
      </c>
      <c r="E881">
        <v>548.53</v>
      </c>
      <c r="F881">
        <v>541.60720000000003</v>
      </c>
    </row>
    <row r="882" spans="1:6" x14ac:dyDescent="0.25">
      <c r="A882" s="1">
        <v>45461</v>
      </c>
      <c r="B882">
        <v>548.49</v>
      </c>
      <c r="C882">
        <v>41376420</v>
      </c>
      <c r="D882">
        <v>547.16</v>
      </c>
      <c r="E882">
        <v>548.62</v>
      </c>
      <c r="F882">
        <v>546.73</v>
      </c>
    </row>
    <row r="883" spans="1:6" x14ac:dyDescent="0.25">
      <c r="A883" s="1">
        <v>45463</v>
      </c>
      <c r="B883">
        <v>547</v>
      </c>
      <c r="C883">
        <v>70328230</v>
      </c>
      <c r="D883">
        <v>549.44000000000005</v>
      </c>
      <c r="E883">
        <v>550.12</v>
      </c>
      <c r="F883">
        <v>545.17999999999995</v>
      </c>
    </row>
    <row r="884" spans="1:6" x14ac:dyDescent="0.25">
      <c r="A884" s="1">
        <v>45464</v>
      </c>
      <c r="B884">
        <v>544.51</v>
      </c>
      <c r="C884">
        <v>64513860</v>
      </c>
      <c r="D884">
        <v>544.4</v>
      </c>
      <c r="E884">
        <v>545.65</v>
      </c>
      <c r="F884">
        <v>543.02</v>
      </c>
    </row>
    <row r="885" spans="1:6" x14ac:dyDescent="0.25">
      <c r="A885" s="1">
        <v>45467</v>
      </c>
      <c r="B885">
        <v>542.74</v>
      </c>
      <c r="C885">
        <v>45528650</v>
      </c>
      <c r="D885">
        <v>544.33000000000004</v>
      </c>
      <c r="E885">
        <v>546.95000000000005</v>
      </c>
      <c r="F885">
        <v>542.62</v>
      </c>
    </row>
    <row r="886" spans="1:6" x14ac:dyDescent="0.25">
      <c r="A886" s="1">
        <v>45468</v>
      </c>
      <c r="B886">
        <v>544.83000000000004</v>
      </c>
      <c r="C886">
        <v>38273350</v>
      </c>
      <c r="D886">
        <v>543.99</v>
      </c>
      <c r="E886">
        <v>545.20000000000005</v>
      </c>
      <c r="F886">
        <v>542.44000000000005</v>
      </c>
    </row>
    <row r="887" spans="1:6" x14ac:dyDescent="0.25">
      <c r="A887" s="1">
        <v>45469</v>
      </c>
      <c r="B887">
        <v>545.51</v>
      </c>
      <c r="C887">
        <v>38550640</v>
      </c>
      <c r="D887">
        <v>543.69000000000005</v>
      </c>
      <c r="E887">
        <v>546.24</v>
      </c>
      <c r="F887">
        <v>543.03</v>
      </c>
    </row>
    <row r="888" spans="1:6" x14ac:dyDescent="0.25">
      <c r="A888" s="1">
        <v>45470</v>
      </c>
      <c r="B888">
        <v>546.37</v>
      </c>
      <c r="C888">
        <v>35041480</v>
      </c>
      <c r="D888">
        <v>545.37</v>
      </c>
      <c r="E888">
        <v>546.96</v>
      </c>
      <c r="F888">
        <v>544.61</v>
      </c>
    </row>
    <row r="889" spans="1:6" x14ac:dyDescent="0.25">
      <c r="A889" s="1">
        <v>45471</v>
      </c>
      <c r="B889">
        <v>544.22</v>
      </c>
      <c r="C889">
        <v>76144540</v>
      </c>
      <c r="D889">
        <v>547.16</v>
      </c>
      <c r="E889">
        <v>550.28</v>
      </c>
      <c r="F889">
        <v>542.95000000000005</v>
      </c>
    </row>
    <row r="890" spans="1:6" x14ac:dyDescent="0.25">
      <c r="A890" s="1">
        <v>45474</v>
      </c>
      <c r="B890">
        <v>545.34</v>
      </c>
      <c r="C890">
        <v>40297810</v>
      </c>
      <c r="D890">
        <v>545.63</v>
      </c>
      <c r="E890">
        <v>545.88</v>
      </c>
      <c r="F890">
        <v>542.52</v>
      </c>
    </row>
    <row r="891" spans="1:6" x14ac:dyDescent="0.25">
      <c r="A891" s="1">
        <v>45475</v>
      </c>
      <c r="B891">
        <v>549.01</v>
      </c>
      <c r="C891">
        <v>40434790</v>
      </c>
      <c r="D891">
        <v>543.70000000000005</v>
      </c>
      <c r="E891">
        <v>549.01</v>
      </c>
      <c r="F891">
        <v>543.65</v>
      </c>
    </row>
    <row r="892" spans="1:6" x14ac:dyDescent="0.25">
      <c r="A892" s="1">
        <v>45476</v>
      </c>
      <c r="B892">
        <v>551.46</v>
      </c>
      <c r="C892">
        <v>32789910</v>
      </c>
      <c r="D892">
        <v>548.69000000000005</v>
      </c>
      <c r="E892">
        <v>551.83000000000004</v>
      </c>
      <c r="F892">
        <v>548.65</v>
      </c>
    </row>
    <row r="893" spans="1:6" x14ac:dyDescent="0.25">
      <c r="A893" s="1">
        <v>45478</v>
      </c>
      <c r="B893">
        <v>554.64</v>
      </c>
      <c r="C893">
        <v>41488390</v>
      </c>
      <c r="D893">
        <v>551.77</v>
      </c>
      <c r="E893">
        <v>555.04999999999995</v>
      </c>
      <c r="F893">
        <v>551.12</v>
      </c>
    </row>
    <row r="894" spans="1:6" x14ac:dyDescent="0.25">
      <c r="A894" s="1">
        <v>45481</v>
      </c>
      <c r="B894">
        <v>555.28</v>
      </c>
      <c r="C894">
        <v>36110450</v>
      </c>
      <c r="D894">
        <v>555.44000000000005</v>
      </c>
      <c r="E894">
        <v>556.25009999999997</v>
      </c>
      <c r="F894">
        <v>554.19000000000005</v>
      </c>
    </row>
    <row r="895" spans="1:6" x14ac:dyDescent="0.25">
      <c r="A895" s="1">
        <v>45482</v>
      </c>
      <c r="B895">
        <v>555.82000000000005</v>
      </c>
      <c r="C895">
        <v>27314130</v>
      </c>
      <c r="D895">
        <v>556.26</v>
      </c>
      <c r="E895">
        <v>557.17999999999995</v>
      </c>
      <c r="F895">
        <v>555.52</v>
      </c>
    </row>
    <row r="896" spans="1:6" x14ac:dyDescent="0.25">
      <c r="A896" s="1">
        <v>45483</v>
      </c>
      <c r="B896">
        <v>561.32000000000005</v>
      </c>
      <c r="C896">
        <v>38701220</v>
      </c>
      <c r="D896">
        <v>557.07000000000005</v>
      </c>
      <c r="E896">
        <v>561.66999999999996</v>
      </c>
      <c r="F896">
        <v>556.77</v>
      </c>
    </row>
    <row r="897" spans="1:6" x14ac:dyDescent="0.25">
      <c r="A897" s="1">
        <v>45484</v>
      </c>
      <c r="B897">
        <v>556.48</v>
      </c>
      <c r="C897">
        <v>53054180</v>
      </c>
      <c r="D897">
        <v>561.44000000000005</v>
      </c>
      <c r="E897">
        <v>562.33000000000004</v>
      </c>
      <c r="F897">
        <v>555.83000000000004</v>
      </c>
    </row>
    <row r="898" spans="1:6" x14ac:dyDescent="0.25">
      <c r="A898" s="1">
        <v>45485</v>
      </c>
      <c r="B898">
        <v>559.99</v>
      </c>
      <c r="C898">
        <v>53084410</v>
      </c>
      <c r="D898">
        <v>557.63</v>
      </c>
      <c r="E898">
        <v>563.66999999999996</v>
      </c>
      <c r="F898">
        <v>557.15</v>
      </c>
    </row>
    <row r="899" spans="1:6" x14ac:dyDescent="0.25">
      <c r="A899" s="1">
        <v>45488</v>
      </c>
      <c r="B899">
        <v>561.53</v>
      </c>
      <c r="C899">
        <v>40584290</v>
      </c>
      <c r="D899">
        <v>562.03</v>
      </c>
      <c r="E899">
        <v>564.83709999999996</v>
      </c>
      <c r="F899">
        <v>559.63</v>
      </c>
    </row>
    <row r="900" spans="1:6" x14ac:dyDescent="0.25">
      <c r="A900" s="1">
        <v>45489</v>
      </c>
      <c r="B900">
        <v>564.86</v>
      </c>
      <c r="C900">
        <v>36475260</v>
      </c>
      <c r="D900">
        <v>562.86500000000001</v>
      </c>
      <c r="E900">
        <v>565.16</v>
      </c>
      <c r="F900">
        <v>562.1</v>
      </c>
    </row>
    <row r="901" spans="1:6" x14ac:dyDescent="0.25">
      <c r="A901" s="1">
        <v>45490</v>
      </c>
      <c r="B901">
        <v>556.94000000000005</v>
      </c>
      <c r="C901">
        <v>57118960</v>
      </c>
      <c r="D901">
        <v>558.79999999999995</v>
      </c>
      <c r="E901">
        <v>560.51</v>
      </c>
      <c r="F901">
        <v>556.61</v>
      </c>
    </row>
    <row r="902" spans="1:6" x14ac:dyDescent="0.25">
      <c r="A902" s="1">
        <v>45491</v>
      </c>
      <c r="B902">
        <v>552.66</v>
      </c>
      <c r="C902">
        <v>56270390</v>
      </c>
      <c r="D902">
        <v>558.51</v>
      </c>
      <c r="E902">
        <v>559.52</v>
      </c>
      <c r="F902">
        <v>550.42999999999995</v>
      </c>
    </row>
    <row r="903" spans="1:6" x14ac:dyDescent="0.25">
      <c r="A903" s="1">
        <v>45492</v>
      </c>
      <c r="B903">
        <v>548.99</v>
      </c>
      <c r="C903">
        <v>65509080</v>
      </c>
      <c r="D903">
        <v>552.41999999999996</v>
      </c>
      <c r="E903">
        <v>554.08000000000004</v>
      </c>
      <c r="F903">
        <v>547.91</v>
      </c>
    </row>
    <row r="904" spans="1:6" x14ac:dyDescent="0.25">
      <c r="A904" s="1">
        <v>45495</v>
      </c>
      <c r="B904">
        <v>554.65</v>
      </c>
      <c r="C904">
        <v>43346720</v>
      </c>
      <c r="D904">
        <v>553</v>
      </c>
      <c r="E904">
        <v>555.27</v>
      </c>
      <c r="F904">
        <v>551.02</v>
      </c>
    </row>
    <row r="905" spans="1:6" x14ac:dyDescent="0.25">
      <c r="A905" s="1">
        <v>45496</v>
      </c>
      <c r="B905">
        <v>553.78</v>
      </c>
      <c r="C905">
        <v>34439560</v>
      </c>
      <c r="D905">
        <v>554.54</v>
      </c>
      <c r="E905">
        <v>556.73500000000001</v>
      </c>
      <c r="F905">
        <v>553.27499999999998</v>
      </c>
    </row>
    <row r="906" spans="1:6" x14ac:dyDescent="0.25">
      <c r="A906" s="1">
        <v>45497</v>
      </c>
      <c r="B906">
        <v>541.23</v>
      </c>
      <c r="C906">
        <v>74515270</v>
      </c>
      <c r="D906">
        <v>548.86</v>
      </c>
      <c r="E906">
        <v>549.16999999999996</v>
      </c>
      <c r="F906">
        <v>540.29</v>
      </c>
    </row>
    <row r="907" spans="1:6" x14ac:dyDescent="0.25">
      <c r="A907" s="1">
        <v>45498</v>
      </c>
      <c r="B907">
        <v>538.41</v>
      </c>
      <c r="C907">
        <v>61158290</v>
      </c>
      <c r="D907">
        <v>541.35</v>
      </c>
      <c r="E907">
        <v>547.45500000000004</v>
      </c>
      <c r="F907">
        <v>537.45000000000005</v>
      </c>
    </row>
    <row r="908" spans="1:6" x14ac:dyDescent="0.25">
      <c r="A908" s="1">
        <v>45499</v>
      </c>
      <c r="B908">
        <v>544.44000000000005</v>
      </c>
      <c r="C908">
        <v>53763790</v>
      </c>
      <c r="D908">
        <v>542.28</v>
      </c>
      <c r="E908">
        <v>547.19000000000005</v>
      </c>
      <c r="F908">
        <v>541.49</v>
      </c>
    </row>
    <row r="909" spans="1:6" x14ac:dyDescent="0.25">
      <c r="A909" s="1">
        <v>45502</v>
      </c>
      <c r="B909">
        <v>544.76</v>
      </c>
      <c r="C909">
        <v>39515820</v>
      </c>
      <c r="D909">
        <v>546.02</v>
      </c>
      <c r="E909">
        <v>547.04999999999995</v>
      </c>
      <c r="F909">
        <v>542.72</v>
      </c>
    </row>
    <row r="910" spans="1:6" x14ac:dyDescent="0.25">
      <c r="A910" s="1">
        <v>45503</v>
      </c>
      <c r="B910">
        <v>542</v>
      </c>
      <c r="C910">
        <v>46853630</v>
      </c>
      <c r="D910">
        <v>546.26</v>
      </c>
      <c r="E910">
        <v>547.34</v>
      </c>
      <c r="F910">
        <v>538.51499999999999</v>
      </c>
    </row>
    <row r="911" spans="1:6" x14ac:dyDescent="0.25">
      <c r="A911" s="1">
        <v>45504</v>
      </c>
      <c r="B911">
        <v>550.80999999999995</v>
      </c>
      <c r="C911">
        <v>65663390</v>
      </c>
      <c r="D911">
        <v>548.98</v>
      </c>
      <c r="E911">
        <v>553.5</v>
      </c>
      <c r="F911">
        <v>547.57989999999995</v>
      </c>
    </row>
    <row r="912" spans="1:6" x14ac:dyDescent="0.25">
      <c r="A912" s="1">
        <v>45505</v>
      </c>
      <c r="B912">
        <v>543.01</v>
      </c>
      <c r="C912">
        <v>76428730</v>
      </c>
      <c r="D912">
        <v>552.57000000000005</v>
      </c>
      <c r="E912">
        <v>554.86879999999996</v>
      </c>
      <c r="F912">
        <v>539.42999999999995</v>
      </c>
    </row>
    <row r="913" spans="1:6" x14ac:dyDescent="0.25">
      <c r="A913" s="1">
        <v>45506</v>
      </c>
      <c r="B913">
        <v>532.9</v>
      </c>
      <c r="C913">
        <v>82789070</v>
      </c>
      <c r="D913">
        <v>535.75</v>
      </c>
      <c r="E913">
        <v>536.99</v>
      </c>
      <c r="F913">
        <v>528.6</v>
      </c>
    </row>
    <row r="914" spans="1:6" x14ac:dyDescent="0.25">
      <c r="A914" s="1">
        <v>45509</v>
      </c>
      <c r="B914">
        <v>517.38</v>
      </c>
      <c r="C914">
        <v>146267400</v>
      </c>
      <c r="D914">
        <v>511.64</v>
      </c>
      <c r="E914">
        <v>523.58000000000004</v>
      </c>
      <c r="F914">
        <v>510.27</v>
      </c>
    </row>
    <row r="915" spans="1:6" x14ac:dyDescent="0.25">
      <c r="A915" s="1">
        <v>45510</v>
      </c>
      <c r="B915">
        <v>522.15</v>
      </c>
      <c r="C915">
        <v>84826310</v>
      </c>
      <c r="D915">
        <v>519.22</v>
      </c>
      <c r="E915">
        <v>529.75</v>
      </c>
      <c r="F915">
        <v>517.87</v>
      </c>
    </row>
    <row r="916" spans="1:6" x14ac:dyDescent="0.25">
      <c r="A916" s="1">
        <v>45511</v>
      </c>
      <c r="B916">
        <v>518.66</v>
      </c>
      <c r="C916">
        <v>70698340</v>
      </c>
      <c r="D916">
        <v>528.47</v>
      </c>
      <c r="E916">
        <v>531.59</v>
      </c>
      <c r="F916">
        <v>518.05190000000005</v>
      </c>
    </row>
    <row r="917" spans="1:6" x14ac:dyDescent="0.25">
      <c r="A917" s="1">
        <v>45512</v>
      </c>
      <c r="B917">
        <v>530.65</v>
      </c>
      <c r="C917">
        <v>63276590</v>
      </c>
      <c r="D917">
        <v>523.91</v>
      </c>
      <c r="E917">
        <v>531.29</v>
      </c>
      <c r="F917">
        <v>521.84</v>
      </c>
    </row>
    <row r="918" spans="1:6" x14ac:dyDescent="0.25">
      <c r="A918" s="1">
        <v>45513</v>
      </c>
      <c r="B918">
        <v>532.99</v>
      </c>
      <c r="C918">
        <v>45619560</v>
      </c>
      <c r="D918">
        <v>529.80999999999995</v>
      </c>
      <c r="E918">
        <v>534.51</v>
      </c>
      <c r="F918">
        <v>528.55999999999995</v>
      </c>
    </row>
    <row r="919" spans="1:6" x14ac:dyDescent="0.25">
      <c r="A919" s="1">
        <v>45516</v>
      </c>
      <c r="B919">
        <v>533.27</v>
      </c>
      <c r="C919">
        <v>42542070</v>
      </c>
      <c r="D919">
        <v>534.21</v>
      </c>
      <c r="E919">
        <v>535.73</v>
      </c>
      <c r="F919">
        <v>530.95000000000005</v>
      </c>
    </row>
    <row r="920" spans="1:6" x14ac:dyDescent="0.25">
      <c r="A920" s="1">
        <v>45517</v>
      </c>
      <c r="B920">
        <v>542.04</v>
      </c>
      <c r="C920">
        <v>52333070</v>
      </c>
      <c r="D920">
        <v>536.53</v>
      </c>
      <c r="E920">
        <v>542.28</v>
      </c>
      <c r="F920">
        <v>536.28</v>
      </c>
    </row>
    <row r="921" spans="1:6" x14ac:dyDescent="0.25">
      <c r="A921" s="1">
        <v>45518</v>
      </c>
      <c r="B921">
        <v>543.75</v>
      </c>
      <c r="C921">
        <v>42446930</v>
      </c>
      <c r="D921">
        <v>542.85</v>
      </c>
      <c r="E921">
        <v>544.96</v>
      </c>
      <c r="F921">
        <v>540.12</v>
      </c>
    </row>
    <row r="922" spans="1:6" x14ac:dyDescent="0.25">
      <c r="A922" s="1">
        <v>45519</v>
      </c>
      <c r="B922">
        <v>553.07000000000005</v>
      </c>
      <c r="C922">
        <v>60846810</v>
      </c>
      <c r="D922">
        <v>549.5</v>
      </c>
      <c r="E922">
        <v>553.36</v>
      </c>
      <c r="F922">
        <v>548.88</v>
      </c>
    </row>
    <row r="923" spans="1:6" x14ac:dyDescent="0.25">
      <c r="A923" s="1">
        <v>45520</v>
      </c>
      <c r="B923">
        <v>554.30999999999995</v>
      </c>
      <c r="C923">
        <v>44430730</v>
      </c>
      <c r="D923">
        <v>551.41999999999996</v>
      </c>
      <c r="E923">
        <v>555.02</v>
      </c>
      <c r="F923">
        <v>551.26</v>
      </c>
    </row>
    <row r="924" spans="1:6" x14ac:dyDescent="0.25">
      <c r="A924" s="1">
        <v>45523</v>
      </c>
      <c r="B924">
        <v>559.61</v>
      </c>
      <c r="C924">
        <v>39121790</v>
      </c>
      <c r="D924">
        <v>554.73</v>
      </c>
      <c r="E924">
        <v>559.61</v>
      </c>
      <c r="F924">
        <v>553.86</v>
      </c>
    </row>
    <row r="925" spans="1:6" x14ac:dyDescent="0.25">
      <c r="A925" s="1">
        <v>45524</v>
      </c>
      <c r="B925">
        <v>558.70000000000005</v>
      </c>
      <c r="C925">
        <v>33732260</v>
      </c>
      <c r="D925">
        <v>559.15</v>
      </c>
      <c r="E925">
        <v>560.84</v>
      </c>
      <c r="F925">
        <v>557.32500000000005</v>
      </c>
    </row>
    <row r="926" spans="1:6" x14ac:dyDescent="0.25">
      <c r="A926" s="1">
        <v>45525</v>
      </c>
      <c r="B926">
        <v>560.62</v>
      </c>
      <c r="C926">
        <v>41514600</v>
      </c>
      <c r="D926">
        <v>559.77</v>
      </c>
      <c r="E926">
        <v>562.11</v>
      </c>
      <c r="F926">
        <v>554.73</v>
      </c>
    </row>
    <row r="927" spans="1:6" x14ac:dyDescent="0.25">
      <c r="A927" s="1">
        <v>45526</v>
      </c>
      <c r="B927">
        <v>556.22</v>
      </c>
      <c r="C927">
        <v>56121460</v>
      </c>
      <c r="D927">
        <v>562.55999999999995</v>
      </c>
      <c r="E927">
        <v>563.17999999999995</v>
      </c>
      <c r="F927">
        <v>554.98</v>
      </c>
    </row>
    <row r="928" spans="1:6" x14ac:dyDescent="0.25">
      <c r="A928" s="1">
        <v>45527</v>
      </c>
      <c r="B928">
        <v>562.13</v>
      </c>
      <c r="C928">
        <v>50639390</v>
      </c>
      <c r="D928">
        <v>559.53</v>
      </c>
      <c r="E928">
        <v>563.09</v>
      </c>
      <c r="F928">
        <v>557.29</v>
      </c>
    </row>
    <row r="929" spans="1:6" x14ac:dyDescent="0.25">
      <c r="A929" s="1">
        <v>45530</v>
      </c>
      <c r="B929">
        <v>560.79</v>
      </c>
      <c r="C929">
        <v>35788610</v>
      </c>
      <c r="D929">
        <v>563.17999999999995</v>
      </c>
      <c r="E929">
        <v>563.91</v>
      </c>
      <c r="F929">
        <v>559.04999999999995</v>
      </c>
    </row>
    <row r="930" spans="1:6" x14ac:dyDescent="0.25">
      <c r="A930" s="1">
        <v>45531</v>
      </c>
      <c r="B930">
        <v>561.55999999999995</v>
      </c>
      <c r="C930">
        <v>32693900</v>
      </c>
      <c r="D930">
        <v>559.49</v>
      </c>
      <c r="E930">
        <v>562.05999999999995</v>
      </c>
      <c r="F930">
        <v>558.32000000000005</v>
      </c>
    </row>
    <row r="931" spans="1:6" x14ac:dyDescent="0.25">
      <c r="A931" s="1">
        <v>45532</v>
      </c>
      <c r="B931">
        <v>558.29999999999995</v>
      </c>
      <c r="C931">
        <v>41066020</v>
      </c>
      <c r="D931">
        <v>561.21</v>
      </c>
      <c r="E931">
        <v>561.65</v>
      </c>
      <c r="F931">
        <v>555.04</v>
      </c>
    </row>
    <row r="932" spans="1:6" x14ac:dyDescent="0.25">
      <c r="A932" s="1">
        <v>45533</v>
      </c>
      <c r="B932">
        <v>558.35</v>
      </c>
      <c r="C932">
        <v>38715180</v>
      </c>
      <c r="D932">
        <v>560.30999999999995</v>
      </c>
      <c r="E932">
        <v>563.67999999999995</v>
      </c>
      <c r="F932">
        <v>557.17999999999995</v>
      </c>
    </row>
    <row r="933" spans="1:6" x14ac:dyDescent="0.25">
      <c r="A933" s="1">
        <v>45534</v>
      </c>
      <c r="B933">
        <v>563.67999999999995</v>
      </c>
      <c r="C933">
        <v>62700110</v>
      </c>
      <c r="D933">
        <v>560.77</v>
      </c>
      <c r="E933">
        <v>564.20000000000005</v>
      </c>
      <c r="F933">
        <v>557.14</v>
      </c>
    </row>
    <row r="934" spans="1:6" x14ac:dyDescent="0.25">
      <c r="A934" s="1">
        <v>45538</v>
      </c>
      <c r="B934">
        <v>552.08000000000004</v>
      </c>
      <c r="C934">
        <v>60600110</v>
      </c>
      <c r="D934">
        <v>560.47</v>
      </c>
      <c r="E934">
        <v>560.80999999999995</v>
      </c>
      <c r="F934">
        <v>549.51</v>
      </c>
    </row>
    <row r="935" spans="1:6" x14ac:dyDescent="0.25">
      <c r="A935" s="1">
        <v>45539</v>
      </c>
      <c r="B935">
        <v>550.95000000000005</v>
      </c>
      <c r="C935">
        <v>47224940</v>
      </c>
      <c r="D935">
        <v>550.20000000000005</v>
      </c>
      <c r="E935">
        <v>554.42999999999995</v>
      </c>
      <c r="F935">
        <v>549.46</v>
      </c>
    </row>
    <row r="936" spans="1:6" x14ac:dyDescent="0.25">
      <c r="A936" s="1">
        <v>45540</v>
      </c>
      <c r="B936">
        <v>549.61</v>
      </c>
      <c r="C936">
        <v>44264260</v>
      </c>
      <c r="D936">
        <v>550.89</v>
      </c>
      <c r="E936">
        <v>553.79949999999997</v>
      </c>
      <c r="F936">
        <v>547.1</v>
      </c>
    </row>
    <row r="937" spans="1:6" x14ac:dyDescent="0.25">
      <c r="A937" s="1">
        <v>45541</v>
      </c>
      <c r="B937">
        <v>540.36</v>
      </c>
      <c r="C937">
        <v>68493810</v>
      </c>
      <c r="D937">
        <v>549.94000000000005</v>
      </c>
      <c r="E937">
        <v>551.6</v>
      </c>
      <c r="F937">
        <v>539.44000000000005</v>
      </c>
    </row>
    <row r="938" spans="1:6" x14ac:dyDescent="0.25">
      <c r="A938" s="1">
        <v>45544</v>
      </c>
      <c r="B938">
        <v>546.41</v>
      </c>
      <c r="C938">
        <v>40445820</v>
      </c>
      <c r="D938">
        <v>544.65</v>
      </c>
      <c r="E938">
        <v>547.71</v>
      </c>
      <c r="F938">
        <v>542.67999999999995</v>
      </c>
    </row>
    <row r="939" spans="1:6" x14ac:dyDescent="0.25">
      <c r="A939" s="1">
        <v>45545</v>
      </c>
      <c r="B939">
        <v>548.79</v>
      </c>
      <c r="C939">
        <v>36394580</v>
      </c>
      <c r="D939">
        <v>548.36</v>
      </c>
      <c r="E939">
        <v>549.15</v>
      </c>
      <c r="F939">
        <v>543.38</v>
      </c>
    </row>
    <row r="940" spans="1:6" x14ac:dyDescent="0.25">
      <c r="A940" s="1">
        <v>45546</v>
      </c>
      <c r="B940">
        <v>554.41999999999996</v>
      </c>
      <c r="C940">
        <v>75248610</v>
      </c>
      <c r="D940">
        <v>548.70000000000005</v>
      </c>
      <c r="E940">
        <v>555.36</v>
      </c>
      <c r="F940">
        <v>539.96</v>
      </c>
    </row>
    <row r="941" spans="1:6" x14ac:dyDescent="0.25">
      <c r="A941" s="1">
        <v>45547</v>
      </c>
      <c r="B941">
        <v>559.09</v>
      </c>
      <c r="C941">
        <v>51892740</v>
      </c>
      <c r="D941">
        <v>555.01</v>
      </c>
      <c r="E941">
        <v>559.4</v>
      </c>
      <c r="F941">
        <v>552.74</v>
      </c>
    </row>
    <row r="942" spans="1:6" x14ac:dyDescent="0.25">
      <c r="A942" s="1">
        <v>45548</v>
      </c>
      <c r="B942">
        <v>562.01</v>
      </c>
      <c r="C942">
        <v>39310500</v>
      </c>
      <c r="D942">
        <v>559.71</v>
      </c>
      <c r="E942">
        <v>563.03</v>
      </c>
      <c r="F942">
        <v>559.45000000000005</v>
      </c>
    </row>
    <row r="943" spans="1:6" x14ac:dyDescent="0.25">
      <c r="A943" s="1">
        <v>45551</v>
      </c>
      <c r="B943">
        <v>562.84</v>
      </c>
      <c r="C943">
        <v>36656120</v>
      </c>
      <c r="D943">
        <v>561.74</v>
      </c>
      <c r="E943">
        <v>563.11</v>
      </c>
      <c r="F943">
        <v>559.9</v>
      </c>
    </row>
    <row r="944" spans="1:6" x14ac:dyDescent="0.25">
      <c r="A944" s="1">
        <v>45552</v>
      </c>
      <c r="B944">
        <v>563.07000000000005</v>
      </c>
      <c r="C944">
        <v>49320970</v>
      </c>
      <c r="D944">
        <v>565.1</v>
      </c>
      <c r="E944">
        <v>566.58000000000004</v>
      </c>
      <c r="F944">
        <v>560.79499999999996</v>
      </c>
    </row>
    <row r="945" spans="1:6" x14ac:dyDescent="0.25">
      <c r="A945" s="1">
        <v>45553</v>
      </c>
      <c r="B945">
        <v>561.4</v>
      </c>
      <c r="C945">
        <v>59044940</v>
      </c>
      <c r="D945">
        <v>563.74</v>
      </c>
      <c r="E945">
        <v>568.69000000000005</v>
      </c>
      <c r="F945">
        <v>560.83000000000004</v>
      </c>
    </row>
    <row r="946" spans="1:6" x14ac:dyDescent="0.25">
      <c r="A946" s="1">
        <v>45554</v>
      </c>
      <c r="B946">
        <v>570.98</v>
      </c>
      <c r="C946">
        <v>75315470</v>
      </c>
      <c r="D946">
        <v>571.01</v>
      </c>
      <c r="E946">
        <v>572.88</v>
      </c>
      <c r="F946">
        <v>568.08000000000004</v>
      </c>
    </row>
    <row r="947" spans="1:6" x14ac:dyDescent="0.25">
      <c r="A947" s="1">
        <v>45555</v>
      </c>
      <c r="B947">
        <v>568.25</v>
      </c>
      <c r="C947">
        <v>77503110</v>
      </c>
      <c r="D947">
        <v>567.84</v>
      </c>
      <c r="E947">
        <v>569.30999999999995</v>
      </c>
      <c r="F947">
        <v>565.16999999999996</v>
      </c>
    </row>
    <row r="948" spans="1:6" x14ac:dyDescent="0.25">
      <c r="A948" s="1">
        <v>45558</v>
      </c>
      <c r="B948">
        <v>569.66999999999996</v>
      </c>
      <c r="C948">
        <v>44116920</v>
      </c>
      <c r="D948">
        <v>569.34</v>
      </c>
      <c r="E948">
        <v>570.33249999999998</v>
      </c>
      <c r="F948">
        <v>568.1</v>
      </c>
    </row>
    <row r="949" spans="1:6" x14ac:dyDescent="0.25">
      <c r="A949" s="1">
        <v>45559</v>
      </c>
      <c r="B949">
        <v>571.29999999999995</v>
      </c>
      <c r="C949">
        <v>46805670</v>
      </c>
      <c r="D949">
        <v>570.48</v>
      </c>
      <c r="E949">
        <v>571.36</v>
      </c>
      <c r="F949">
        <v>567.6</v>
      </c>
    </row>
    <row r="950" spans="1:6" x14ac:dyDescent="0.25">
      <c r="A950" s="1">
        <v>45560</v>
      </c>
      <c r="B950">
        <v>570.04</v>
      </c>
      <c r="C950">
        <v>38428590</v>
      </c>
      <c r="D950">
        <v>571.14</v>
      </c>
      <c r="E950">
        <v>571.89</v>
      </c>
      <c r="F950">
        <v>568.91</v>
      </c>
    </row>
    <row r="951" spans="1:6" x14ac:dyDescent="0.25">
      <c r="A951" s="1">
        <v>45561</v>
      </c>
      <c r="B951">
        <v>572.29999999999995</v>
      </c>
      <c r="C951">
        <v>48336000</v>
      </c>
      <c r="D951">
        <v>574.38</v>
      </c>
      <c r="E951">
        <v>574.71</v>
      </c>
      <c r="F951">
        <v>569.9</v>
      </c>
    </row>
    <row r="952" spans="1:6" x14ac:dyDescent="0.25">
      <c r="A952" s="1">
        <v>45562</v>
      </c>
      <c r="B952">
        <v>571.47</v>
      </c>
      <c r="C952">
        <v>42100930</v>
      </c>
      <c r="D952">
        <v>573.39</v>
      </c>
      <c r="E952">
        <v>574.22</v>
      </c>
      <c r="F952">
        <v>570.41999999999996</v>
      </c>
    </row>
    <row r="953" spans="1:6" x14ac:dyDescent="0.25">
      <c r="A953" s="1">
        <v>45565</v>
      </c>
      <c r="B953">
        <v>573.76</v>
      </c>
      <c r="C953">
        <v>63655450</v>
      </c>
      <c r="D953">
        <v>570.41999999999996</v>
      </c>
      <c r="E953">
        <v>574.38</v>
      </c>
      <c r="F953">
        <v>568.08000000000004</v>
      </c>
    </row>
    <row r="954" spans="1:6" x14ac:dyDescent="0.25">
      <c r="A954" s="1">
        <v>45566</v>
      </c>
      <c r="B954">
        <v>568.62</v>
      </c>
      <c r="C954">
        <v>72668780</v>
      </c>
      <c r="D954">
        <v>573.4</v>
      </c>
      <c r="E954">
        <v>574.06219999999996</v>
      </c>
      <c r="F954">
        <v>566</v>
      </c>
    </row>
    <row r="955" spans="1:6" x14ac:dyDescent="0.25">
      <c r="A955" s="1">
        <v>45567</v>
      </c>
      <c r="B955">
        <v>568.86</v>
      </c>
      <c r="C955">
        <v>38097800</v>
      </c>
      <c r="D955">
        <v>567.71</v>
      </c>
      <c r="E955">
        <v>569.9</v>
      </c>
      <c r="F955">
        <v>565.27</v>
      </c>
    </row>
    <row r="956" spans="1:6" x14ac:dyDescent="0.25">
      <c r="A956" s="1">
        <v>45568</v>
      </c>
      <c r="B956">
        <v>567.82000000000005</v>
      </c>
      <c r="C956">
        <v>40846470</v>
      </c>
      <c r="D956">
        <v>567.36</v>
      </c>
      <c r="E956">
        <v>569.80250000000001</v>
      </c>
      <c r="F956">
        <v>565.49</v>
      </c>
    </row>
    <row r="957" spans="1:6" x14ac:dyDescent="0.25">
      <c r="A957" s="1">
        <v>45569</v>
      </c>
      <c r="B957">
        <v>572.98</v>
      </c>
      <c r="C957">
        <v>43005190</v>
      </c>
      <c r="D957">
        <v>572.35</v>
      </c>
      <c r="E957">
        <v>573.36</v>
      </c>
      <c r="F957">
        <v>568.1</v>
      </c>
    </row>
    <row r="958" spans="1:6" x14ac:dyDescent="0.25">
      <c r="A958" s="1">
        <v>45572</v>
      </c>
      <c r="B958">
        <v>567.79999999999995</v>
      </c>
      <c r="C958">
        <v>49964690</v>
      </c>
      <c r="D958">
        <v>571.29999999999995</v>
      </c>
      <c r="E958">
        <v>571.95989999999995</v>
      </c>
      <c r="F958">
        <v>566.63</v>
      </c>
    </row>
    <row r="959" spans="1:6" x14ac:dyDescent="0.25">
      <c r="A959" s="1">
        <v>45573</v>
      </c>
      <c r="B959">
        <v>573.16999999999996</v>
      </c>
      <c r="C959">
        <v>37398690</v>
      </c>
      <c r="D959">
        <v>570.41999999999996</v>
      </c>
      <c r="E959">
        <v>573.78</v>
      </c>
      <c r="F959">
        <v>569.5299</v>
      </c>
    </row>
    <row r="960" spans="1:6" x14ac:dyDescent="0.25">
      <c r="A960" s="1">
        <v>45574</v>
      </c>
      <c r="B960">
        <v>577.14</v>
      </c>
      <c r="C960">
        <v>37912240</v>
      </c>
      <c r="D960">
        <v>573.16</v>
      </c>
      <c r="E960">
        <v>577.71</v>
      </c>
      <c r="F960">
        <v>572.54999999999995</v>
      </c>
    </row>
    <row r="961" spans="1:6" x14ac:dyDescent="0.25">
      <c r="A961" s="1">
        <v>45575</v>
      </c>
      <c r="B961">
        <v>576.13</v>
      </c>
      <c r="C961">
        <v>44138060</v>
      </c>
      <c r="D961">
        <v>575.77</v>
      </c>
      <c r="E961">
        <v>577.58000000000004</v>
      </c>
      <c r="F961">
        <v>574.49</v>
      </c>
    </row>
    <row r="962" spans="1:6" x14ac:dyDescent="0.25">
      <c r="A962" s="1">
        <v>45576</v>
      </c>
      <c r="B962">
        <v>579.58000000000004</v>
      </c>
      <c r="C962">
        <v>42267990</v>
      </c>
      <c r="D962">
        <v>576.04999999999995</v>
      </c>
      <c r="E962">
        <v>580.33000000000004</v>
      </c>
      <c r="F962">
        <v>575.91</v>
      </c>
    </row>
    <row r="963" spans="1:6" x14ac:dyDescent="0.25">
      <c r="A963" s="1">
        <v>45579</v>
      </c>
      <c r="B963">
        <v>584.32000000000005</v>
      </c>
      <c r="C963">
        <v>36217220</v>
      </c>
      <c r="D963">
        <v>581.22</v>
      </c>
      <c r="E963">
        <v>585.27</v>
      </c>
      <c r="F963">
        <v>580.73</v>
      </c>
    </row>
    <row r="964" spans="1:6" x14ac:dyDescent="0.25">
      <c r="A964" s="1">
        <v>45580</v>
      </c>
      <c r="B964">
        <v>579.78</v>
      </c>
      <c r="C964">
        <v>54203640</v>
      </c>
      <c r="D964">
        <v>584.59</v>
      </c>
      <c r="E964">
        <v>584.9</v>
      </c>
      <c r="F964">
        <v>578.54499999999996</v>
      </c>
    </row>
    <row r="965" spans="1:6" x14ac:dyDescent="0.25">
      <c r="A965" s="1">
        <v>45581</v>
      </c>
      <c r="B965">
        <v>582.29999999999995</v>
      </c>
      <c r="C965">
        <v>30725440</v>
      </c>
      <c r="D965">
        <v>579.78</v>
      </c>
      <c r="E965">
        <v>582.83000000000004</v>
      </c>
      <c r="F965">
        <v>578.96</v>
      </c>
    </row>
    <row r="966" spans="1:6" x14ac:dyDescent="0.25">
      <c r="A966" s="1">
        <v>45582</v>
      </c>
      <c r="B966">
        <v>582.35</v>
      </c>
      <c r="C966">
        <v>34393710</v>
      </c>
      <c r="D966">
        <v>585.91</v>
      </c>
      <c r="E966">
        <v>586.12</v>
      </c>
      <c r="F966">
        <v>582.16</v>
      </c>
    </row>
    <row r="967" spans="1:6" x14ac:dyDescent="0.25">
      <c r="A967" s="1">
        <v>45583</v>
      </c>
      <c r="B967">
        <v>584.59</v>
      </c>
      <c r="C967">
        <v>37416800</v>
      </c>
      <c r="D967">
        <v>584.07000000000005</v>
      </c>
      <c r="E967">
        <v>585.39</v>
      </c>
      <c r="F967">
        <v>582.58000000000004</v>
      </c>
    </row>
    <row r="968" spans="1:6" x14ac:dyDescent="0.25">
      <c r="A968" s="1">
        <v>45586</v>
      </c>
      <c r="B968">
        <v>583.63</v>
      </c>
      <c r="C968">
        <v>36439010</v>
      </c>
      <c r="D968">
        <v>583.85</v>
      </c>
      <c r="E968">
        <v>584.85</v>
      </c>
      <c r="F968">
        <v>580.6001</v>
      </c>
    </row>
    <row r="969" spans="1:6" x14ac:dyDescent="0.25">
      <c r="A969" s="1">
        <v>45587</v>
      </c>
      <c r="B969">
        <v>583.32000000000005</v>
      </c>
      <c r="C969">
        <v>34183840</v>
      </c>
      <c r="D969">
        <v>581.04999999999995</v>
      </c>
      <c r="E969">
        <v>584.5</v>
      </c>
      <c r="F969">
        <v>580.38</v>
      </c>
    </row>
    <row r="970" spans="1:6" x14ac:dyDescent="0.25">
      <c r="A970" s="1">
        <v>45588</v>
      </c>
      <c r="B970">
        <v>577.99</v>
      </c>
      <c r="C970">
        <v>49314570</v>
      </c>
      <c r="D970">
        <v>581.26</v>
      </c>
      <c r="E970">
        <v>581.70860000000005</v>
      </c>
      <c r="F970">
        <v>574.41499999999996</v>
      </c>
    </row>
    <row r="971" spans="1:6" x14ac:dyDescent="0.25">
      <c r="A971" s="1">
        <v>45589</v>
      </c>
      <c r="B971">
        <v>579.24</v>
      </c>
      <c r="C971">
        <v>34979860</v>
      </c>
      <c r="D971">
        <v>579.98</v>
      </c>
      <c r="E971">
        <v>580.05999999999995</v>
      </c>
      <c r="F971">
        <v>576.57000000000005</v>
      </c>
    </row>
    <row r="972" spans="1:6" x14ac:dyDescent="0.25">
      <c r="A972" s="1">
        <v>45590</v>
      </c>
      <c r="B972">
        <v>579.04</v>
      </c>
      <c r="C972">
        <v>47268180</v>
      </c>
      <c r="D972">
        <v>581.51</v>
      </c>
      <c r="E972">
        <v>584.46</v>
      </c>
      <c r="F972">
        <v>578.08000000000004</v>
      </c>
    </row>
    <row r="973" spans="1:6" x14ac:dyDescent="0.25">
      <c r="A973" s="1">
        <v>45593</v>
      </c>
      <c r="B973">
        <v>580.83000000000004</v>
      </c>
      <c r="C973">
        <v>30174700</v>
      </c>
      <c r="D973">
        <v>582.58000000000004</v>
      </c>
      <c r="E973">
        <v>582.71</v>
      </c>
      <c r="F973">
        <v>580.52</v>
      </c>
    </row>
    <row r="974" spans="1:6" x14ac:dyDescent="0.25">
      <c r="A974" s="1">
        <v>45594</v>
      </c>
      <c r="B974">
        <v>581.77</v>
      </c>
      <c r="C974">
        <v>42899660</v>
      </c>
      <c r="D974">
        <v>579.85</v>
      </c>
      <c r="E974">
        <v>582.90700000000004</v>
      </c>
      <c r="F974">
        <v>578.42999999999995</v>
      </c>
    </row>
    <row r="975" spans="1:6" x14ac:dyDescent="0.25">
      <c r="A975" s="1">
        <v>45595</v>
      </c>
      <c r="B975">
        <v>580.01</v>
      </c>
      <c r="C975">
        <v>41435840</v>
      </c>
      <c r="D975">
        <v>581.29</v>
      </c>
      <c r="E975">
        <v>583.32000000000005</v>
      </c>
      <c r="F975">
        <v>579.29</v>
      </c>
    </row>
    <row r="976" spans="1:6" x14ac:dyDescent="0.25">
      <c r="A976" s="1">
        <v>45596</v>
      </c>
      <c r="B976">
        <v>568.64</v>
      </c>
      <c r="C976">
        <v>60182450</v>
      </c>
      <c r="D976">
        <v>575.55999999999995</v>
      </c>
      <c r="E976">
        <v>575.63</v>
      </c>
      <c r="F976">
        <v>568.44000000000005</v>
      </c>
    </row>
    <row r="977" spans="1:6" x14ac:dyDescent="0.25">
      <c r="A977" s="1">
        <v>45597</v>
      </c>
      <c r="B977">
        <v>571.04</v>
      </c>
      <c r="C977">
        <v>45667530</v>
      </c>
      <c r="D977">
        <v>571.32000000000005</v>
      </c>
      <c r="E977">
        <v>575.54999999999995</v>
      </c>
      <c r="F977">
        <v>570.62</v>
      </c>
    </row>
    <row r="978" spans="1:6" x14ac:dyDescent="0.25">
      <c r="A978" s="1">
        <v>45600</v>
      </c>
      <c r="B978">
        <v>569.80999999999995</v>
      </c>
      <c r="C978">
        <v>38216980</v>
      </c>
      <c r="D978">
        <v>571.17999999999995</v>
      </c>
      <c r="E978">
        <v>572.5</v>
      </c>
      <c r="F978">
        <v>567.89</v>
      </c>
    </row>
    <row r="979" spans="1:6" x14ac:dyDescent="0.25">
      <c r="A979" s="1">
        <v>45601</v>
      </c>
      <c r="B979">
        <v>576.70000000000005</v>
      </c>
      <c r="C979">
        <v>39478320</v>
      </c>
      <c r="D979">
        <v>570.74</v>
      </c>
      <c r="E979">
        <v>576.74</v>
      </c>
      <c r="F979">
        <v>570.52</v>
      </c>
    </row>
    <row r="980" spans="1:6" x14ac:dyDescent="0.25">
      <c r="A980" s="1">
        <v>45602</v>
      </c>
      <c r="B980">
        <v>591.04</v>
      </c>
      <c r="C980">
        <v>68181970</v>
      </c>
      <c r="D980">
        <v>589.20000000000005</v>
      </c>
      <c r="E980">
        <v>591.92999999999995</v>
      </c>
      <c r="F980">
        <v>585.39</v>
      </c>
    </row>
    <row r="981" spans="1:6" x14ac:dyDescent="0.25">
      <c r="A981" s="1">
        <v>45603</v>
      </c>
      <c r="B981">
        <v>595.61</v>
      </c>
      <c r="C981">
        <v>47233210</v>
      </c>
      <c r="D981">
        <v>593.08000000000004</v>
      </c>
      <c r="E981">
        <v>596.65</v>
      </c>
      <c r="F981">
        <v>592.99990000000003</v>
      </c>
    </row>
    <row r="982" spans="1:6" x14ac:dyDescent="0.25">
      <c r="A982" s="1">
        <v>45604</v>
      </c>
      <c r="B982">
        <v>598.19000000000005</v>
      </c>
      <c r="C982">
        <v>46444890</v>
      </c>
      <c r="D982">
        <v>596.16999999999996</v>
      </c>
      <c r="E982">
        <v>599.64</v>
      </c>
      <c r="F982">
        <v>596.16499999999996</v>
      </c>
    </row>
    <row r="983" spans="1:6" x14ac:dyDescent="0.25">
      <c r="A983" s="1">
        <v>45607</v>
      </c>
      <c r="B983">
        <v>598.76</v>
      </c>
      <c r="C983">
        <v>37586770</v>
      </c>
      <c r="D983">
        <v>599.80999999999995</v>
      </c>
      <c r="E983">
        <v>600.16999999999996</v>
      </c>
      <c r="F983">
        <v>597</v>
      </c>
    </row>
    <row r="984" spans="1:6" x14ac:dyDescent="0.25">
      <c r="A984" s="1">
        <v>45608</v>
      </c>
      <c r="B984">
        <v>596.9</v>
      </c>
      <c r="C984">
        <v>43006130</v>
      </c>
      <c r="D984">
        <v>598.67999999999995</v>
      </c>
      <c r="E984">
        <v>599.29</v>
      </c>
      <c r="F984">
        <v>594.37</v>
      </c>
    </row>
    <row r="985" spans="1:6" x14ac:dyDescent="0.25">
      <c r="A985" s="1">
        <v>45609</v>
      </c>
      <c r="B985">
        <v>597.19000000000005</v>
      </c>
      <c r="C985">
        <v>47388640</v>
      </c>
      <c r="D985">
        <v>597.37</v>
      </c>
      <c r="E985">
        <v>599.23</v>
      </c>
      <c r="F985">
        <v>594.96</v>
      </c>
    </row>
    <row r="986" spans="1:6" x14ac:dyDescent="0.25">
      <c r="A986" s="1">
        <v>45610</v>
      </c>
      <c r="B986">
        <v>593.35</v>
      </c>
      <c r="C986">
        <v>38904110</v>
      </c>
      <c r="D986">
        <v>597.32000000000005</v>
      </c>
      <c r="E986">
        <v>597.80999999999995</v>
      </c>
      <c r="F986">
        <v>592.65</v>
      </c>
    </row>
    <row r="987" spans="1:6" x14ac:dyDescent="0.25">
      <c r="A987" s="1">
        <v>45611</v>
      </c>
      <c r="B987">
        <v>585.75</v>
      </c>
      <c r="C987">
        <v>75988770</v>
      </c>
      <c r="D987">
        <v>589.72</v>
      </c>
      <c r="E987">
        <v>590.20000000000005</v>
      </c>
      <c r="F987">
        <v>583.86</v>
      </c>
    </row>
    <row r="988" spans="1:6" x14ac:dyDescent="0.25">
      <c r="A988" s="1">
        <v>45614</v>
      </c>
      <c r="B988">
        <v>588.15</v>
      </c>
      <c r="C988">
        <v>37084080</v>
      </c>
      <c r="D988">
        <v>586.22</v>
      </c>
      <c r="E988">
        <v>589.49</v>
      </c>
      <c r="F988">
        <v>585.34</v>
      </c>
    </row>
    <row r="989" spans="1:6" x14ac:dyDescent="0.25">
      <c r="A989" s="1">
        <v>45615</v>
      </c>
      <c r="B989">
        <v>590.29999999999995</v>
      </c>
      <c r="C989">
        <v>49412050</v>
      </c>
      <c r="D989">
        <v>584.71</v>
      </c>
      <c r="E989">
        <v>591.04499999999996</v>
      </c>
      <c r="F989">
        <v>584.03</v>
      </c>
    </row>
    <row r="990" spans="1:6" x14ac:dyDescent="0.25">
      <c r="A990" s="1">
        <v>45616</v>
      </c>
      <c r="B990">
        <v>590.5</v>
      </c>
      <c r="C990">
        <v>50032580</v>
      </c>
      <c r="D990">
        <v>590.38</v>
      </c>
      <c r="E990">
        <v>590.79</v>
      </c>
      <c r="F990">
        <v>584.63</v>
      </c>
    </row>
    <row r="991" spans="1:6" x14ac:dyDescent="0.25">
      <c r="A991" s="1">
        <v>45617</v>
      </c>
      <c r="B991">
        <v>593.66999999999996</v>
      </c>
      <c r="C991">
        <v>46750290</v>
      </c>
      <c r="D991">
        <v>593.4</v>
      </c>
      <c r="E991">
        <v>595.12</v>
      </c>
      <c r="F991">
        <v>587.45000000000005</v>
      </c>
    </row>
    <row r="992" spans="1:6" x14ac:dyDescent="0.25">
      <c r="A992" s="1">
        <v>45618</v>
      </c>
      <c r="B992">
        <v>595.51</v>
      </c>
      <c r="C992">
        <v>38226390</v>
      </c>
      <c r="D992">
        <v>593.66</v>
      </c>
      <c r="E992">
        <v>596.15</v>
      </c>
      <c r="F992">
        <v>593.15250000000003</v>
      </c>
    </row>
    <row r="993" spans="1:6" x14ac:dyDescent="0.25">
      <c r="A993" s="1">
        <v>45621</v>
      </c>
      <c r="B993">
        <v>597.53</v>
      </c>
      <c r="C993">
        <v>42441390</v>
      </c>
      <c r="D993">
        <v>599.52</v>
      </c>
      <c r="E993">
        <v>600.86</v>
      </c>
      <c r="F993">
        <v>595.20000000000005</v>
      </c>
    </row>
    <row r="994" spans="1:6" x14ac:dyDescent="0.25">
      <c r="A994" s="1">
        <v>45622</v>
      </c>
      <c r="B994">
        <v>600.65</v>
      </c>
      <c r="C994">
        <v>45621290</v>
      </c>
      <c r="D994">
        <v>598.79999999999995</v>
      </c>
      <c r="E994">
        <v>601.33000000000004</v>
      </c>
      <c r="F994">
        <v>598.07000000000005</v>
      </c>
    </row>
    <row r="995" spans="1:6" x14ac:dyDescent="0.25">
      <c r="A995" s="1">
        <v>45623</v>
      </c>
      <c r="B995">
        <v>598.83000000000004</v>
      </c>
      <c r="C995">
        <v>34000160</v>
      </c>
      <c r="D995">
        <v>600.46</v>
      </c>
      <c r="E995">
        <v>600.85</v>
      </c>
      <c r="F995">
        <v>597.28</v>
      </c>
    </row>
    <row r="996" spans="1:6" x14ac:dyDescent="0.25">
      <c r="A996" s="1">
        <v>45625</v>
      </c>
      <c r="B996">
        <v>602.54999999999995</v>
      </c>
      <c r="C996">
        <v>30177350</v>
      </c>
      <c r="D996">
        <v>599.66</v>
      </c>
      <c r="E996">
        <v>603.35</v>
      </c>
      <c r="F996">
        <v>599.38049999999998</v>
      </c>
    </row>
    <row r="997" spans="1:6" x14ac:dyDescent="0.25">
      <c r="A997" s="1">
        <v>45628</v>
      </c>
      <c r="B997">
        <v>603.63</v>
      </c>
      <c r="C997">
        <v>31745990</v>
      </c>
      <c r="D997">
        <v>602.97</v>
      </c>
      <c r="E997">
        <v>604.32000000000005</v>
      </c>
      <c r="F997">
        <v>602.47</v>
      </c>
    </row>
    <row r="998" spans="1:6" x14ac:dyDescent="0.25">
      <c r="A998" s="1">
        <v>45629</v>
      </c>
      <c r="B998">
        <v>603.91</v>
      </c>
      <c r="C998">
        <v>26906630</v>
      </c>
      <c r="D998">
        <v>603.39</v>
      </c>
      <c r="E998">
        <v>604.16</v>
      </c>
      <c r="F998">
        <v>602.34100000000001</v>
      </c>
    </row>
    <row r="999" spans="1:6" x14ac:dyDescent="0.25">
      <c r="A999" s="1">
        <v>45630</v>
      </c>
      <c r="B999">
        <v>607.66</v>
      </c>
      <c r="C999">
        <v>42787560</v>
      </c>
      <c r="D999">
        <v>605.63</v>
      </c>
      <c r="E999">
        <v>607.91</v>
      </c>
      <c r="F999">
        <v>604.95000000000005</v>
      </c>
    </row>
    <row r="1000" spans="1:6" x14ac:dyDescent="0.25">
      <c r="A1000" s="1">
        <v>45631</v>
      </c>
      <c r="B1000">
        <v>606.66</v>
      </c>
      <c r="C1000">
        <v>28762180</v>
      </c>
      <c r="D1000">
        <v>607.66</v>
      </c>
      <c r="E1000">
        <v>608.48</v>
      </c>
      <c r="F1000">
        <v>606.30499999999995</v>
      </c>
    </row>
    <row r="1001" spans="1:6" x14ac:dyDescent="0.25">
      <c r="A1001" s="1">
        <v>45632</v>
      </c>
      <c r="B1001">
        <v>607.80999999999995</v>
      </c>
      <c r="C1001">
        <v>31241550</v>
      </c>
      <c r="D1001">
        <v>607.44000000000005</v>
      </c>
      <c r="E1001">
        <v>609.07000000000005</v>
      </c>
      <c r="F1001">
        <v>607.02</v>
      </c>
    </row>
    <row r="1002" spans="1:6" x14ac:dyDescent="0.25">
      <c r="A1002" s="1">
        <v>45635</v>
      </c>
      <c r="B1002">
        <v>604.67999999999995</v>
      </c>
      <c r="C1002">
        <v>34742740</v>
      </c>
      <c r="D1002">
        <v>607.69000000000005</v>
      </c>
      <c r="E1002">
        <v>607.86</v>
      </c>
      <c r="F1002">
        <v>604.08000000000004</v>
      </c>
    </row>
    <row r="1003" spans="1:6" x14ac:dyDescent="0.25">
      <c r="A1003" s="1">
        <v>45636</v>
      </c>
      <c r="B1003">
        <v>602.79999999999995</v>
      </c>
      <c r="C1003">
        <v>37234520</v>
      </c>
      <c r="D1003">
        <v>605.37</v>
      </c>
      <c r="E1003">
        <v>605.79999999999995</v>
      </c>
      <c r="F1003">
        <v>602.13</v>
      </c>
    </row>
    <row r="1004" spans="1:6" x14ac:dyDescent="0.25">
      <c r="A1004" s="1">
        <v>45637</v>
      </c>
      <c r="B1004">
        <v>607.46</v>
      </c>
      <c r="C1004">
        <v>28677720</v>
      </c>
      <c r="D1004">
        <v>605.78</v>
      </c>
      <c r="E1004">
        <v>608.43499999999995</v>
      </c>
      <c r="F1004">
        <v>605.5</v>
      </c>
    </row>
    <row r="1005" spans="1:6" x14ac:dyDescent="0.25">
      <c r="A1005" s="1">
        <v>45638</v>
      </c>
      <c r="B1005">
        <v>604.33000000000004</v>
      </c>
      <c r="C1005">
        <v>31543810</v>
      </c>
      <c r="D1005">
        <v>606.58000000000004</v>
      </c>
      <c r="E1005">
        <v>607.16</v>
      </c>
      <c r="F1005">
        <v>604.33000000000004</v>
      </c>
    </row>
    <row r="1006" spans="1:6" x14ac:dyDescent="0.25">
      <c r="A1006" s="1">
        <v>45639</v>
      </c>
      <c r="B1006">
        <v>604.21</v>
      </c>
      <c r="C1006">
        <v>35904730</v>
      </c>
      <c r="D1006">
        <v>606.4</v>
      </c>
      <c r="E1006">
        <v>607.13</v>
      </c>
      <c r="F1006">
        <v>602.80999999999995</v>
      </c>
    </row>
    <row r="1007" spans="1:6" x14ac:dyDescent="0.25">
      <c r="A1007" s="1">
        <v>45642</v>
      </c>
      <c r="B1007">
        <v>606.79</v>
      </c>
      <c r="C1007">
        <v>43695180</v>
      </c>
      <c r="D1007">
        <v>606</v>
      </c>
      <c r="E1007">
        <v>607.77949999999998</v>
      </c>
      <c r="F1007">
        <v>605.21</v>
      </c>
    </row>
    <row r="1008" spans="1:6" x14ac:dyDescent="0.25">
      <c r="A1008" s="1">
        <v>45643</v>
      </c>
      <c r="B1008">
        <v>604.29</v>
      </c>
      <c r="C1008">
        <v>55773550</v>
      </c>
      <c r="D1008">
        <v>604.19000000000005</v>
      </c>
      <c r="E1008">
        <v>605.16999999999996</v>
      </c>
      <c r="F1008">
        <v>602.88499999999999</v>
      </c>
    </row>
    <row r="1009" spans="1:6" x14ac:dyDescent="0.25">
      <c r="A1009" s="1">
        <v>45644</v>
      </c>
      <c r="B1009">
        <v>586.28</v>
      </c>
      <c r="C1009">
        <v>108248700</v>
      </c>
      <c r="D1009">
        <v>603.98</v>
      </c>
      <c r="E1009">
        <v>606.40499999999997</v>
      </c>
      <c r="F1009">
        <v>585.89</v>
      </c>
    </row>
    <row r="1010" spans="1:6" x14ac:dyDescent="0.25">
      <c r="A1010" s="1">
        <v>45645</v>
      </c>
      <c r="B1010">
        <v>586.1</v>
      </c>
      <c r="C1010">
        <v>85919450</v>
      </c>
      <c r="D1010">
        <v>591.36</v>
      </c>
      <c r="E1010">
        <v>593</v>
      </c>
      <c r="F1010">
        <v>585.85</v>
      </c>
    </row>
    <row r="1011" spans="1:6" x14ac:dyDescent="0.25">
      <c r="A1011" s="1">
        <v>45646</v>
      </c>
      <c r="B1011">
        <v>591.15</v>
      </c>
      <c r="C1011">
        <v>125716700</v>
      </c>
      <c r="D1011">
        <v>581.77</v>
      </c>
      <c r="E1011">
        <v>595.75</v>
      </c>
      <c r="F1011">
        <v>580.91</v>
      </c>
    </row>
    <row r="1012" spans="1:6" x14ac:dyDescent="0.25">
      <c r="A1012" s="1">
        <v>45649</v>
      </c>
      <c r="B1012">
        <v>594.69000000000005</v>
      </c>
      <c r="C1012">
        <v>57635830</v>
      </c>
      <c r="D1012">
        <v>590.89</v>
      </c>
      <c r="E1012">
        <v>595.29999999999995</v>
      </c>
      <c r="F1012">
        <v>587.66099999999994</v>
      </c>
    </row>
    <row r="1013" spans="1:6" x14ac:dyDescent="0.25">
      <c r="A1013" s="1">
        <v>45650</v>
      </c>
      <c r="B1013">
        <v>601.29999999999995</v>
      </c>
      <c r="C1013">
        <v>33160100</v>
      </c>
      <c r="D1013">
        <v>596.05999999999995</v>
      </c>
      <c r="E1013">
        <v>601.34</v>
      </c>
      <c r="F1013">
        <v>595.47</v>
      </c>
    </row>
    <row r="1014" spans="1:6" x14ac:dyDescent="0.25">
      <c r="A1014" s="1">
        <v>45652</v>
      </c>
      <c r="B1014">
        <v>601.34</v>
      </c>
      <c r="C1014">
        <v>41338890</v>
      </c>
      <c r="D1014">
        <v>599.5</v>
      </c>
      <c r="E1014">
        <v>602.48</v>
      </c>
      <c r="F1014">
        <v>598.08249999999998</v>
      </c>
    </row>
    <row r="1015" spans="1:6" x14ac:dyDescent="0.25">
      <c r="A1015" s="1">
        <v>45653</v>
      </c>
      <c r="B1015">
        <v>595.01</v>
      </c>
      <c r="C1015">
        <v>64969310</v>
      </c>
      <c r="D1015">
        <v>597.54</v>
      </c>
      <c r="E1015">
        <v>597.77610000000004</v>
      </c>
      <c r="F1015">
        <v>590.76469999999995</v>
      </c>
    </row>
    <row r="1016" spans="1:6" x14ac:dyDescent="0.25">
      <c r="A1016" s="1">
        <v>45656</v>
      </c>
      <c r="B1016">
        <v>588.22</v>
      </c>
      <c r="C1016">
        <v>56578760</v>
      </c>
      <c r="D1016">
        <v>587.89</v>
      </c>
      <c r="E1016">
        <v>591.74</v>
      </c>
      <c r="F1016">
        <v>584.41</v>
      </c>
    </row>
    <row r="1017" spans="1:6" x14ac:dyDescent="0.25">
      <c r="A1017" s="1">
        <v>45657</v>
      </c>
      <c r="B1017">
        <v>586.08000000000004</v>
      </c>
      <c r="C1017">
        <v>57052650</v>
      </c>
      <c r="D1017">
        <v>589.90499999999997</v>
      </c>
      <c r="E1017">
        <v>590.63990000000001</v>
      </c>
      <c r="F1017">
        <v>584.41999999999996</v>
      </c>
    </row>
    <row r="1018" spans="1:6" x14ac:dyDescent="0.25">
      <c r="A1018" s="1">
        <v>45659</v>
      </c>
      <c r="B1018">
        <v>584.64</v>
      </c>
      <c r="C1018">
        <v>50203980</v>
      </c>
      <c r="D1018">
        <v>589.39</v>
      </c>
      <c r="E1018">
        <v>591.13</v>
      </c>
      <c r="F1018">
        <v>580.5</v>
      </c>
    </row>
    <row r="1019" spans="1:6" x14ac:dyDescent="0.25">
      <c r="A1019" s="1">
        <v>45660</v>
      </c>
      <c r="B1019">
        <v>591.95000000000005</v>
      </c>
      <c r="C1019">
        <v>37888460</v>
      </c>
      <c r="D1019">
        <v>587.53</v>
      </c>
      <c r="E1019">
        <v>592.6</v>
      </c>
      <c r="F1019">
        <v>586.42999999999995</v>
      </c>
    </row>
    <row r="1020" spans="1:6" x14ac:dyDescent="0.25">
      <c r="A1020" s="1">
        <v>45663</v>
      </c>
      <c r="B1020">
        <v>595.36</v>
      </c>
      <c r="C1020">
        <v>47679440</v>
      </c>
      <c r="D1020">
        <v>596.27</v>
      </c>
      <c r="E1020">
        <v>599.70000000000005</v>
      </c>
      <c r="F1020">
        <v>593.6</v>
      </c>
    </row>
    <row r="1021" spans="1:6" x14ac:dyDescent="0.25">
      <c r="A1021" s="1">
        <v>45664</v>
      </c>
      <c r="B1021">
        <v>588.63</v>
      </c>
      <c r="C1021">
        <v>60393050</v>
      </c>
      <c r="D1021">
        <v>597.41999999999996</v>
      </c>
      <c r="E1021">
        <v>597.75</v>
      </c>
      <c r="F1021">
        <v>586.78</v>
      </c>
    </row>
    <row r="1022" spans="1:6" x14ac:dyDescent="0.25">
      <c r="A1022" s="1">
        <v>45665</v>
      </c>
      <c r="B1022">
        <v>589.49</v>
      </c>
      <c r="C1022">
        <v>47304670</v>
      </c>
      <c r="D1022">
        <v>588.70000000000005</v>
      </c>
      <c r="E1022">
        <v>590.57989999999995</v>
      </c>
      <c r="F1022">
        <v>585.19500000000005</v>
      </c>
    </row>
    <row r="1023" spans="1:6" x14ac:dyDescent="0.25">
      <c r="A1023" s="1">
        <v>45667</v>
      </c>
      <c r="B1023">
        <v>580.49</v>
      </c>
      <c r="C1023">
        <v>73105050</v>
      </c>
      <c r="D1023">
        <v>585.88</v>
      </c>
      <c r="E1023">
        <v>585.95000000000005</v>
      </c>
      <c r="F1023">
        <v>578.54999999999995</v>
      </c>
    </row>
    <row r="1024" spans="1:6" x14ac:dyDescent="0.25">
      <c r="A1024" s="1">
        <v>45670</v>
      </c>
      <c r="B1024">
        <v>581.39</v>
      </c>
      <c r="C1024">
        <v>47910060</v>
      </c>
      <c r="D1024">
        <v>575.77</v>
      </c>
      <c r="E1024">
        <v>581.75</v>
      </c>
      <c r="F1024">
        <v>575.35</v>
      </c>
    </row>
    <row r="1025" spans="1:6" x14ac:dyDescent="0.25">
      <c r="A1025" s="1">
        <v>45671</v>
      </c>
      <c r="B1025">
        <v>582.19000000000005</v>
      </c>
      <c r="C1025">
        <v>48420580</v>
      </c>
      <c r="D1025">
        <v>584.36</v>
      </c>
      <c r="E1025">
        <v>585</v>
      </c>
      <c r="F1025">
        <v>578.35</v>
      </c>
    </row>
    <row r="1026" spans="1:6" x14ac:dyDescent="0.25">
      <c r="A1026" s="1">
        <v>45672</v>
      </c>
      <c r="B1026">
        <v>592.78</v>
      </c>
      <c r="C1026">
        <v>56900160</v>
      </c>
      <c r="D1026">
        <v>590.32500000000005</v>
      </c>
      <c r="E1026">
        <v>593.94000000000005</v>
      </c>
      <c r="F1026">
        <v>589.19500000000005</v>
      </c>
    </row>
    <row r="1027" spans="1:6" x14ac:dyDescent="0.25">
      <c r="A1027" s="1">
        <v>45673</v>
      </c>
      <c r="B1027">
        <v>591.64</v>
      </c>
      <c r="C1027">
        <v>43319660</v>
      </c>
      <c r="D1027">
        <v>594.17499999999995</v>
      </c>
      <c r="E1027">
        <v>594.35</v>
      </c>
      <c r="F1027">
        <v>590.92999999999995</v>
      </c>
    </row>
    <row r="1028" spans="1:6" x14ac:dyDescent="0.25">
      <c r="A1028" s="1">
        <v>45674</v>
      </c>
      <c r="B1028">
        <v>597.58000000000004</v>
      </c>
      <c r="C1028">
        <v>58070630</v>
      </c>
      <c r="D1028">
        <v>596.96</v>
      </c>
      <c r="E1028">
        <v>599.36</v>
      </c>
      <c r="F1028">
        <v>595.61</v>
      </c>
    </row>
    <row r="1029" spans="1:6" x14ac:dyDescent="0.25">
      <c r="A1029" s="1">
        <v>45678</v>
      </c>
      <c r="B1029">
        <v>603.04999999999995</v>
      </c>
      <c r="C1029">
        <v>42532850</v>
      </c>
      <c r="D1029">
        <v>600.66999999999996</v>
      </c>
      <c r="E1029">
        <v>603.05999999999995</v>
      </c>
      <c r="F1029">
        <v>598.66999999999996</v>
      </c>
    </row>
    <row r="1030" spans="1:6" x14ac:dyDescent="0.25">
      <c r="A1030" s="1">
        <v>45679</v>
      </c>
      <c r="B1030">
        <v>606.44000000000005</v>
      </c>
      <c r="C1030">
        <v>48195970</v>
      </c>
      <c r="D1030">
        <v>605.91999999999996</v>
      </c>
      <c r="E1030">
        <v>607.82000000000005</v>
      </c>
      <c r="F1030">
        <v>605.36</v>
      </c>
    </row>
    <row r="1031" spans="1:6" x14ac:dyDescent="0.25">
      <c r="A1031" s="1">
        <v>45680</v>
      </c>
      <c r="B1031">
        <v>609.75</v>
      </c>
      <c r="C1031">
        <v>41152100</v>
      </c>
      <c r="D1031">
        <v>605.79999999999995</v>
      </c>
      <c r="E1031">
        <v>609.75</v>
      </c>
      <c r="F1031">
        <v>605.52</v>
      </c>
    </row>
    <row r="1032" spans="1:6" x14ac:dyDescent="0.25">
      <c r="A1032" s="1">
        <v>45681</v>
      </c>
      <c r="B1032">
        <v>607.97</v>
      </c>
      <c r="C1032">
        <v>34604690</v>
      </c>
      <c r="D1032">
        <v>609.80999999999995</v>
      </c>
      <c r="E1032">
        <v>610.78</v>
      </c>
      <c r="F1032">
        <v>606.79999999999995</v>
      </c>
    </row>
    <row r="1033" spans="1:6" x14ac:dyDescent="0.25">
      <c r="A1033" s="1">
        <v>45684</v>
      </c>
      <c r="B1033">
        <v>599.37</v>
      </c>
      <c r="C1033">
        <v>70361130</v>
      </c>
      <c r="D1033">
        <v>594.80999999999995</v>
      </c>
      <c r="E1033">
        <v>599.69000000000005</v>
      </c>
      <c r="F1033">
        <v>594.64</v>
      </c>
    </row>
    <row r="1034" spans="1:6" x14ac:dyDescent="0.25">
      <c r="A1034" s="1">
        <v>45685</v>
      </c>
      <c r="B1034">
        <v>604.52</v>
      </c>
      <c r="C1034">
        <v>44433320</v>
      </c>
      <c r="D1034">
        <v>600.62</v>
      </c>
      <c r="E1034">
        <v>605.37</v>
      </c>
      <c r="F1034">
        <v>597.25</v>
      </c>
    </row>
    <row r="1035" spans="1:6" x14ac:dyDescent="0.25">
      <c r="A1035" s="1">
        <v>45686</v>
      </c>
      <c r="B1035">
        <v>601.80999999999995</v>
      </c>
      <c r="C1035">
        <v>37177430</v>
      </c>
      <c r="D1035">
        <v>603.72</v>
      </c>
      <c r="E1035">
        <v>604.13</v>
      </c>
      <c r="F1035">
        <v>599.22</v>
      </c>
    </row>
    <row r="1036" spans="1:6" x14ac:dyDescent="0.25">
      <c r="A1036" s="1">
        <v>45687</v>
      </c>
      <c r="B1036">
        <v>605.04</v>
      </c>
      <c r="C1036">
        <v>39281260</v>
      </c>
      <c r="D1036">
        <v>603.96</v>
      </c>
      <c r="E1036">
        <v>606.6</v>
      </c>
      <c r="F1036">
        <v>600.71500000000003</v>
      </c>
    </row>
    <row r="1037" spans="1:6" x14ac:dyDescent="0.25">
      <c r="A1037" s="1">
        <v>45688</v>
      </c>
      <c r="B1037">
        <v>601.82000000000005</v>
      </c>
      <c r="C1037">
        <v>66671470</v>
      </c>
      <c r="D1037">
        <v>607.5</v>
      </c>
      <c r="E1037">
        <v>609.96</v>
      </c>
      <c r="F1037">
        <v>601.04999999999995</v>
      </c>
    </row>
    <row r="1038" spans="1:6" x14ac:dyDescent="0.25">
      <c r="A1038" s="1">
        <v>45691</v>
      </c>
      <c r="B1038">
        <v>597.77</v>
      </c>
      <c r="C1038">
        <v>65857250</v>
      </c>
      <c r="D1038">
        <v>592.66999999999996</v>
      </c>
      <c r="E1038">
        <v>600.29</v>
      </c>
      <c r="F1038">
        <v>590.49</v>
      </c>
    </row>
    <row r="1039" spans="1:6" x14ac:dyDescent="0.25">
      <c r="A1039" s="1">
        <v>45692</v>
      </c>
      <c r="B1039">
        <v>601.78</v>
      </c>
      <c r="C1039">
        <v>33457820</v>
      </c>
      <c r="D1039">
        <v>597.83000000000004</v>
      </c>
      <c r="E1039">
        <v>602.29999999999995</v>
      </c>
      <c r="F1039">
        <v>597.28</v>
      </c>
    </row>
    <row r="1040" spans="1:6" x14ac:dyDescent="0.25">
      <c r="A1040" s="1">
        <v>45693</v>
      </c>
      <c r="B1040">
        <v>604.22</v>
      </c>
      <c r="C1040">
        <v>30653150</v>
      </c>
      <c r="D1040">
        <v>600.64</v>
      </c>
      <c r="E1040">
        <v>604.37</v>
      </c>
      <c r="F1040">
        <v>598.58000000000004</v>
      </c>
    </row>
    <row r="1041" spans="1:6" x14ac:dyDescent="0.25">
      <c r="A1041" s="1">
        <v>45694</v>
      </c>
      <c r="B1041">
        <v>606.32000000000005</v>
      </c>
      <c r="C1041">
        <v>35771500</v>
      </c>
      <c r="D1041">
        <v>605.99</v>
      </c>
      <c r="E1041">
        <v>606.45249999999999</v>
      </c>
      <c r="F1041">
        <v>602.63</v>
      </c>
    </row>
    <row r="1042" spans="1:6" x14ac:dyDescent="0.25">
      <c r="A1042" s="1">
        <v>45695</v>
      </c>
      <c r="B1042">
        <v>600.77</v>
      </c>
      <c r="C1042">
        <v>50788520</v>
      </c>
      <c r="D1042">
        <v>606.89</v>
      </c>
      <c r="E1042">
        <v>608.13</v>
      </c>
      <c r="F1042">
        <v>600.04999999999995</v>
      </c>
    </row>
    <row r="1043" spans="1:6" x14ac:dyDescent="0.25">
      <c r="A1043" s="1">
        <v>45698</v>
      </c>
      <c r="B1043">
        <v>604.85</v>
      </c>
      <c r="C1043">
        <v>26048710</v>
      </c>
      <c r="D1043">
        <v>604.03</v>
      </c>
      <c r="E1043">
        <v>605.49990000000003</v>
      </c>
      <c r="F1043">
        <v>602.74</v>
      </c>
    </row>
    <row r="1044" spans="1:6" x14ac:dyDescent="0.25">
      <c r="A1044" s="1">
        <v>45699</v>
      </c>
      <c r="B1044">
        <v>605.30999999999995</v>
      </c>
      <c r="C1044">
        <v>30056740</v>
      </c>
      <c r="D1044">
        <v>602.54999999999995</v>
      </c>
      <c r="E1044">
        <v>605.86</v>
      </c>
      <c r="F1044">
        <v>602.42999999999995</v>
      </c>
    </row>
    <row r="1045" spans="1:6" x14ac:dyDescent="0.25">
      <c r="A1045" s="1">
        <v>45700</v>
      </c>
      <c r="B1045">
        <v>603.36</v>
      </c>
      <c r="C1045">
        <v>45076080</v>
      </c>
      <c r="D1045">
        <v>599.20000000000005</v>
      </c>
      <c r="E1045">
        <v>604.54999999999995</v>
      </c>
      <c r="F1045">
        <v>598.51</v>
      </c>
    </row>
    <row r="1046" spans="1:6" x14ac:dyDescent="0.25">
      <c r="A1046" s="1">
        <v>45701</v>
      </c>
      <c r="B1046">
        <v>609.73</v>
      </c>
      <c r="C1046">
        <v>40921300</v>
      </c>
      <c r="D1046">
        <v>604.48</v>
      </c>
      <c r="E1046">
        <v>609.94000000000005</v>
      </c>
      <c r="F1046">
        <v>603.20000000000005</v>
      </c>
    </row>
    <row r="1047" spans="1:6" x14ac:dyDescent="0.25">
      <c r="A1047" s="1">
        <v>45702</v>
      </c>
      <c r="B1047">
        <v>609.70000000000005</v>
      </c>
      <c r="C1047">
        <v>26910450</v>
      </c>
      <c r="D1047">
        <v>609.94000000000005</v>
      </c>
      <c r="E1047">
        <v>610.99</v>
      </c>
      <c r="F1047">
        <v>609.07000000000005</v>
      </c>
    </row>
    <row r="1048" spans="1:6" x14ac:dyDescent="0.25">
      <c r="A1048" s="1">
        <v>45706</v>
      </c>
      <c r="B1048">
        <v>611.49</v>
      </c>
      <c r="C1048">
        <v>26749030</v>
      </c>
      <c r="D1048">
        <v>610.88</v>
      </c>
      <c r="E1048">
        <v>611.49</v>
      </c>
      <c r="F1048">
        <v>608.38</v>
      </c>
    </row>
    <row r="1049" spans="1:6" x14ac:dyDescent="0.25">
      <c r="A1049" s="1">
        <v>45707</v>
      </c>
      <c r="B1049">
        <v>612.92999999999995</v>
      </c>
      <c r="C1049">
        <v>31011070</v>
      </c>
      <c r="D1049">
        <v>610.08000000000004</v>
      </c>
      <c r="E1049">
        <v>613.23</v>
      </c>
      <c r="F1049">
        <v>609.55999999999995</v>
      </c>
    </row>
    <row r="1050" spans="1:6" x14ac:dyDescent="0.25">
      <c r="A1050" s="1">
        <v>45708</v>
      </c>
      <c r="B1050">
        <v>610.38</v>
      </c>
      <c r="C1050">
        <v>36554000</v>
      </c>
      <c r="D1050">
        <v>611.54</v>
      </c>
      <c r="E1050">
        <v>611.68399999999997</v>
      </c>
      <c r="F1050">
        <v>607.02</v>
      </c>
    </row>
    <row r="1051" spans="1:6" x14ac:dyDescent="0.25">
      <c r="A1051" s="1">
        <v>45709</v>
      </c>
      <c r="B1051">
        <v>599.94000000000005</v>
      </c>
      <c r="C1051">
        <v>76519820</v>
      </c>
      <c r="D1051">
        <v>610.16</v>
      </c>
      <c r="E1051">
        <v>610.29999999999995</v>
      </c>
      <c r="F1051">
        <v>599.47</v>
      </c>
    </row>
    <row r="1052" spans="1:6" x14ac:dyDescent="0.25">
      <c r="A1052" s="1">
        <v>45712</v>
      </c>
      <c r="B1052">
        <v>597.21</v>
      </c>
      <c r="C1052">
        <v>50737210</v>
      </c>
      <c r="D1052">
        <v>602.02</v>
      </c>
      <c r="E1052">
        <v>603.03</v>
      </c>
      <c r="F1052">
        <v>596.49</v>
      </c>
    </row>
    <row r="1053" spans="1:6" x14ac:dyDescent="0.25">
      <c r="A1053" s="1">
        <v>45713</v>
      </c>
      <c r="B1053">
        <v>594.24</v>
      </c>
      <c r="C1053">
        <v>58266470</v>
      </c>
      <c r="D1053">
        <v>597.15</v>
      </c>
      <c r="E1053">
        <v>597.89</v>
      </c>
      <c r="F1053">
        <v>589.55999999999995</v>
      </c>
    </row>
    <row r="1054" spans="1:6" x14ac:dyDescent="0.25">
      <c r="A1054" s="1">
        <v>45714</v>
      </c>
      <c r="B1054">
        <v>594.54</v>
      </c>
      <c r="C1054">
        <v>43321580</v>
      </c>
      <c r="D1054">
        <v>595.92999999999995</v>
      </c>
      <c r="E1054">
        <v>599.58000000000004</v>
      </c>
      <c r="F1054">
        <v>591.85559999999998</v>
      </c>
    </row>
    <row r="1055" spans="1:6" x14ac:dyDescent="0.25">
      <c r="A1055" s="1">
        <v>45715</v>
      </c>
      <c r="B1055">
        <v>585.04999999999995</v>
      </c>
      <c r="C1055">
        <v>74196660</v>
      </c>
      <c r="D1055">
        <v>596.85</v>
      </c>
      <c r="E1055">
        <v>598.02</v>
      </c>
      <c r="F1055">
        <v>584.65</v>
      </c>
    </row>
    <row r="1056" spans="1:6" x14ac:dyDescent="0.25">
      <c r="A1056" s="1">
        <v>45716</v>
      </c>
      <c r="B1056">
        <v>594.17999999999995</v>
      </c>
      <c r="C1056">
        <v>88744110</v>
      </c>
      <c r="D1056">
        <v>585.55999999999995</v>
      </c>
      <c r="E1056">
        <v>594.72</v>
      </c>
      <c r="F1056">
        <v>582.44000000000005</v>
      </c>
    </row>
    <row r="1057" spans="1:6" x14ac:dyDescent="0.25">
      <c r="A1057" s="1">
        <v>45719</v>
      </c>
      <c r="B1057">
        <v>583.77</v>
      </c>
      <c r="C1057">
        <v>74249200</v>
      </c>
      <c r="D1057">
        <v>596.17999999999995</v>
      </c>
      <c r="E1057">
        <v>597.34</v>
      </c>
      <c r="F1057">
        <v>579.9</v>
      </c>
    </row>
    <row r="1058" spans="1:6" x14ac:dyDescent="0.25">
      <c r="A1058" s="1">
        <v>45720</v>
      </c>
      <c r="B1058">
        <v>576.86</v>
      </c>
      <c r="C1058">
        <v>109648200</v>
      </c>
      <c r="D1058">
        <v>579.71</v>
      </c>
      <c r="E1058">
        <v>585.39</v>
      </c>
      <c r="F1058">
        <v>572.25</v>
      </c>
    </row>
    <row r="1059" spans="1:6" x14ac:dyDescent="0.25">
      <c r="A1059" s="1">
        <v>45721</v>
      </c>
      <c r="B1059">
        <v>583.05999999999995</v>
      </c>
      <c r="C1059">
        <v>71230530</v>
      </c>
      <c r="D1059">
        <v>576.69000000000005</v>
      </c>
      <c r="E1059">
        <v>584.88</v>
      </c>
      <c r="F1059">
        <v>573.07950000000005</v>
      </c>
    </row>
    <row r="1060" spans="1:6" x14ac:dyDescent="0.25">
      <c r="A1060" s="1">
        <v>45722</v>
      </c>
      <c r="B1060">
        <v>572.71</v>
      </c>
      <c r="C1060">
        <v>80094870</v>
      </c>
      <c r="D1060">
        <v>575.48</v>
      </c>
      <c r="E1060">
        <v>580.17359999999996</v>
      </c>
      <c r="F1060">
        <v>570.12</v>
      </c>
    </row>
    <row r="1061" spans="1:6" x14ac:dyDescent="0.25">
      <c r="A1061" s="1">
        <v>45723</v>
      </c>
      <c r="B1061">
        <v>575.91999999999996</v>
      </c>
      <c r="C1061">
        <v>81158820</v>
      </c>
      <c r="D1061">
        <v>570.9</v>
      </c>
      <c r="E1061">
        <v>577.39</v>
      </c>
      <c r="F1061">
        <v>565.63</v>
      </c>
    </row>
    <row r="1062" spans="1:6" x14ac:dyDescent="0.25">
      <c r="A1062" s="1">
        <v>45726</v>
      </c>
      <c r="B1062">
        <v>560.58000000000004</v>
      </c>
      <c r="C1062">
        <v>99326620</v>
      </c>
      <c r="D1062">
        <v>567.59</v>
      </c>
      <c r="E1062">
        <v>569.54</v>
      </c>
      <c r="F1062">
        <v>555.59</v>
      </c>
    </row>
    <row r="1063" spans="1:6" x14ac:dyDescent="0.25">
      <c r="A1063" s="1">
        <v>45727</v>
      </c>
      <c r="B1063">
        <v>555.91999999999996</v>
      </c>
      <c r="C1063">
        <v>88102110</v>
      </c>
      <c r="D1063">
        <v>559.4</v>
      </c>
      <c r="E1063">
        <v>564.02</v>
      </c>
      <c r="F1063">
        <v>552.02</v>
      </c>
    </row>
    <row r="1064" spans="1:6" x14ac:dyDescent="0.25">
      <c r="A1064" s="1">
        <v>45728</v>
      </c>
      <c r="B1064">
        <v>558.87</v>
      </c>
      <c r="C1064">
        <v>69588170</v>
      </c>
      <c r="D1064">
        <v>562.16999999999996</v>
      </c>
      <c r="E1064">
        <v>563.11</v>
      </c>
      <c r="F1064">
        <v>553.69000000000005</v>
      </c>
    </row>
    <row r="1065" spans="1:6" x14ac:dyDescent="0.25">
      <c r="A1065" s="1">
        <v>45729</v>
      </c>
      <c r="B1065">
        <v>551.41999999999996</v>
      </c>
      <c r="C1065">
        <v>74079410</v>
      </c>
      <c r="D1065">
        <v>558.49</v>
      </c>
      <c r="E1065">
        <v>559.10500000000002</v>
      </c>
      <c r="F1065">
        <v>549.67999999999995</v>
      </c>
    </row>
    <row r="1066" spans="1:6" x14ac:dyDescent="0.25">
      <c r="A1066" s="1">
        <v>45730</v>
      </c>
      <c r="B1066">
        <v>562.80999999999995</v>
      </c>
      <c r="C1066">
        <v>62660320</v>
      </c>
      <c r="D1066">
        <v>556.11</v>
      </c>
      <c r="E1066">
        <v>563.83000000000004</v>
      </c>
      <c r="F1066">
        <v>551.49170000000004</v>
      </c>
    </row>
    <row r="1067" spans="1:6" x14ac:dyDescent="0.25">
      <c r="A1067" s="1">
        <v>45733</v>
      </c>
      <c r="B1067">
        <v>567.15</v>
      </c>
      <c r="C1067">
        <v>49008710</v>
      </c>
      <c r="D1067">
        <v>562.79</v>
      </c>
      <c r="E1067">
        <v>569.71</v>
      </c>
      <c r="F1067">
        <v>562.35</v>
      </c>
    </row>
    <row r="1068" spans="1:6" x14ac:dyDescent="0.25">
      <c r="A1068" s="1">
        <v>45734</v>
      </c>
      <c r="B1068">
        <v>561.02</v>
      </c>
      <c r="C1068">
        <v>66041420</v>
      </c>
      <c r="D1068">
        <v>564.79999999999995</v>
      </c>
      <c r="E1068">
        <v>565.02</v>
      </c>
      <c r="F1068">
        <v>559.05999999999995</v>
      </c>
    </row>
    <row r="1069" spans="1:6" x14ac:dyDescent="0.25">
      <c r="A1069" s="1">
        <v>45735</v>
      </c>
      <c r="B1069">
        <v>567.13</v>
      </c>
      <c r="C1069">
        <v>66555990</v>
      </c>
      <c r="D1069">
        <v>562.83000000000004</v>
      </c>
      <c r="E1069">
        <v>570.95000000000005</v>
      </c>
      <c r="F1069">
        <v>561.63</v>
      </c>
    </row>
    <row r="1070" spans="1:6" x14ac:dyDescent="0.25">
      <c r="A1070" s="1">
        <v>45736</v>
      </c>
      <c r="B1070">
        <v>565.49</v>
      </c>
      <c r="C1070">
        <v>62958200</v>
      </c>
      <c r="D1070">
        <v>563.33000000000004</v>
      </c>
      <c r="E1070">
        <v>570.57000000000005</v>
      </c>
      <c r="F1070">
        <v>562.60119999999995</v>
      </c>
    </row>
    <row r="1071" spans="1:6" x14ac:dyDescent="0.25">
      <c r="A1071" s="1">
        <v>45737</v>
      </c>
      <c r="B1071">
        <v>563.98</v>
      </c>
      <c r="C1071">
        <v>83762960</v>
      </c>
      <c r="D1071">
        <v>559.28</v>
      </c>
      <c r="E1071">
        <v>564.89</v>
      </c>
      <c r="F1071">
        <v>558.03</v>
      </c>
    </row>
    <row r="1072" spans="1:6" x14ac:dyDescent="0.25">
      <c r="A1072" s="1">
        <v>45740</v>
      </c>
      <c r="B1072">
        <v>574.08000000000004</v>
      </c>
      <c r="C1072">
        <v>58766800</v>
      </c>
      <c r="D1072">
        <v>570.79999999999995</v>
      </c>
      <c r="E1072">
        <v>575.15</v>
      </c>
      <c r="F1072">
        <v>570.20000000000005</v>
      </c>
    </row>
    <row r="1073" spans="1:6" x14ac:dyDescent="0.25">
      <c r="A1073" s="1">
        <v>45741</v>
      </c>
      <c r="B1073">
        <v>575.46</v>
      </c>
      <c r="C1073">
        <v>38355740</v>
      </c>
      <c r="D1073">
        <v>575.29999999999995</v>
      </c>
      <c r="E1073">
        <v>576.41</v>
      </c>
      <c r="F1073">
        <v>573.69000000000005</v>
      </c>
    </row>
    <row r="1074" spans="1:6" x14ac:dyDescent="0.25">
      <c r="A1074" s="1">
        <v>45742</v>
      </c>
      <c r="B1074">
        <v>568.59</v>
      </c>
      <c r="C1074">
        <v>52228900</v>
      </c>
      <c r="D1074">
        <v>575.19000000000005</v>
      </c>
      <c r="E1074">
        <v>576.33000000000004</v>
      </c>
      <c r="F1074">
        <v>567.19000000000005</v>
      </c>
    </row>
    <row r="1075" spans="1:6" x14ac:dyDescent="0.25">
      <c r="A1075" s="1">
        <v>45743</v>
      </c>
      <c r="B1075">
        <v>567.08000000000004</v>
      </c>
      <c r="C1075">
        <v>42164250</v>
      </c>
      <c r="D1075">
        <v>567.17999999999995</v>
      </c>
      <c r="E1075">
        <v>570.9</v>
      </c>
      <c r="F1075">
        <v>564.94000000000005</v>
      </c>
    </row>
    <row r="1076" spans="1:6" x14ac:dyDescent="0.25">
      <c r="A1076" s="1">
        <v>45744</v>
      </c>
      <c r="B1076">
        <v>555.66</v>
      </c>
      <c r="C1076">
        <v>71662650</v>
      </c>
      <c r="D1076">
        <v>565.53</v>
      </c>
      <c r="E1076">
        <v>566.26750000000004</v>
      </c>
      <c r="F1076">
        <v>555.07000000000005</v>
      </c>
    </row>
    <row r="1077" spans="1:6" x14ac:dyDescent="0.25">
      <c r="A1077" s="1">
        <v>45747</v>
      </c>
      <c r="B1077">
        <v>559.39</v>
      </c>
      <c r="C1077">
        <v>95328210</v>
      </c>
      <c r="D1077">
        <v>549.83000000000004</v>
      </c>
      <c r="E1077">
        <v>560.71119999999996</v>
      </c>
      <c r="F1077">
        <v>546.87</v>
      </c>
    </row>
    <row r="1078" spans="1:6" x14ac:dyDescent="0.25">
      <c r="A1078" s="1">
        <v>45748</v>
      </c>
      <c r="B1078">
        <v>560.97</v>
      </c>
      <c r="C1078">
        <v>54609640</v>
      </c>
      <c r="D1078">
        <v>557.45000000000005</v>
      </c>
      <c r="E1078">
        <v>562.94000000000005</v>
      </c>
      <c r="F1078">
        <v>553.67999999999995</v>
      </c>
    </row>
    <row r="1079" spans="1:6" x14ac:dyDescent="0.25">
      <c r="A1079" s="1">
        <v>45749</v>
      </c>
      <c r="B1079">
        <v>564.52</v>
      </c>
      <c r="C1079">
        <v>76014540</v>
      </c>
      <c r="D1079">
        <v>555.04999999999995</v>
      </c>
      <c r="E1079">
        <v>567.41999999999996</v>
      </c>
      <c r="F1079">
        <v>554.80999999999995</v>
      </c>
    </row>
    <row r="1080" spans="1:6" x14ac:dyDescent="0.25">
      <c r="A1080" s="1">
        <v>45750</v>
      </c>
      <c r="B1080">
        <v>536.70000000000005</v>
      </c>
      <c r="C1080">
        <v>125986000</v>
      </c>
      <c r="D1080">
        <v>545.11</v>
      </c>
      <c r="E1080">
        <v>547.97</v>
      </c>
      <c r="F1080">
        <v>536.70000000000005</v>
      </c>
    </row>
    <row r="1081" spans="1:6" x14ac:dyDescent="0.25">
      <c r="A1081" s="1">
        <v>45751</v>
      </c>
      <c r="B1081">
        <v>505.28</v>
      </c>
      <c r="C1081">
        <v>217965100</v>
      </c>
      <c r="D1081">
        <v>523.66999999999996</v>
      </c>
      <c r="E1081">
        <v>525.87</v>
      </c>
      <c r="F1081">
        <v>505.06</v>
      </c>
    </row>
    <row r="1082" spans="1:6" x14ac:dyDescent="0.25">
      <c r="A1082" s="1">
        <v>45754</v>
      </c>
      <c r="B1082">
        <v>504.38</v>
      </c>
      <c r="C1082">
        <v>256611400</v>
      </c>
      <c r="D1082">
        <v>489.19</v>
      </c>
      <c r="E1082">
        <v>523.16999999999996</v>
      </c>
      <c r="F1082">
        <v>481.8</v>
      </c>
    </row>
    <row r="1083" spans="1:6" x14ac:dyDescent="0.25">
      <c r="A1083" s="1">
        <v>45755</v>
      </c>
      <c r="B1083">
        <v>496.48</v>
      </c>
      <c r="C1083">
        <v>165816600</v>
      </c>
      <c r="D1083">
        <v>521.86</v>
      </c>
      <c r="E1083">
        <v>524.98</v>
      </c>
      <c r="F1083">
        <v>489.16</v>
      </c>
    </row>
    <row r="1084" spans="1:6" x14ac:dyDescent="0.25">
      <c r="A1084" s="1">
        <v>45756</v>
      </c>
      <c r="B1084">
        <v>548.62</v>
      </c>
      <c r="C1084">
        <v>241867300</v>
      </c>
      <c r="D1084">
        <v>493.44</v>
      </c>
      <c r="E1084">
        <v>548.62</v>
      </c>
      <c r="F1084">
        <v>493.05</v>
      </c>
    </row>
    <row r="1085" spans="1:6" x14ac:dyDescent="0.25">
      <c r="A1085" s="1">
        <v>45757</v>
      </c>
      <c r="B1085">
        <v>524.58000000000004</v>
      </c>
      <c r="C1085">
        <v>162331200</v>
      </c>
      <c r="D1085">
        <v>532.16999999999996</v>
      </c>
      <c r="E1085">
        <v>533.495</v>
      </c>
      <c r="F1085">
        <v>509.32</v>
      </c>
    </row>
    <row r="1086" spans="1:6" x14ac:dyDescent="0.25">
      <c r="A1086" s="1">
        <v>45758</v>
      </c>
      <c r="B1086">
        <v>533.94000000000005</v>
      </c>
      <c r="C1086">
        <v>97866330</v>
      </c>
      <c r="D1086">
        <v>523.01</v>
      </c>
      <c r="E1086">
        <v>536.42999999999995</v>
      </c>
      <c r="F1086">
        <v>520.07000000000005</v>
      </c>
    </row>
    <row r="1087" spans="1:6" x14ac:dyDescent="0.25">
      <c r="A1087" s="1">
        <v>45761</v>
      </c>
      <c r="B1087">
        <v>539.12</v>
      </c>
      <c r="C1087">
        <v>68033990</v>
      </c>
      <c r="D1087">
        <v>544.04999999999995</v>
      </c>
      <c r="E1087">
        <v>544.28</v>
      </c>
      <c r="F1087">
        <v>533.86</v>
      </c>
    </row>
    <row r="1088" spans="1:6" x14ac:dyDescent="0.25">
      <c r="A1088" s="1">
        <v>45762</v>
      </c>
      <c r="B1088">
        <v>537.61</v>
      </c>
      <c r="C1088">
        <v>56892870</v>
      </c>
      <c r="D1088">
        <v>539.67499999999995</v>
      </c>
      <c r="E1088">
        <v>543.23</v>
      </c>
      <c r="F1088">
        <v>536.80999999999995</v>
      </c>
    </row>
    <row r="1089" spans="1:6" x14ac:dyDescent="0.25">
      <c r="A1089" s="1">
        <v>45763</v>
      </c>
      <c r="B1089">
        <v>525.66</v>
      </c>
      <c r="C1089">
        <v>83484810</v>
      </c>
      <c r="D1089">
        <v>531.67999999999995</v>
      </c>
      <c r="E1089">
        <v>537.8854</v>
      </c>
      <c r="F1089">
        <v>520.29</v>
      </c>
    </row>
    <row r="1090" spans="1:6" x14ac:dyDescent="0.25">
      <c r="A1090" s="1">
        <v>45764</v>
      </c>
      <c r="B1090">
        <v>526.41</v>
      </c>
      <c r="C1090">
        <v>79868080</v>
      </c>
      <c r="D1090">
        <v>527.64</v>
      </c>
      <c r="E1090">
        <v>531.16499999999996</v>
      </c>
      <c r="F1090">
        <v>523.91</v>
      </c>
    </row>
    <row r="1091" spans="1:6" x14ac:dyDescent="0.25">
      <c r="A1091" s="1">
        <v>45768</v>
      </c>
      <c r="B1091">
        <v>513.88</v>
      </c>
      <c r="C1091">
        <v>69368130</v>
      </c>
      <c r="D1091">
        <v>521.16</v>
      </c>
      <c r="E1091">
        <v>521.70000000000005</v>
      </c>
      <c r="F1091">
        <v>508.46</v>
      </c>
    </row>
    <row r="1092" spans="1:6" x14ac:dyDescent="0.25">
      <c r="A1092" s="1">
        <v>45769</v>
      </c>
      <c r="B1092">
        <v>527.25</v>
      </c>
      <c r="C1092">
        <v>75948120</v>
      </c>
      <c r="D1092">
        <v>520.14</v>
      </c>
      <c r="E1092">
        <v>529.30499999999995</v>
      </c>
      <c r="F1092">
        <v>519.1925</v>
      </c>
    </row>
    <row r="1093" spans="1:6" x14ac:dyDescent="0.25">
      <c r="A1093" s="1">
        <v>45770</v>
      </c>
      <c r="B1093">
        <v>535.41999999999996</v>
      </c>
      <c r="C1093">
        <v>90590660</v>
      </c>
      <c r="D1093">
        <v>540.42999999999995</v>
      </c>
      <c r="E1093">
        <v>545.42999999999995</v>
      </c>
      <c r="F1093">
        <v>533.88</v>
      </c>
    </row>
    <row r="1094" spans="1:6" x14ac:dyDescent="0.25">
      <c r="A1094" s="1">
        <v>45771</v>
      </c>
      <c r="B1094">
        <v>546.69000000000005</v>
      </c>
      <c r="C1094">
        <v>64150420</v>
      </c>
      <c r="D1094">
        <v>536.71500000000003</v>
      </c>
      <c r="E1094">
        <v>547.42999999999995</v>
      </c>
      <c r="F1094">
        <v>535.45039999999995</v>
      </c>
    </row>
    <row r="1095" spans="1:6" x14ac:dyDescent="0.25">
      <c r="A1095" s="1">
        <v>45772</v>
      </c>
      <c r="B1095">
        <v>550.64</v>
      </c>
      <c r="C1095">
        <v>61119590</v>
      </c>
      <c r="D1095">
        <v>546.65</v>
      </c>
      <c r="E1095">
        <v>551.04999999999995</v>
      </c>
      <c r="F1095">
        <v>543.69000000000005</v>
      </c>
    </row>
    <row r="1096" spans="1:6" x14ac:dyDescent="0.25">
      <c r="A1096" s="1">
        <v>45775</v>
      </c>
      <c r="B1096">
        <v>550.85</v>
      </c>
      <c r="C1096">
        <v>47613760</v>
      </c>
      <c r="D1096">
        <v>551.39</v>
      </c>
      <c r="E1096">
        <v>553.54999999999995</v>
      </c>
      <c r="F1096">
        <v>545.02</v>
      </c>
    </row>
    <row r="1097" spans="1:6" x14ac:dyDescent="0.25">
      <c r="A1097" s="1">
        <v>45776</v>
      </c>
      <c r="B1097">
        <v>554.32000000000005</v>
      </c>
      <c r="C1097">
        <v>47775120</v>
      </c>
      <c r="D1097">
        <v>548.91</v>
      </c>
      <c r="E1097">
        <v>555.45000000000005</v>
      </c>
      <c r="F1097">
        <v>548.54999999999995</v>
      </c>
    </row>
    <row r="1098" spans="1:6" x14ac:dyDescent="0.25">
      <c r="A1098" s="1">
        <v>45777</v>
      </c>
      <c r="B1098">
        <v>554.54</v>
      </c>
      <c r="C1098">
        <v>93101460</v>
      </c>
      <c r="D1098">
        <v>547.57000000000005</v>
      </c>
      <c r="E1098">
        <v>556.52</v>
      </c>
      <c r="F1098">
        <v>541.52</v>
      </c>
    </row>
    <row r="1099" spans="1:6" x14ac:dyDescent="0.25">
      <c r="A1099" s="1">
        <v>45778</v>
      </c>
      <c r="B1099">
        <v>558.47</v>
      </c>
      <c r="C1099">
        <v>63186150</v>
      </c>
      <c r="D1099">
        <v>560.37</v>
      </c>
      <c r="E1099">
        <v>564.06989999999996</v>
      </c>
      <c r="F1099">
        <v>557.86</v>
      </c>
    </row>
    <row r="1100" spans="1:6" x14ac:dyDescent="0.25">
      <c r="A1100" s="1">
        <v>45779</v>
      </c>
      <c r="B1100">
        <v>566.76</v>
      </c>
      <c r="C1100">
        <v>60717270</v>
      </c>
      <c r="D1100">
        <v>564.73</v>
      </c>
      <c r="E1100">
        <v>568.38</v>
      </c>
      <c r="F1100">
        <v>562.38</v>
      </c>
    </row>
    <row r="1101" spans="1:6" x14ac:dyDescent="0.25">
      <c r="A1101" s="1">
        <v>45782</v>
      </c>
      <c r="B1101">
        <v>563.51</v>
      </c>
      <c r="C1101">
        <v>38659220</v>
      </c>
      <c r="D1101">
        <v>562.57000000000005</v>
      </c>
      <c r="E1101">
        <v>566.65</v>
      </c>
      <c r="F1101">
        <v>561.70000000000005</v>
      </c>
    </row>
    <row r="1102" spans="1:6" x14ac:dyDescent="0.25">
      <c r="A1102" s="1">
        <v>45783</v>
      </c>
      <c r="B1102">
        <v>558.79999999999995</v>
      </c>
      <c r="C1102">
        <v>48264710</v>
      </c>
      <c r="D1102">
        <v>557.92999999999995</v>
      </c>
      <c r="E1102">
        <v>563.34760000000006</v>
      </c>
      <c r="F1102">
        <v>556.96</v>
      </c>
    </row>
    <row r="1103" spans="1:6" x14ac:dyDescent="0.25">
      <c r="A1103" s="1">
        <v>45784</v>
      </c>
      <c r="B1103">
        <v>561.15</v>
      </c>
      <c r="C1103">
        <v>55733230</v>
      </c>
      <c r="D1103">
        <v>560.15</v>
      </c>
      <c r="E1103">
        <v>563.82000000000005</v>
      </c>
      <c r="F1103">
        <v>556.04</v>
      </c>
    </row>
    <row r="1104" spans="1:6" x14ac:dyDescent="0.25">
      <c r="A1104" s="1">
        <v>45785</v>
      </c>
      <c r="B1104">
        <v>565.05999999999995</v>
      </c>
      <c r="C1104">
        <v>65130790</v>
      </c>
      <c r="D1104">
        <v>565.24</v>
      </c>
      <c r="E1104">
        <v>570.30999999999995</v>
      </c>
      <c r="F1104">
        <v>561.70000000000005</v>
      </c>
    </row>
    <row r="1105" spans="1:6" x14ac:dyDescent="0.25">
      <c r="A1105" s="1">
        <v>45786</v>
      </c>
      <c r="B1105">
        <v>564.34</v>
      </c>
      <c r="C1105">
        <v>37603430</v>
      </c>
      <c r="D1105">
        <v>566.48</v>
      </c>
      <c r="E1105">
        <v>567.5</v>
      </c>
      <c r="F1105">
        <v>562.76369999999997</v>
      </c>
    </row>
    <row r="1106" spans="1:6" x14ac:dyDescent="0.25">
      <c r="A1106" s="1">
        <v>45789</v>
      </c>
      <c r="B1106">
        <v>582.99</v>
      </c>
      <c r="C1106">
        <v>78993570</v>
      </c>
      <c r="D1106">
        <v>581.47</v>
      </c>
      <c r="E1106">
        <v>583</v>
      </c>
      <c r="F1106">
        <v>577.04</v>
      </c>
    </row>
    <row r="1107" spans="1:6" x14ac:dyDescent="0.25">
      <c r="A1107" s="1">
        <v>45790</v>
      </c>
      <c r="B1107">
        <v>586.84</v>
      </c>
      <c r="C1107">
        <v>67947230</v>
      </c>
      <c r="D1107">
        <v>583.41</v>
      </c>
      <c r="E1107">
        <v>589.08000000000004</v>
      </c>
      <c r="F1107">
        <v>582.84</v>
      </c>
    </row>
    <row r="1108" spans="1:6" x14ac:dyDescent="0.25">
      <c r="A1108" s="1">
        <v>45791</v>
      </c>
      <c r="B1108">
        <v>587.59</v>
      </c>
      <c r="C1108">
        <v>66283530</v>
      </c>
      <c r="D1108">
        <v>587.80999999999995</v>
      </c>
      <c r="E1108">
        <v>588.98</v>
      </c>
      <c r="F1108">
        <v>585.53499999999997</v>
      </c>
    </row>
    <row r="1109" spans="1:6" x14ac:dyDescent="0.25">
      <c r="A1109" s="1">
        <v>45792</v>
      </c>
      <c r="B1109">
        <v>590.46</v>
      </c>
      <c r="C1109">
        <v>71268150</v>
      </c>
      <c r="D1109">
        <v>585.55999999999995</v>
      </c>
      <c r="E1109">
        <v>590.97</v>
      </c>
      <c r="F1109">
        <v>585.09690000000001</v>
      </c>
    </row>
    <row r="1110" spans="1:6" x14ac:dyDescent="0.25">
      <c r="A1110" s="1">
        <v>45793</v>
      </c>
      <c r="B1110">
        <v>594.20000000000005</v>
      </c>
      <c r="C1110">
        <v>76052100</v>
      </c>
      <c r="D1110">
        <v>591.25</v>
      </c>
      <c r="E1110">
        <v>594.5</v>
      </c>
      <c r="F1110">
        <v>589.28</v>
      </c>
    </row>
    <row r="1111" spans="1:6" x14ac:dyDescent="0.25">
      <c r="A1111" s="1">
        <v>45796</v>
      </c>
      <c r="B1111">
        <v>594.85</v>
      </c>
      <c r="C1111">
        <v>68168510</v>
      </c>
      <c r="D1111">
        <v>588.1</v>
      </c>
      <c r="E1111">
        <v>595.54</v>
      </c>
      <c r="F1111">
        <v>588.1</v>
      </c>
    </row>
    <row r="1112" spans="1:6" x14ac:dyDescent="0.25">
      <c r="A1112" s="1">
        <v>45797</v>
      </c>
      <c r="B1112">
        <v>592.85</v>
      </c>
      <c r="C1112">
        <v>60614490</v>
      </c>
      <c r="D1112">
        <v>593.09</v>
      </c>
      <c r="E1112">
        <v>594.04999999999995</v>
      </c>
      <c r="F1112">
        <v>589.6</v>
      </c>
    </row>
    <row r="1113" spans="1:6" x14ac:dyDescent="0.25">
      <c r="A1113" s="1">
        <v>45798</v>
      </c>
      <c r="B1113">
        <v>582.86</v>
      </c>
      <c r="C1113">
        <v>95197660</v>
      </c>
      <c r="D1113">
        <v>588.44000000000005</v>
      </c>
      <c r="E1113">
        <v>592.58000000000004</v>
      </c>
      <c r="F1113">
        <v>581.82000000000005</v>
      </c>
    </row>
    <row r="1114" spans="1:6" x14ac:dyDescent="0.25">
      <c r="A1114" s="1">
        <v>45799</v>
      </c>
      <c r="B1114">
        <v>583.09</v>
      </c>
      <c r="C1114">
        <v>70860420</v>
      </c>
      <c r="D1114">
        <v>582.66</v>
      </c>
      <c r="E1114">
        <v>586.62</v>
      </c>
      <c r="F1114">
        <v>581.40499999999997</v>
      </c>
    </row>
    <row r="1115" spans="1:6" x14ac:dyDescent="0.25">
      <c r="A1115" s="1">
        <v>45800</v>
      </c>
      <c r="B1115">
        <v>579.11</v>
      </c>
      <c r="C1115">
        <v>76029050</v>
      </c>
      <c r="D1115">
        <v>575.98</v>
      </c>
      <c r="E1115">
        <v>581.81010000000003</v>
      </c>
      <c r="F1115">
        <v>575.6</v>
      </c>
    </row>
    <row r="1116" spans="1:6" x14ac:dyDescent="0.25">
      <c r="A1116" s="1">
        <v>45804</v>
      </c>
      <c r="B1116">
        <v>591.15</v>
      </c>
      <c r="C1116">
        <v>72588480</v>
      </c>
      <c r="D1116">
        <v>586.07000000000005</v>
      </c>
      <c r="E1116">
        <v>591.30999999999995</v>
      </c>
      <c r="F1116">
        <v>578.42999999999995</v>
      </c>
    </row>
    <row r="1117" spans="1:6" x14ac:dyDescent="0.25">
      <c r="A1117" s="1">
        <v>45805</v>
      </c>
      <c r="B1117">
        <v>587.73</v>
      </c>
      <c r="C1117">
        <v>68445510</v>
      </c>
      <c r="D1117">
        <v>591.55999999999995</v>
      </c>
      <c r="E1117">
        <v>592.76880000000006</v>
      </c>
      <c r="F1117">
        <v>586.98500000000001</v>
      </c>
    </row>
    <row r="1118" spans="1:6" x14ac:dyDescent="0.25">
      <c r="A1118" s="1">
        <v>45806</v>
      </c>
      <c r="B1118">
        <v>590.04999999999995</v>
      </c>
      <c r="C1118">
        <v>70073760</v>
      </c>
      <c r="D1118">
        <v>593.05999999999995</v>
      </c>
      <c r="E1118">
        <v>593.20000000000005</v>
      </c>
      <c r="F1118">
        <v>586.07000000000005</v>
      </c>
    </row>
    <row r="1119" spans="1:6" x14ac:dyDescent="0.25">
      <c r="A1119" s="1">
        <v>45807</v>
      </c>
      <c r="B1119">
        <v>589.39</v>
      </c>
      <c r="C1119">
        <v>90601240</v>
      </c>
      <c r="D1119">
        <v>588.92999999999995</v>
      </c>
      <c r="E1119">
        <v>591.12990000000002</v>
      </c>
      <c r="F1119">
        <v>583.23500000000001</v>
      </c>
    </row>
    <row r="1120" spans="1:6" x14ac:dyDescent="0.25">
      <c r="A1120" s="1">
        <v>45810</v>
      </c>
      <c r="B1120">
        <v>592.71</v>
      </c>
      <c r="C1120">
        <v>61630500</v>
      </c>
      <c r="D1120">
        <v>587.76</v>
      </c>
      <c r="E1120">
        <v>592.79</v>
      </c>
      <c r="F1120">
        <v>585.05999999999995</v>
      </c>
    </row>
    <row r="1121" spans="1:6" x14ac:dyDescent="0.25">
      <c r="A1121" s="1">
        <v>45811</v>
      </c>
      <c r="B1121">
        <v>596.09</v>
      </c>
      <c r="C1121">
        <v>63606200</v>
      </c>
      <c r="D1121">
        <v>592.34</v>
      </c>
      <c r="E1121">
        <v>597.08000000000004</v>
      </c>
      <c r="F1121">
        <v>591.85</v>
      </c>
    </row>
    <row r="1122" spans="1:6" x14ac:dyDescent="0.25">
      <c r="A1122" s="1">
        <v>45812</v>
      </c>
      <c r="B1122">
        <v>595.92999999999995</v>
      </c>
      <c r="C1122">
        <v>57314200</v>
      </c>
      <c r="D1122">
        <v>596.96</v>
      </c>
      <c r="E1122">
        <v>597.95000000000005</v>
      </c>
      <c r="F1122">
        <v>595.49</v>
      </c>
    </row>
    <row r="1123" spans="1:6" x14ac:dyDescent="0.25">
      <c r="A1123" s="1">
        <v>45813</v>
      </c>
      <c r="B1123">
        <v>593.04999999999995</v>
      </c>
      <c r="C1123">
        <v>92436400</v>
      </c>
      <c r="D1123">
        <v>597.63</v>
      </c>
      <c r="E1123">
        <v>599</v>
      </c>
      <c r="F1123">
        <v>591.04999999999995</v>
      </c>
    </row>
    <row r="1124" spans="1:6" x14ac:dyDescent="0.25">
      <c r="A1124" s="1">
        <v>45814</v>
      </c>
      <c r="B1124">
        <v>599.14</v>
      </c>
      <c r="C1124">
        <v>66588740</v>
      </c>
      <c r="D1124">
        <v>598.66</v>
      </c>
      <c r="E1124">
        <v>600.83000000000004</v>
      </c>
      <c r="F1124">
        <v>596.86</v>
      </c>
    </row>
    <row r="1125" spans="1:6" x14ac:dyDescent="0.25">
      <c r="A1125" s="1">
        <v>45817</v>
      </c>
      <c r="B1125">
        <v>599.67999999999995</v>
      </c>
      <c r="C1125">
        <v>53016420</v>
      </c>
      <c r="D1125">
        <v>599.72</v>
      </c>
      <c r="E1125">
        <v>601.25</v>
      </c>
      <c r="F1125">
        <v>598.49</v>
      </c>
    </row>
    <row r="1126" spans="1:6" x14ac:dyDescent="0.25">
      <c r="A1126" s="1">
        <v>45818</v>
      </c>
      <c r="B1126">
        <v>603.08000000000004</v>
      </c>
      <c r="C1126">
        <v>66246970</v>
      </c>
      <c r="D1126">
        <v>600.22</v>
      </c>
      <c r="E1126">
        <v>603.47</v>
      </c>
      <c r="F1126">
        <v>599.09</v>
      </c>
    </row>
    <row r="1127" spans="1:6" x14ac:dyDescent="0.25">
      <c r="A1127" s="1">
        <v>45819</v>
      </c>
      <c r="B1127">
        <v>601.36</v>
      </c>
      <c r="C1127">
        <v>73658230</v>
      </c>
      <c r="D1127">
        <v>604.19000000000005</v>
      </c>
      <c r="E1127">
        <v>605.05999999999995</v>
      </c>
      <c r="F1127">
        <v>599.27</v>
      </c>
    </row>
    <row r="1128" spans="1:6" x14ac:dyDescent="0.25">
      <c r="A1128" s="1">
        <v>45820</v>
      </c>
      <c r="B1128">
        <v>603.75</v>
      </c>
      <c r="C1128">
        <v>64129000</v>
      </c>
      <c r="D1128">
        <v>600.01</v>
      </c>
      <c r="E1128">
        <v>603.75</v>
      </c>
      <c r="F1128">
        <v>599.52</v>
      </c>
    </row>
    <row r="1129" spans="1:6" x14ac:dyDescent="0.25">
      <c r="A1129" s="1">
        <v>45821</v>
      </c>
      <c r="B1129">
        <v>597</v>
      </c>
      <c r="C1129">
        <v>89506000</v>
      </c>
      <c r="D1129">
        <v>598.5</v>
      </c>
      <c r="E1129">
        <v>601.85</v>
      </c>
      <c r="F1129">
        <v>595.48</v>
      </c>
    </row>
    <row r="1130" spans="1:6" x14ac:dyDescent="0.25">
      <c r="A1130" s="1">
        <v>45824</v>
      </c>
      <c r="B1130">
        <v>602.67999999999995</v>
      </c>
      <c r="C1130">
        <v>79984130</v>
      </c>
      <c r="D1130">
        <v>600.4</v>
      </c>
      <c r="E1130">
        <v>604.45000000000005</v>
      </c>
      <c r="F1130">
        <v>600.22</v>
      </c>
    </row>
    <row r="1131" spans="1:6" x14ac:dyDescent="0.25">
      <c r="A1131" s="1">
        <v>45825</v>
      </c>
      <c r="B1131">
        <v>597.53</v>
      </c>
      <c r="C1131">
        <v>82209370</v>
      </c>
      <c r="D1131">
        <v>600.21</v>
      </c>
      <c r="E1131">
        <v>601.75</v>
      </c>
      <c r="F1131">
        <v>596.76</v>
      </c>
    </row>
    <row r="1132" spans="1:6" x14ac:dyDescent="0.25">
      <c r="A1132" s="1">
        <v>45826</v>
      </c>
      <c r="B1132">
        <v>597.44000000000005</v>
      </c>
      <c r="C1132">
        <v>76605030</v>
      </c>
      <c r="D1132">
        <v>598.44000000000005</v>
      </c>
      <c r="E1132">
        <v>601.22</v>
      </c>
      <c r="F1132">
        <v>596.47</v>
      </c>
    </row>
    <row r="1133" spans="1:6" x14ac:dyDescent="0.25">
      <c r="A1133" s="1">
        <v>45828</v>
      </c>
      <c r="B1133">
        <v>594.28</v>
      </c>
      <c r="C1133">
        <v>94051370</v>
      </c>
      <c r="D1133">
        <v>598.38</v>
      </c>
      <c r="E1133">
        <v>599.46</v>
      </c>
      <c r="F1133">
        <v>592.86</v>
      </c>
    </row>
    <row r="1134" spans="1:6" x14ac:dyDescent="0.25">
      <c r="A1134" s="1">
        <v>45831</v>
      </c>
      <c r="B1134">
        <v>600.15</v>
      </c>
      <c r="C1134">
        <v>87426040</v>
      </c>
      <c r="D1134">
        <v>595.04</v>
      </c>
      <c r="E1134">
        <v>600.54</v>
      </c>
      <c r="F1134">
        <v>591.89</v>
      </c>
    </row>
    <row r="1135" spans="1:6" x14ac:dyDescent="0.25">
      <c r="A1135" s="1">
        <v>45832</v>
      </c>
      <c r="B1135">
        <v>606.78</v>
      </c>
      <c r="C1135">
        <v>67735290</v>
      </c>
      <c r="D1135">
        <v>604.33000000000004</v>
      </c>
      <c r="E1135">
        <v>607.84990000000005</v>
      </c>
      <c r="F1135">
        <v>603.41</v>
      </c>
    </row>
    <row r="1136" spans="1:6" x14ac:dyDescent="0.25">
      <c r="A1136" s="1">
        <v>45833</v>
      </c>
      <c r="B1136">
        <v>607.12</v>
      </c>
      <c r="C1136">
        <v>62114770</v>
      </c>
      <c r="D1136">
        <v>607.91</v>
      </c>
      <c r="E1136">
        <v>608.61</v>
      </c>
      <c r="F1136">
        <v>605.54</v>
      </c>
    </row>
    <row r="1137" spans="1:6" x14ac:dyDescent="0.25">
      <c r="A1137" s="1">
        <v>45834</v>
      </c>
      <c r="B1137">
        <v>611.87</v>
      </c>
      <c r="C1137">
        <v>78548360</v>
      </c>
      <c r="D1137">
        <v>608.99</v>
      </c>
      <c r="E1137">
        <v>612.30999999999995</v>
      </c>
      <c r="F1137">
        <v>608.37</v>
      </c>
    </row>
    <row r="1138" spans="1:6" x14ac:dyDescent="0.25">
      <c r="A1138" s="1">
        <v>45835</v>
      </c>
      <c r="B1138">
        <v>614.91</v>
      </c>
      <c r="C1138">
        <v>86258400</v>
      </c>
      <c r="D1138">
        <v>612.88</v>
      </c>
      <c r="E1138">
        <v>616.39</v>
      </c>
      <c r="F1138">
        <v>610.83000000000004</v>
      </c>
    </row>
    <row r="1139" spans="1:6" x14ac:dyDescent="0.25">
      <c r="A1139" s="1">
        <v>45838</v>
      </c>
      <c r="B1139">
        <v>617.85</v>
      </c>
      <c r="C1139">
        <v>92502540</v>
      </c>
      <c r="D1139">
        <v>617.38</v>
      </c>
      <c r="E1139">
        <v>619.22</v>
      </c>
      <c r="F1139">
        <v>615.04</v>
      </c>
    </row>
    <row r="1140" spans="1:6" x14ac:dyDescent="0.25">
      <c r="A1140" s="1">
        <v>45839</v>
      </c>
      <c r="B1140">
        <v>617.65</v>
      </c>
      <c r="C1140">
        <v>70030140</v>
      </c>
      <c r="D1140">
        <v>616.36</v>
      </c>
      <c r="E1140">
        <v>618.83000000000004</v>
      </c>
      <c r="F1140">
        <v>615.52</v>
      </c>
    </row>
    <row r="1141" spans="1:6" x14ac:dyDescent="0.25">
      <c r="A1141" s="1">
        <v>45840</v>
      </c>
      <c r="B1141">
        <v>620.45000000000005</v>
      </c>
      <c r="C1141">
        <v>66510370</v>
      </c>
      <c r="D1141">
        <v>617.24</v>
      </c>
      <c r="E1141">
        <v>620.49</v>
      </c>
      <c r="F1141">
        <v>616.61</v>
      </c>
    </row>
    <row r="1142" spans="1:6" x14ac:dyDescent="0.25">
      <c r="A1142" s="1">
        <v>45841</v>
      </c>
      <c r="B1142">
        <v>625.34</v>
      </c>
      <c r="C1142">
        <v>51065790</v>
      </c>
      <c r="D1142">
        <v>622.45000000000005</v>
      </c>
      <c r="E1142">
        <v>626.28</v>
      </c>
      <c r="F1142">
        <v>622.42999999999995</v>
      </c>
    </row>
    <row r="1143" spans="1:6" x14ac:dyDescent="0.25">
      <c r="A1143" s="1">
        <v>45845</v>
      </c>
      <c r="B1143">
        <v>620.67999999999995</v>
      </c>
      <c r="C1143">
        <v>74814510</v>
      </c>
      <c r="D1143">
        <v>623.36</v>
      </c>
      <c r="E1143">
        <v>624.03</v>
      </c>
      <c r="F1143">
        <v>617.87</v>
      </c>
    </row>
    <row r="1144" spans="1:6" x14ac:dyDescent="0.25">
      <c r="A1144" s="1">
        <v>45846</v>
      </c>
      <c r="B1144">
        <v>620.34</v>
      </c>
      <c r="C1144">
        <v>59024590</v>
      </c>
      <c r="D1144">
        <v>621.35</v>
      </c>
      <c r="E1144">
        <v>622.11</v>
      </c>
      <c r="F1144">
        <v>619.52</v>
      </c>
    </row>
    <row r="1145" spans="1:6" x14ac:dyDescent="0.25">
      <c r="A1145" s="1">
        <v>45847</v>
      </c>
      <c r="B1145">
        <v>624.05999999999995</v>
      </c>
      <c r="C1145">
        <v>66113330</v>
      </c>
      <c r="D1145">
        <v>622.77</v>
      </c>
      <c r="E1145">
        <v>624.72</v>
      </c>
      <c r="F1145">
        <v>620.91049999999996</v>
      </c>
    </row>
    <row r="1146" spans="1:6" x14ac:dyDescent="0.25">
      <c r="A1146" s="1">
        <v>45848</v>
      </c>
      <c r="B1146">
        <v>625.82000000000005</v>
      </c>
      <c r="C1146">
        <v>57528960</v>
      </c>
      <c r="D1146">
        <v>624.20000000000005</v>
      </c>
      <c r="E1146">
        <v>626.87009999999998</v>
      </c>
      <c r="F1146">
        <v>623.01</v>
      </c>
    </row>
    <row r="1147" spans="1:6" x14ac:dyDescent="0.25">
      <c r="A1147" s="1">
        <v>45849</v>
      </c>
      <c r="B1147">
        <v>623.62</v>
      </c>
      <c r="C1147">
        <v>63670230</v>
      </c>
      <c r="D1147">
        <v>622.74</v>
      </c>
      <c r="E1147">
        <v>624.86</v>
      </c>
      <c r="F1147">
        <v>621.53</v>
      </c>
    </row>
    <row r="1148" spans="1:6" x14ac:dyDescent="0.25">
      <c r="A1148" s="1">
        <v>45852</v>
      </c>
      <c r="B1148">
        <v>624.80999999999995</v>
      </c>
      <c r="C1148">
        <v>51898520</v>
      </c>
      <c r="D1148">
        <v>623.16</v>
      </c>
      <c r="E1148">
        <v>625.15809999999999</v>
      </c>
      <c r="F1148">
        <v>621.79989999999998</v>
      </c>
    </row>
    <row r="1149" spans="1:6" x14ac:dyDescent="0.25">
      <c r="A1149" s="1">
        <v>45853</v>
      </c>
      <c r="B1149">
        <v>622.14</v>
      </c>
      <c r="C1149">
        <v>74317260</v>
      </c>
      <c r="D1149">
        <v>627.52</v>
      </c>
      <c r="E1149">
        <v>627.86</v>
      </c>
      <c r="F1149">
        <v>622.05999999999995</v>
      </c>
    </row>
    <row r="1150" spans="1:6" x14ac:dyDescent="0.25">
      <c r="A1150" s="1">
        <v>45854</v>
      </c>
      <c r="B1150">
        <v>624.22</v>
      </c>
      <c r="C1150">
        <v>88987510</v>
      </c>
      <c r="D1150">
        <v>623.74</v>
      </c>
      <c r="E1150">
        <v>624.73</v>
      </c>
      <c r="F1150">
        <v>618.04999999999995</v>
      </c>
    </row>
    <row r="1151" spans="1:6" x14ac:dyDescent="0.25">
      <c r="A1151" s="1">
        <v>45855</v>
      </c>
      <c r="B1151">
        <v>628.04</v>
      </c>
      <c r="C1151">
        <v>68885680</v>
      </c>
      <c r="D1151">
        <v>624.4</v>
      </c>
      <c r="E1151">
        <v>628.40480000000002</v>
      </c>
      <c r="F1151">
        <v>624.17999999999995</v>
      </c>
    </row>
    <row r="1152" spans="1:6" x14ac:dyDescent="0.25">
      <c r="A1152" s="1">
        <v>45856</v>
      </c>
      <c r="B1152">
        <v>627.58000000000004</v>
      </c>
      <c r="C1152">
        <v>65621650</v>
      </c>
      <c r="D1152">
        <v>629.29999999999995</v>
      </c>
      <c r="E1152">
        <v>629.47</v>
      </c>
      <c r="F1152">
        <v>626.46</v>
      </c>
    </row>
    <row r="1153" spans="1:6" x14ac:dyDescent="0.25">
      <c r="A1153" s="1">
        <v>45859</v>
      </c>
      <c r="B1153">
        <v>628.77</v>
      </c>
      <c r="C1153">
        <v>63374980</v>
      </c>
      <c r="D1153">
        <v>628.77</v>
      </c>
      <c r="E1153">
        <v>631.54</v>
      </c>
      <c r="F1153">
        <v>628.34</v>
      </c>
    </row>
    <row r="1154" spans="1:6" x14ac:dyDescent="0.25">
      <c r="A1154" s="1">
        <v>45860</v>
      </c>
      <c r="B1154">
        <v>628.86</v>
      </c>
      <c r="C1154">
        <v>60046290</v>
      </c>
      <c r="D1154">
        <v>629.1</v>
      </c>
      <c r="E1154">
        <v>629.73</v>
      </c>
      <c r="F1154">
        <v>626.19000000000005</v>
      </c>
    </row>
    <row r="1155" spans="1:6" x14ac:dyDescent="0.25">
      <c r="A1155" s="1">
        <v>45861</v>
      </c>
      <c r="B1155">
        <v>634.21</v>
      </c>
      <c r="C1155">
        <v>70511040</v>
      </c>
      <c r="D1155">
        <v>631.54999999999995</v>
      </c>
      <c r="E1155">
        <v>634.21</v>
      </c>
      <c r="F1155">
        <v>629.73</v>
      </c>
    </row>
    <row r="1156" spans="1:6" x14ac:dyDescent="0.25">
      <c r="A1156" s="1">
        <v>45862</v>
      </c>
      <c r="B1156">
        <v>634.41999999999996</v>
      </c>
      <c r="C1156">
        <v>71307130</v>
      </c>
      <c r="D1156">
        <v>634.6</v>
      </c>
      <c r="E1156">
        <v>636.15</v>
      </c>
      <c r="F1156">
        <v>633.99</v>
      </c>
    </row>
    <row r="1157" spans="1:6" x14ac:dyDescent="0.25">
      <c r="A1157" s="1">
        <v>45863</v>
      </c>
      <c r="B1157">
        <v>637.1</v>
      </c>
      <c r="C1157">
        <v>56865360</v>
      </c>
      <c r="D1157">
        <v>635.09</v>
      </c>
      <c r="E1157">
        <v>637.57989999999995</v>
      </c>
      <c r="F1157">
        <v>634.84</v>
      </c>
    </row>
    <row r="1158" spans="1:6" x14ac:dyDescent="0.25">
      <c r="A1158" s="1">
        <v>45866</v>
      </c>
      <c r="B1158">
        <v>636.94000000000005</v>
      </c>
      <c r="C1158">
        <v>54917100</v>
      </c>
      <c r="D1158">
        <v>637.48</v>
      </c>
      <c r="E1158">
        <v>638.04</v>
      </c>
      <c r="F1158">
        <v>635.54</v>
      </c>
    </row>
    <row r="1159" spans="1:6" x14ac:dyDescent="0.25">
      <c r="A1159" s="1">
        <v>45867</v>
      </c>
      <c r="B1159">
        <v>635.26</v>
      </c>
      <c r="C1159">
        <v>60556280</v>
      </c>
      <c r="D1159">
        <v>638.35</v>
      </c>
      <c r="E1159">
        <v>638.66999999999996</v>
      </c>
      <c r="F1159">
        <v>634.33500000000004</v>
      </c>
    </row>
    <row r="1160" spans="1:6" x14ac:dyDescent="0.25">
      <c r="A1160" s="1">
        <v>45868</v>
      </c>
      <c r="B1160">
        <v>634.46</v>
      </c>
      <c r="C1160">
        <v>80418850</v>
      </c>
      <c r="D1160">
        <v>635.91999999999996</v>
      </c>
      <c r="E1160">
        <v>637.67999999999995</v>
      </c>
      <c r="F1160">
        <v>631.54</v>
      </c>
    </row>
    <row r="1161" spans="1:6" x14ac:dyDescent="0.25">
      <c r="A1161" s="1">
        <v>45869</v>
      </c>
      <c r="B1161">
        <v>632.08000000000004</v>
      </c>
      <c r="C1161">
        <v>103385200</v>
      </c>
      <c r="D1161">
        <v>639.45500000000004</v>
      </c>
      <c r="E1161">
        <v>639.85</v>
      </c>
      <c r="F1161">
        <v>630.76499999999999</v>
      </c>
    </row>
    <row r="1162" spans="1:6" x14ac:dyDescent="0.25">
      <c r="A1162" s="1">
        <v>45870</v>
      </c>
      <c r="B1162">
        <v>621.72</v>
      </c>
      <c r="C1162">
        <v>140103600</v>
      </c>
      <c r="D1162">
        <v>626.29999999999995</v>
      </c>
      <c r="E1162">
        <v>626.34</v>
      </c>
      <c r="F1162">
        <v>619.29</v>
      </c>
    </row>
    <row r="1163" spans="1:6" x14ac:dyDescent="0.25">
      <c r="A1163" s="1">
        <v>45873</v>
      </c>
      <c r="B1163">
        <v>631.16999999999996</v>
      </c>
      <c r="C1163">
        <v>73218020</v>
      </c>
      <c r="D1163">
        <v>625.66999999999996</v>
      </c>
      <c r="E1163">
        <v>631.21500000000003</v>
      </c>
      <c r="F1163">
        <v>625.58000000000004</v>
      </c>
    </row>
    <row r="1164" spans="1:6" x14ac:dyDescent="0.25">
      <c r="A1164" s="1">
        <v>45874</v>
      </c>
      <c r="B1164">
        <v>627.97</v>
      </c>
      <c r="C1164">
        <v>68051400</v>
      </c>
      <c r="D1164">
        <v>631.79</v>
      </c>
      <c r="E1164">
        <v>632.60519999999997</v>
      </c>
      <c r="F1164">
        <v>627.04</v>
      </c>
    </row>
    <row r="1165" spans="1:6" x14ac:dyDescent="0.25">
      <c r="A1165" s="1">
        <v>45875</v>
      </c>
      <c r="B1165">
        <v>632.78</v>
      </c>
      <c r="C1165">
        <v>64357530</v>
      </c>
      <c r="D1165">
        <v>629.04999999999995</v>
      </c>
      <c r="E1165">
        <v>633.44000000000005</v>
      </c>
      <c r="F1165">
        <v>628.13</v>
      </c>
    </row>
    <row r="1166" spans="1:6" x14ac:dyDescent="0.25">
      <c r="A1166" s="1">
        <v>45876</v>
      </c>
      <c r="B1166">
        <v>632.25</v>
      </c>
      <c r="C1166">
        <v>74205790</v>
      </c>
      <c r="D1166">
        <v>636.24</v>
      </c>
      <c r="E1166">
        <v>636.98</v>
      </c>
      <c r="F1166">
        <v>629.11</v>
      </c>
    </row>
    <row r="1167" spans="1:6" x14ac:dyDescent="0.25">
      <c r="A1167" s="1">
        <v>45877</v>
      </c>
      <c r="B1167">
        <v>637.17999999999995</v>
      </c>
      <c r="C1167">
        <v>64051630</v>
      </c>
      <c r="D1167">
        <v>634.05999999999995</v>
      </c>
      <c r="E1167">
        <v>637.64499999999998</v>
      </c>
      <c r="F1167">
        <v>633.74</v>
      </c>
    </row>
    <row r="1168" spans="1:6" x14ac:dyDescent="0.25">
      <c r="A1168" s="1">
        <v>45880</v>
      </c>
      <c r="B1168">
        <v>635.91999999999996</v>
      </c>
      <c r="C1168">
        <v>58742300</v>
      </c>
      <c r="D1168">
        <v>637.46</v>
      </c>
      <c r="E1168">
        <v>638.95000000000005</v>
      </c>
      <c r="F1168">
        <v>634.66</v>
      </c>
    </row>
    <row r="1169" spans="1:6" x14ac:dyDescent="0.25">
      <c r="A1169" s="1">
        <v>45881</v>
      </c>
      <c r="B1169">
        <v>642.69000000000005</v>
      </c>
      <c r="C1169">
        <v>64821800</v>
      </c>
      <c r="D1169">
        <v>638.29</v>
      </c>
      <c r="E1169">
        <v>642.85</v>
      </c>
      <c r="F1169">
        <v>636.79</v>
      </c>
    </row>
    <row r="1170" spans="1:6" x14ac:dyDescent="0.25">
      <c r="A1170" s="1">
        <v>45882</v>
      </c>
      <c r="B1170">
        <v>644.89</v>
      </c>
      <c r="C1170">
        <v>60092790</v>
      </c>
      <c r="D1170">
        <v>644.91</v>
      </c>
      <c r="E1170">
        <v>646.19000000000005</v>
      </c>
      <c r="F1170">
        <v>642.67999999999995</v>
      </c>
    </row>
    <row r="1171" spans="1:6" x14ac:dyDescent="0.25">
      <c r="A1171" s="1">
        <v>45883</v>
      </c>
      <c r="B1171">
        <v>644.95000000000005</v>
      </c>
      <c r="C1171">
        <v>59327470</v>
      </c>
      <c r="D1171">
        <v>642.79</v>
      </c>
      <c r="E1171">
        <v>645.62</v>
      </c>
      <c r="F1171">
        <v>642.34</v>
      </c>
    </row>
    <row r="1172" spans="1:6" x14ac:dyDescent="0.25">
      <c r="A1172" s="1">
        <v>45884</v>
      </c>
      <c r="B1172">
        <v>643.44000000000005</v>
      </c>
      <c r="C1172">
        <v>68592510</v>
      </c>
      <c r="D1172">
        <v>645.99</v>
      </c>
      <c r="E1172">
        <v>646.09</v>
      </c>
      <c r="F1172">
        <v>642.51530000000002</v>
      </c>
    </row>
    <row r="1173" spans="1:6" x14ac:dyDescent="0.25">
      <c r="A1173" s="1">
        <v>45887</v>
      </c>
      <c r="B1173">
        <v>643.29999999999995</v>
      </c>
      <c r="C1173">
        <v>43804910</v>
      </c>
      <c r="D1173">
        <v>642.86</v>
      </c>
      <c r="E1173">
        <v>644</v>
      </c>
      <c r="F1173">
        <v>642.17999999999995</v>
      </c>
    </row>
    <row r="1174" spans="1:6" x14ac:dyDescent="0.25">
      <c r="A1174" s="1">
        <v>45888</v>
      </c>
      <c r="B1174">
        <v>639.80999999999995</v>
      </c>
      <c r="C1174">
        <v>69750730</v>
      </c>
      <c r="D1174">
        <v>643.12</v>
      </c>
      <c r="E1174">
        <v>644.10500000000002</v>
      </c>
      <c r="F1174">
        <v>638.48</v>
      </c>
    </row>
    <row r="1175" spans="1:6" x14ac:dyDescent="0.25">
      <c r="A1175" s="1">
        <v>45889</v>
      </c>
      <c r="B1175">
        <v>638.11</v>
      </c>
      <c r="C1175">
        <v>88890300</v>
      </c>
      <c r="D1175">
        <v>639.4</v>
      </c>
      <c r="E1175">
        <v>639.66</v>
      </c>
      <c r="F1175">
        <v>632.95000000000005</v>
      </c>
    </row>
    <row r="1176" spans="1:6" x14ac:dyDescent="0.25">
      <c r="A1176" s="1">
        <v>45890</v>
      </c>
      <c r="B1176">
        <v>635.54999999999995</v>
      </c>
      <c r="C1176">
        <v>54805780</v>
      </c>
      <c r="D1176">
        <v>636.28</v>
      </c>
      <c r="E1176">
        <v>637.97</v>
      </c>
      <c r="F1176">
        <v>633.80999999999995</v>
      </c>
    </row>
    <row r="1177" spans="1:6" x14ac:dyDescent="0.25">
      <c r="A1177" s="1">
        <v>45891</v>
      </c>
      <c r="B1177">
        <v>645.30999999999995</v>
      </c>
      <c r="C1177">
        <v>84083210</v>
      </c>
      <c r="D1177">
        <v>637.76</v>
      </c>
      <c r="E1177">
        <v>646.5</v>
      </c>
      <c r="F1177">
        <v>637.25</v>
      </c>
    </row>
    <row r="1178" spans="1:6" x14ac:dyDescent="0.25">
      <c r="A1178" s="1">
        <v>45894</v>
      </c>
      <c r="B1178">
        <v>642.47</v>
      </c>
      <c r="C1178">
        <v>51274330</v>
      </c>
      <c r="D1178">
        <v>644.04</v>
      </c>
      <c r="E1178">
        <v>645.29</v>
      </c>
      <c r="F1178">
        <v>642.35</v>
      </c>
    </row>
    <row r="1179" spans="1:6" x14ac:dyDescent="0.25">
      <c r="A1179" s="1">
        <v>45895</v>
      </c>
      <c r="B1179">
        <v>645.16</v>
      </c>
      <c r="C1179">
        <v>51581570</v>
      </c>
      <c r="D1179">
        <v>642.20000000000005</v>
      </c>
      <c r="E1179">
        <v>645.51</v>
      </c>
      <c r="F1179">
        <v>641.57000000000005</v>
      </c>
    </row>
    <row r="1180" spans="1:6" x14ac:dyDescent="0.25">
      <c r="A1180" s="1">
        <v>45896</v>
      </c>
      <c r="B1180">
        <v>646.63</v>
      </c>
      <c r="C1180">
        <v>48341070</v>
      </c>
      <c r="D1180">
        <v>644.57000000000005</v>
      </c>
      <c r="E1180">
        <v>647.37</v>
      </c>
      <c r="F1180">
        <v>644.41999999999996</v>
      </c>
    </row>
    <row r="1181" spans="1:6" x14ac:dyDescent="0.25">
      <c r="A1181" s="1">
        <v>45897</v>
      </c>
      <c r="B1181">
        <v>648.91999999999996</v>
      </c>
      <c r="C1181">
        <v>61519460</v>
      </c>
      <c r="D1181">
        <v>647.24</v>
      </c>
      <c r="E1181">
        <v>649.48</v>
      </c>
      <c r="F1181">
        <v>645.34</v>
      </c>
    </row>
    <row r="1182" spans="1:6" x14ac:dyDescent="0.25">
      <c r="A1182" s="1">
        <v>45898</v>
      </c>
      <c r="B1182">
        <v>645.04999999999995</v>
      </c>
      <c r="C1182">
        <v>74522190</v>
      </c>
      <c r="D1182">
        <v>647.47</v>
      </c>
      <c r="E1182">
        <v>647.84</v>
      </c>
      <c r="F1182">
        <v>643.14</v>
      </c>
    </row>
    <row r="1183" spans="1:6" x14ac:dyDescent="0.25">
      <c r="A1183" s="1">
        <v>45902</v>
      </c>
      <c r="B1183">
        <v>640.27</v>
      </c>
      <c r="C1183">
        <v>81983550</v>
      </c>
      <c r="D1183">
        <v>637.5</v>
      </c>
      <c r="E1183">
        <v>640.49</v>
      </c>
      <c r="F1183">
        <v>634.91999999999996</v>
      </c>
    </row>
    <row r="1184" spans="1:6" x14ac:dyDescent="0.25">
      <c r="A1184" s="1">
        <v>45903</v>
      </c>
      <c r="B1184">
        <v>643.74</v>
      </c>
      <c r="C1184">
        <v>70820900</v>
      </c>
      <c r="D1184">
        <v>642.66999999999996</v>
      </c>
      <c r="E1184">
        <v>644.21</v>
      </c>
      <c r="F1184">
        <v>640.46</v>
      </c>
    </row>
    <row r="1185" spans="1:6" x14ac:dyDescent="0.25">
      <c r="A1185" s="1">
        <v>45904</v>
      </c>
      <c r="B1185">
        <v>649.12</v>
      </c>
      <c r="C1185">
        <v>65219230</v>
      </c>
      <c r="D1185">
        <v>644.41999999999996</v>
      </c>
      <c r="E1185">
        <v>649.15</v>
      </c>
      <c r="F1185">
        <v>643.51</v>
      </c>
    </row>
    <row r="1186" spans="1:6" x14ac:dyDescent="0.25">
      <c r="A1186" s="1">
        <v>45905</v>
      </c>
      <c r="B1186">
        <v>647.24</v>
      </c>
      <c r="C1186">
        <v>85178940</v>
      </c>
      <c r="D1186">
        <v>651.48</v>
      </c>
      <c r="E1186">
        <v>652.21</v>
      </c>
      <c r="F1186">
        <v>643.33000000000004</v>
      </c>
    </row>
    <row r="1187" spans="1:6" x14ac:dyDescent="0.25">
      <c r="A1187" s="1">
        <v>45908</v>
      </c>
      <c r="B1187">
        <v>648.83000000000004</v>
      </c>
      <c r="C1187">
        <v>63133100</v>
      </c>
      <c r="D1187">
        <v>648.62</v>
      </c>
      <c r="E1187">
        <v>649.84</v>
      </c>
      <c r="F1187">
        <v>647.23</v>
      </c>
    </row>
    <row r="1188" spans="1:6" x14ac:dyDescent="0.25">
      <c r="A1188" s="1">
        <v>45909</v>
      </c>
      <c r="B1188">
        <v>650.33000000000004</v>
      </c>
      <c r="C1188">
        <v>66133860</v>
      </c>
      <c r="D1188">
        <v>648.97</v>
      </c>
      <c r="E1188">
        <v>650.86</v>
      </c>
      <c r="F1188">
        <v>647.22</v>
      </c>
    </row>
    <row r="1189" spans="1:6" x14ac:dyDescent="0.25">
      <c r="A1189" s="1">
        <v>45910</v>
      </c>
      <c r="B1189">
        <v>652.21</v>
      </c>
      <c r="C1189">
        <v>78034530</v>
      </c>
      <c r="D1189">
        <v>653.62</v>
      </c>
      <c r="E1189">
        <v>654.54999999999995</v>
      </c>
      <c r="F1189">
        <v>650.63</v>
      </c>
    </row>
    <row r="1190" spans="1:6" x14ac:dyDescent="0.25">
      <c r="A1190" s="1">
        <v>45911</v>
      </c>
      <c r="B1190">
        <v>657.63</v>
      </c>
      <c r="C1190">
        <v>69934360</v>
      </c>
      <c r="D1190">
        <v>654.17999999999995</v>
      </c>
      <c r="E1190">
        <v>658.33</v>
      </c>
      <c r="F1190">
        <v>653.59</v>
      </c>
    </row>
    <row r="1191" spans="1:6" x14ac:dyDescent="0.25">
      <c r="A1191" s="1">
        <v>45912</v>
      </c>
      <c r="B1191">
        <v>657.41</v>
      </c>
      <c r="C1191">
        <v>72780140</v>
      </c>
      <c r="D1191">
        <v>657.6</v>
      </c>
      <c r="E1191">
        <v>659.11</v>
      </c>
      <c r="F1191">
        <v>656.9</v>
      </c>
    </row>
    <row r="1192" spans="1:6" x14ac:dyDescent="0.25">
      <c r="A1192" s="1">
        <v>45915</v>
      </c>
      <c r="B1192">
        <v>660.91</v>
      </c>
      <c r="C1192">
        <v>63772410</v>
      </c>
      <c r="D1192">
        <v>659.64</v>
      </c>
      <c r="E1192">
        <v>661.04</v>
      </c>
      <c r="F1192">
        <v>659.34</v>
      </c>
    </row>
    <row r="1193" spans="1:6" x14ac:dyDescent="0.25">
      <c r="A1193" s="1">
        <v>45916</v>
      </c>
      <c r="B1193">
        <v>660</v>
      </c>
      <c r="C1193">
        <v>61168950</v>
      </c>
      <c r="D1193">
        <v>661.47</v>
      </c>
      <c r="E1193">
        <v>661.78</v>
      </c>
      <c r="F1193">
        <v>659.21</v>
      </c>
    </row>
    <row r="1194" spans="1:6" x14ac:dyDescent="0.25">
      <c r="A1194" s="1">
        <v>45917</v>
      </c>
      <c r="B1194">
        <v>659.18</v>
      </c>
      <c r="C1194">
        <v>101952200</v>
      </c>
      <c r="D1194">
        <v>660.01</v>
      </c>
      <c r="E1194">
        <v>661.72</v>
      </c>
      <c r="F1194">
        <v>654.29999999999995</v>
      </c>
    </row>
    <row r="1195" spans="1:6" x14ac:dyDescent="0.25">
      <c r="A1195" s="1">
        <v>45918</v>
      </c>
      <c r="B1195">
        <v>662.26</v>
      </c>
      <c r="C1195">
        <v>90459240</v>
      </c>
      <c r="D1195">
        <v>661.89</v>
      </c>
      <c r="E1195">
        <v>664.89</v>
      </c>
      <c r="F1195">
        <v>660.27</v>
      </c>
    </row>
    <row r="1196" spans="1:6" x14ac:dyDescent="0.25">
      <c r="A1196" s="1">
        <v>45919</v>
      </c>
      <c r="B1196">
        <v>663.7</v>
      </c>
      <c r="C1196">
        <v>97945620</v>
      </c>
      <c r="D1196">
        <v>662.33</v>
      </c>
      <c r="E1196">
        <v>664.55</v>
      </c>
      <c r="F1196">
        <v>660.37</v>
      </c>
    </row>
    <row r="1197" spans="1:6" x14ac:dyDescent="0.25">
      <c r="A1197" s="1">
        <v>45922</v>
      </c>
      <c r="B1197">
        <v>666.84</v>
      </c>
      <c r="C1197">
        <v>69452200</v>
      </c>
      <c r="D1197">
        <v>662.2</v>
      </c>
      <c r="E1197">
        <v>667.29</v>
      </c>
      <c r="F1197">
        <v>662.17</v>
      </c>
    </row>
    <row r="1198" spans="1:6" x14ac:dyDescent="0.25">
      <c r="A1198" s="1">
        <v>45923</v>
      </c>
      <c r="B1198">
        <v>663.21</v>
      </c>
      <c r="C1198">
        <v>81708870</v>
      </c>
      <c r="D1198">
        <v>666.72</v>
      </c>
      <c r="E1198">
        <v>667.34</v>
      </c>
      <c r="F1198">
        <v>661.98</v>
      </c>
    </row>
    <row r="1199" spans="1:6" x14ac:dyDescent="0.25">
      <c r="A1199" s="1">
        <v>45924</v>
      </c>
      <c r="B1199">
        <v>661.1</v>
      </c>
      <c r="C1199">
        <v>68082230</v>
      </c>
      <c r="D1199">
        <v>664.51</v>
      </c>
      <c r="E1199">
        <v>664.61</v>
      </c>
      <c r="F1199">
        <v>659.67</v>
      </c>
    </row>
    <row r="1200" spans="1:6" x14ac:dyDescent="0.25">
      <c r="A1200" s="1">
        <v>45925</v>
      </c>
      <c r="B1200">
        <v>658.05</v>
      </c>
      <c r="C1200">
        <v>89622070</v>
      </c>
      <c r="D1200">
        <v>657.94</v>
      </c>
      <c r="E1200">
        <v>659.40560000000005</v>
      </c>
      <c r="F1200">
        <v>654.40499999999997</v>
      </c>
    </row>
    <row r="1201" spans="1:6" x14ac:dyDescent="0.25">
      <c r="A1201" s="1">
        <v>45926</v>
      </c>
      <c r="B1201">
        <v>661.82</v>
      </c>
      <c r="C1201">
        <v>69179210</v>
      </c>
      <c r="D1201">
        <v>659.51</v>
      </c>
      <c r="E1201">
        <v>662.37</v>
      </c>
      <c r="F1201">
        <v>657.88</v>
      </c>
    </row>
    <row r="1202" spans="1:6" x14ac:dyDescent="0.25">
      <c r="A1202" s="1">
        <v>45929</v>
      </c>
      <c r="B1202">
        <v>663.68</v>
      </c>
      <c r="C1202">
        <v>73499020</v>
      </c>
      <c r="D1202">
        <v>664.36</v>
      </c>
      <c r="E1202">
        <v>665.28</v>
      </c>
      <c r="F1202">
        <v>661.86</v>
      </c>
    </row>
    <row r="1203" spans="1:6" x14ac:dyDescent="0.25">
      <c r="A1203" s="1">
        <v>45930</v>
      </c>
      <c r="B1203">
        <v>666.18</v>
      </c>
      <c r="C1203">
        <v>86288030</v>
      </c>
      <c r="D1203">
        <v>662.93</v>
      </c>
      <c r="E1203">
        <v>666.65</v>
      </c>
      <c r="F1203">
        <v>661.61</v>
      </c>
    </row>
    <row r="1204" spans="1:6" x14ac:dyDescent="0.25">
      <c r="A1204" s="1">
        <v>45931</v>
      </c>
      <c r="B1204">
        <v>668.45</v>
      </c>
      <c r="C1204">
        <v>72545370</v>
      </c>
      <c r="D1204">
        <v>663.17</v>
      </c>
      <c r="E1204">
        <v>669.37</v>
      </c>
      <c r="F1204">
        <v>663.06</v>
      </c>
    </row>
    <row r="1205" spans="1:6" x14ac:dyDescent="0.25">
      <c r="A1205" s="1">
        <v>45932</v>
      </c>
      <c r="B1205">
        <v>669.22</v>
      </c>
      <c r="C1205">
        <v>56895990</v>
      </c>
      <c r="D1205">
        <v>670.45</v>
      </c>
      <c r="E1205">
        <v>670.56500000000005</v>
      </c>
      <c r="F1205">
        <v>666.78</v>
      </c>
    </row>
    <row r="1206" spans="1:6" x14ac:dyDescent="0.25">
      <c r="A1206" s="1">
        <v>45933</v>
      </c>
      <c r="B1206">
        <v>669.21</v>
      </c>
      <c r="C1206">
        <v>70494350</v>
      </c>
      <c r="D1206">
        <v>669.99</v>
      </c>
      <c r="E1206">
        <v>672.67499999999995</v>
      </c>
      <c r="F1206">
        <v>668.16</v>
      </c>
    </row>
    <row r="1207" spans="1:6" x14ac:dyDescent="0.25">
      <c r="A1207" s="1">
        <v>45936</v>
      </c>
      <c r="B1207">
        <v>671.61</v>
      </c>
      <c r="C1207">
        <v>54623260</v>
      </c>
      <c r="D1207">
        <v>671.62</v>
      </c>
      <c r="E1207">
        <v>672.51</v>
      </c>
      <c r="F1207">
        <v>669.45500000000004</v>
      </c>
    </row>
    <row r="1208" spans="1:6" x14ac:dyDescent="0.25">
      <c r="A1208" s="1">
        <v>45937</v>
      </c>
      <c r="B1208">
        <v>669.12</v>
      </c>
      <c r="C1208">
        <v>72020070</v>
      </c>
      <c r="D1208">
        <v>672.54</v>
      </c>
      <c r="E1208">
        <v>672.99</v>
      </c>
      <c r="F1208">
        <v>667.67</v>
      </c>
    </row>
    <row r="1209" spans="1:6" x14ac:dyDescent="0.25">
      <c r="A1209" s="1">
        <v>45938</v>
      </c>
      <c r="B1209">
        <v>673.11</v>
      </c>
      <c r="C1209">
        <v>60702240</v>
      </c>
      <c r="D1209">
        <v>670.25</v>
      </c>
      <c r="E1209">
        <v>673.2056</v>
      </c>
      <c r="F1209">
        <v>669.42</v>
      </c>
    </row>
    <row r="1210" spans="1:6" x14ac:dyDescent="0.25">
      <c r="A1210" s="1">
        <v>45939</v>
      </c>
      <c r="B1210">
        <v>671.16</v>
      </c>
      <c r="C1210">
        <v>66501940</v>
      </c>
      <c r="D1210">
        <v>673.53</v>
      </c>
      <c r="E1210">
        <v>673.94</v>
      </c>
      <c r="F1210">
        <v>669.21</v>
      </c>
    </row>
    <row r="1211" spans="1:6" x14ac:dyDescent="0.25">
      <c r="A1211" s="1">
        <v>45940</v>
      </c>
      <c r="B1211">
        <v>653.02</v>
      </c>
      <c r="C1211">
        <v>159422600</v>
      </c>
      <c r="D1211">
        <v>672.13</v>
      </c>
      <c r="E1211">
        <v>673.95</v>
      </c>
      <c r="F1211">
        <v>652.84</v>
      </c>
    </row>
    <row r="1212" spans="1:6" x14ac:dyDescent="0.25">
      <c r="A1212" s="1">
        <v>45943</v>
      </c>
      <c r="B1212">
        <v>663.04</v>
      </c>
      <c r="C1212">
        <v>79560520</v>
      </c>
      <c r="D1212">
        <v>660.65</v>
      </c>
      <c r="E1212">
        <v>665.13</v>
      </c>
      <c r="F1212">
        <v>659.76790000000005</v>
      </c>
    </row>
    <row r="1213" spans="1:6" x14ac:dyDescent="0.25">
      <c r="A1213" s="1">
        <v>45944</v>
      </c>
      <c r="B1213">
        <v>662.23</v>
      </c>
      <c r="C1213">
        <v>88779560</v>
      </c>
      <c r="D1213">
        <v>657.17</v>
      </c>
      <c r="E1213">
        <v>665.83</v>
      </c>
      <c r="F1213">
        <v>653.16999999999996</v>
      </c>
    </row>
    <row r="1214" spans="1:6" x14ac:dyDescent="0.25">
      <c r="A1214" s="1">
        <v>45945</v>
      </c>
      <c r="B1214">
        <v>665.17</v>
      </c>
      <c r="C1214">
        <v>81702560</v>
      </c>
      <c r="D1214">
        <v>666.82</v>
      </c>
      <c r="E1214">
        <v>670.23</v>
      </c>
      <c r="F1214">
        <v>658.93</v>
      </c>
    </row>
    <row r="1215" spans="1:6" x14ac:dyDescent="0.25">
      <c r="A1215" s="1">
        <v>45946</v>
      </c>
      <c r="B1215">
        <v>660.64</v>
      </c>
      <c r="C1215">
        <v>110563300</v>
      </c>
      <c r="D1215">
        <v>666.82</v>
      </c>
      <c r="E1215">
        <v>668.71</v>
      </c>
      <c r="F1215">
        <v>657.11</v>
      </c>
    </row>
    <row r="1216" spans="1:6" x14ac:dyDescent="0.25">
      <c r="A1216" s="1">
        <v>45947</v>
      </c>
      <c r="B1216">
        <v>664.39</v>
      </c>
      <c r="C1216">
        <v>96500870</v>
      </c>
      <c r="D1216">
        <v>659.5</v>
      </c>
      <c r="E1216">
        <v>665.755</v>
      </c>
      <c r="F1216">
        <v>658.14</v>
      </c>
    </row>
    <row r="1217" spans="1:6" x14ac:dyDescent="0.25">
      <c r="A1217" s="1">
        <v>45950</v>
      </c>
      <c r="B1217">
        <v>671.3</v>
      </c>
      <c r="C1217">
        <v>60493350</v>
      </c>
      <c r="D1217">
        <v>667.32</v>
      </c>
      <c r="E1217">
        <v>672.21</v>
      </c>
      <c r="F1217">
        <v>667.27</v>
      </c>
    </row>
    <row r="1218" spans="1:6" x14ac:dyDescent="0.25">
      <c r="A1218" s="1">
        <v>45951</v>
      </c>
      <c r="B1218">
        <v>671.29</v>
      </c>
      <c r="C1218">
        <v>56249030</v>
      </c>
      <c r="D1218">
        <v>671.44</v>
      </c>
      <c r="E1218">
        <v>672.99</v>
      </c>
      <c r="F1218">
        <v>669.98099999999999</v>
      </c>
    </row>
    <row r="1219" spans="1:6" x14ac:dyDescent="0.25">
      <c r="A1219" s="1">
        <v>45952</v>
      </c>
      <c r="B1219">
        <v>667.8</v>
      </c>
      <c r="C1219">
        <v>80564010</v>
      </c>
      <c r="D1219">
        <v>672</v>
      </c>
      <c r="E1219">
        <v>672</v>
      </c>
      <c r="F1219">
        <v>663.3</v>
      </c>
    </row>
    <row r="1220" spans="1:6" x14ac:dyDescent="0.25">
      <c r="A1220" s="1">
        <v>45953</v>
      </c>
      <c r="B1220">
        <v>671.76</v>
      </c>
      <c r="C1220">
        <v>65604460</v>
      </c>
      <c r="D1220">
        <v>668.12</v>
      </c>
      <c r="E1220">
        <v>672.71010000000001</v>
      </c>
      <c r="F1220">
        <v>667.8</v>
      </c>
    </row>
    <row r="1221" spans="1:6" x14ac:dyDescent="0.25">
      <c r="A1221" s="1">
        <v>45954</v>
      </c>
      <c r="B1221">
        <v>677.25</v>
      </c>
      <c r="C1221">
        <v>74356530</v>
      </c>
      <c r="D1221">
        <v>676.46</v>
      </c>
      <c r="E1221">
        <v>678.47</v>
      </c>
      <c r="F1221">
        <v>675.65</v>
      </c>
    </row>
    <row r="1222" spans="1:6" x14ac:dyDescent="0.25">
      <c r="A1222" s="1">
        <v>45957</v>
      </c>
      <c r="B1222">
        <v>685.24</v>
      </c>
      <c r="C1222">
        <v>63339790</v>
      </c>
      <c r="D1222">
        <v>682.73</v>
      </c>
      <c r="E1222">
        <v>685.54</v>
      </c>
      <c r="F1222">
        <v>682.11500000000001</v>
      </c>
    </row>
    <row r="1223" spans="1:6" x14ac:dyDescent="0.25">
      <c r="A1223" s="1">
        <v>45958</v>
      </c>
      <c r="B1223">
        <v>687.06</v>
      </c>
      <c r="C1223">
        <v>61738070</v>
      </c>
      <c r="D1223">
        <v>687.05</v>
      </c>
      <c r="E1223">
        <v>688.90499999999997</v>
      </c>
      <c r="F1223">
        <v>684.83</v>
      </c>
    </row>
    <row r="1224" spans="1:6" x14ac:dyDescent="0.25">
      <c r="A1224" s="1">
        <v>45959</v>
      </c>
      <c r="B1224">
        <v>687.39</v>
      </c>
      <c r="C1224">
        <v>85362210</v>
      </c>
      <c r="D1224">
        <v>688.72</v>
      </c>
      <c r="E1224">
        <v>689.7</v>
      </c>
      <c r="F1224">
        <v>682.87</v>
      </c>
    </row>
    <row r="1225" spans="1:6" x14ac:dyDescent="0.25">
      <c r="A1225" s="1">
        <v>45960</v>
      </c>
      <c r="B1225">
        <v>679.83</v>
      </c>
      <c r="C1225">
        <v>76335750</v>
      </c>
      <c r="D1225">
        <v>683.9</v>
      </c>
      <c r="E1225">
        <v>685.94</v>
      </c>
      <c r="F1225">
        <v>679.83</v>
      </c>
    </row>
    <row r="1226" spans="1:6" x14ac:dyDescent="0.25">
      <c r="A1226" s="1">
        <v>45961</v>
      </c>
      <c r="B1226">
        <v>682.06</v>
      </c>
      <c r="C1226">
        <v>87164120</v>
      </c>
      <c r="D1226">
        <v>685.04</v>
      </c>
      <c r="E1226">
        <v>685.08</v>
      </c>
      <c r="F1226">
        <v>679.24</v>
      </c>
    </row>
    <row r="1227" spans="1:6" x14ac:dyDescent="0.25">
      <c r="A1227" s="1">
        <v>45964</v>
      </c>
      <c r="B1227">
        <v>683.34</v>
      </c>
      <c r="C1227">
        <v>57315030</v>
      </c>
      <c r="D1227">
        <v>685.67</v>
      </c>
      <c r="E1227">
        <v>685.8</v>
      </c>
      <c r="F1227">
        <v>679.94</v>
      </c>
    </row>
    <row r="1228" spans="1:6" x14ac:dyDescent="0.25">
      <c r="A1228" s="1">
        <v>45965</v>
      </c>
      <c r="B1228">
        <v>675.24</v>
      </c>
      <c r="C1228">
        <v>78426970</v>
      </c>
      <c r="D1228">
        <v>676.11</v>
      </c>
      <c r="E1228">
        <v>679.96</v>
      </c>
      <c r="F1228">
        <v>674.58</v>
      </c>
    </row>
    <row r="1229" spans="1:6" x14ac:dyDescent="0.25">
      <c r="A1229" s="1">
        <v>45966</v>
      </c>
      <c r="B1229">
        <v>677.58</v>
      </c>
      <c r="C1229">
        <v>74402380</v>
      </c>
      <c r="D1229">
        <v>674.98</v>
      </c>
      <c r="E1229">
        <v>680.86</v>
      </c>
      <c r="F1229">
        <v>674.17</v>
      </c>
    </row>
    <row r="1230" spans="1:6" x14ac:dyDescent="0.25">
      <c r="A1230" s="1">
        <v>45967</v>
      </c>
      <c r="B1230">
        <v>670.31</v>
      </c>
      <c r="C1230">
        <v>85035300</v>
      </c>
      <c r="D1230">
        <v>676.47</v>
      </c>
      <c r="E1230">
        <v>677.38</v>
      </c>
      <c r="F1230">
        <v>668.72</v>
      </c>
    </row>
    <row r="1231" spans="1:6" x14ac:dyDescent="0.25">
      <c r="A1231" s="1">
        <v>45968</v>
      </c>
      <c r="B1231">
        <v>670.97</v>
      </c>
      <c r="C1231">
        <v>100592400</v>
      </c>
      <c r="D1231">
        <v>667.91</v>
      </c>
      <c r="E1231">
        <v>671.08</v>
      </c>
      <c r="F1231">
        <v>661.20500000000004</v>
      </c>
    </row>
    <row r="1232" spans="1:6" x14ac:dyDescent="0.25">
      <c r="A1232" s="1">
        <v>45971</v>
      </c>
      <c r="B1232">
        <v>681.44</v>
      </c>
      <c r="C1232">
        <v>75842890</v>
      </c>
      <c r="D1232">
        <v>677.23500000000001</v>
      </c>
      <c r="E1232">
        <v>682.18</v>
      </c>
      <c r="F1232">
        <v>675.03</v>
      </c>
    </row>
    <row r="1233" spans="1:6" x14ac:dyDescent="0.25">
      <c r="A1233" s="1">
        <v>45972</v>
      </c>
      <c r="B1233">
        <v>683</v>
      </c>
      <c r="C1233">
        <v>58953390</v>
      </c>
      <c r="D1233">
        <v>679.95</v>
      </c>
      <c r="E1233">
        <v>683.57</v>
      </c>
      <c r="F1233">
        <v>678.73</v>
      </c>
    </row>
    <row r="1234" spans="1:6" x14ac:dyDescent="0.25">
      <c r="A1234" s="1">
        <v>45973</v>
      </c>
      <c r="B1234">
        <v>683.38</v>
      </c>
      <c r="C1234">
        <v>62312480</v>
      </c>
      <c r="D1234">
        <v>684.79</v>
      </c>
      <c r="E1234">
        <v>684.96</v>
      </c>
      <c r="F1234">
        <v>680.94500000000005</v>
      </c>
    </row>
    <row r="1235" spans="1:6" x14ac:dyDescent="0.25">
      <c r="A1235" s="1">
        <v>45974</v>
      </c>
      <c r="B1235">
        <v>672.04</v>
      </c>
      <c r="C1235">
        <v>103457800</v>
      </c>
      <c r="D1235">
        <v>680.5</v>
      </c>
      <c r="E1235">
        <v>680.86</v>
      </c>
      <c r="F1235">
        <v>670.52</v>
      </c>
    </row>
    <row r="1236" spans="1:6" x14ac:dyDescent="0.25">
      <c r="A1236" s="1">
        <v>45975</v>
      </c>
      <c r="B1236">
        <v>671.93</v>
      </c>
      <c r="C1236">
        <v>96846670</v>
      </c>
      <c r="D1236">
        <v>665.38</v>
      </c>
      <c r="E1236">
        <v>675.66</v>
      </c>
      <c r="F1236">
        <v>663.26499999999999</v>
      </c>
    </row>
    <row r="1237" spans="1:6" x14ac:dyDescent="0.25">
      <c r="A1237" s="1">
        <v>45978</v>
      </c>
      <c r="B1237">
        <v>665.67</v>
      </c>
      <c r="C1237">
        <v>90456110</v>
      </c>
      <c r="D1237">
        <v>669.7</v>
      </c>
      <c r="E1237">
        <v>673.71</v>
      </c>
      <c r="F1237">
        <v>662.17</v>
      </c>
    </row>
    <row r="1238" spans="1:6" x14ac:dyDescent="0.25">
      <c r="A1238" s="1">
        <v>45979</v>
      </c>
      <c r="B1238">
        <v>660.08</v>
      </c>
      <c r="C1238">
        <v>114467500</v>
      </c>
      <c r="D1238">
        <v>662.09500000000003</v>
      </c>
      <c r="E1238">
        <v>665.12</v>
      </c>
      <c r="F1238">
        <v>655.86</v>
      </c>
    </row>
    <row r="1239" spans="1:6" x14ac:dyDescent="0.25">
      <c r="A1239" s="1">
        <v>45980</v>
      </c>
      <c r="B1239">
        <v>662.63</v>
      </c>
      <c r="C1239">
        <v>94702960</v>
      </c>
      <c r="D1239">
        <v>660.78</v>
      </c>
      <c r="E1239">
        <v>667.34</v>
      </c>
      <c r="F1239">
        <v>658.745</v>
      </c>
    </row>
    <row r="1240" spans="1:6" x14ac:dyDescent="0.25">
      <c r="A1240" s="1">
        <v>45981</v>
      </c>
      <c r="B1240">
        <v>652.53</v>
      </c>
      <c r="C1240">
        <v>165293500</v>
      </c>
      <c r="D1240">
        <v>672.91</v>
      </c>
      <c r="E1240">
        <v>675.56</v>
      </c>
      <c r="F1240">
        <v>651.89</v>
      </c>
    </row>
    <row r="1241" spans="1:6" x14ac:dyDescent="0.25">
      <c r="A1241" s="1">
        <v>45982</v>
      </c>
      <c r="B1241">
        <v>659.03</v>
      </c>
      <c r="C1241">
        <v>123956200</v>
      </c>
      <c r="D1241">
        <v>655.04999999999995</v>
      </c>
      <c r="E1241">
        <v>664.55</v>
      </c>
      <c r="F1241">
        <v>650.85</v>
      </c>
    </row>
    <row r="1242" spans="1:6" x14ac:dyDescent="0.25">
      <c r="A1242" s="1">
        <v>45985</v>
      </c>
      <c r="B1242">
        <v>668.73</v>
      </c>
      <c r="C1242">
        <v>80437940</v>
      </c>
      <c r="D1242">
        <v>662.69</v>
      </c>
      <c r="E1242">
        <v>670.06</v>
      </c>
      <c r="F1242">
        <v>661.59</v>
      </c>
    </row>
    <row r="1243" spans="1:6" x14ac:dyDescent="0.25">
      <c r="A1243" s="1">
        <v>45986</v>
      </c>
      <c r="B1243">
        <v>675.02</v>
      </c>
      <c r="C1243">
        <v>81077090</v>
      </c>
      <c r="D1243">
        <v>668.63</v>
      </c>
      <c r="E1243">
        <v>676.21</v>
      </c>
      <c r="F1243">
        <v>664.48</v>
      </c>
    </row>
    <row r="1244" spans="1:6" x14ac:dyDescent="0.25">
      <c r="A1244" s="1">
        <v>45987</v>
      </c>
      <c r="B1244">
        <v>679.68</v>
      </c>
      <c r="C1244">
        <v>71879600</v>
      </c>
      <c r="D1244">
        <v>677.63</v>
      </c>
      <c r="E1244">
        <v>681.7</v>
      </c>
      <c r="F1244">
        <v>676.72</v>
      </c>
    </row>
    <row r="1245" spans="1:6" x14ac:dyDescent="0.25">
      <c r="A1245" s="1">
        <v>45989</v>
      </c>
      <c r="B1245">
        <v>683.39</v>
      </c>
      <c r="C1245">
        <v>49212030</v>
      </c>
      <c r="D1245">
        <v>680.86</v>
      </c>
      <c r="E1245">
        <v>683.66499999999996</v>
      </c>
      <c r="F1245">
        <v>680.5</v>
      </c>
    </row>
    <row r="1246" spans="1:6" x14ac:dyDescent="0.25">
      <c r="A1246" s="1">
        <v>45992</v>
      </c>
      <c r="B1246">
        <v>680.27</v>
      </c>
      <c r="C1246">
        <v>61201190</v>
      </c>
      <c r="D1246">
        <v>678.81</v>
      </c>
      <c r="E1246">
        <v>682.99</v>
      </c>
      <c r="F1246">
        <v>678.74</v>
      </c>
    </row>
    <row r="1247" spans="1:6" x14ac:dyDescent="0.25">
      <c r="A1247" s="1">
        <v>45993</v>
      </c>
      <c r="B1247">
        <v>681.53</v>
      </c>
      <c r="C1247">
        <v>62953840</v>
      </c>
      <c r="D1247">
        <v>681.92</v>
      </c>
      <c r="E1247">
        <v>683.82</v>
      </c>
      <c r="F1247">
        <v>679.32749999999999</v>
      </c>
    </row>
    <row r="1248" spans="1:6" x14ac:dyDescent="0.25">
      <c r="A1248" s="1">
        <v>45994</v>
      </c>
      <c r="B1248">
        <v>683.89</v>
      </c>
      <c r="C1248">
        <v>57238480</v>
      </c>
      <c r="D1248">
        <v>680.57</v>
      </c>
      <c r="E1248">
        <v>684.91</v>
      </c>
      <c r="F1248">
        <v>679.69</v>
      </c>
    </row>
    <row r="1249" spans="1:6" x14ac:dyDescent="0.25">
      <c r="A1249" s="1">
        <v>45995</v>
      </c>
      <c r="B1249">
        <v>684.39</v>
      </c>
      <c r="C1249">
        <v>61970340</v>
      </c>
      <c r="D1249">
        <v>685.3</v>
      </c>
      <c r="E1249">
        <v>685.37</v>
      </c>
      <c r="F1249">
        <v>681.34</v>
      </c>
    </row>
    <row r="1250" spans="1:6" x14ac:dyDescent="0.25">
      <c r="A1250" s="1">
        <v>45996</v>
      </c>
      <c r="B1250">
        <v>685.69</v>
      </c>
      <c r="C1250">
        <v>79241050</v>
      </c>
      <c r="D1250">
        <v>685.47</v>
      </c>
      <c r="E1250">
        <v>688.39</v>
      </c>
      <c r="F1250">
        <v>684.58</v>
      </c>
    </row>
    <row r="1251" spans="1:6" x14ac:dyDescent="0.25">
      <c r="A1251" s="1">
        <v>45999</v>
      </c>
      <c r="B1251">
        <v>683.63</v>
      </c>
      <c r="C1251">
        <v>55231460</v>
      </c>
      <c r="D1251">
        <v>686.59</v>
      </c>
      <c r="E1251">
        <v>686.64</v>
      </c>
      <c r="F1251">
        <v>681.57</v>
      </c>
    </row>
    <row r="1252" spans="1:6" x14ac:dyDescent="0.25">
      <c r="A1252" s="1">
        <v>46000</v>
      </c>
      <c r="B1252">
        <v>683.04</v>
      </c>
      <c r="C1252">
        <v>58310060</v>
      </c>
      <c r="D1252">
        <v>683.15</v>
      </c>
      <c r="E1252">
        <v>685.38499999999999</v>
      </c>
      <c r="F1252">
        <v>682.59</v>
      </c>
    </row>
    <row r="1253" spans="1:6" x14ac:dyDescent="0.25">
      <c r="A1253" s="1">
        <v>46001</v>
      </c>
      <c r="B1253">
        <v>687.57</v>
      </c>
      <c r="C1253">
        <v>85671330</v>
      </c>
      <c r="D1253">
        <v>682.56</v>
      </c>
      <c r="E1253">
        <v>688.97</v>
      </c>
      <c r="F1253">
        <v>681.31</v>
      </c>
    </row>
    <row r="1254" spans="1:6" x14ac:dyDescent="0.25">
      <c r="A1254" s="1">
        <v>46002</v>
      </c>
      <c r="B1254">
        <v>689.17</v>
      </c>
      <c r="C1254">
        <v>86173680</v>
      </c>
      <c r="D1254">
        <v>685.14</v>
      </c>
      <c r="E1254">
        <v>689.25</v>
      </c>
      <c r="F1254">
        <v>682.16499999999996</v>
      </c>
    </row>
    <row r="1255" spans="1:6" x14ac:dyDescent="0.25">
      <c r="A1255" s="1">
        <v>46003</v>
      </c>
      <c r="B1255">
        <v>681.76</v>
      </c>
      <c r="C1255">
        <v>113160300</v>
      </c>
      <c r="D1255">
        <v>688.17</v>
      </c>
      <c r="E1255">
        <v>688.88</v>
      </c>
      <c r="F1255">
        <v>679.17439999999999</v>
      </c>
    </row>
    <row r="1256" spans="1:6" x14ac:dyDescent="0.25">
      <c r="A1256" s="1">
        <v>46006</v>
      </c>
      <c r="B1256">
        <v>680.73</v>
      </c>
      <c r="C1256">
        <v>90810950</v>
      </c>
      <c r="D1256">
        <v>685.74</v>
      </c>
      <c r="E1256">
        <v>685.76</v>
      </c>
      <c r="F1256">
        <v>679.25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C28CE8-F48A-4446-81B3-685820528089}">
  <dimension ref="A1:F1256"/>
  <sheetViews>
    <sheetView topLeftCell="A1203" workbookViewId="0">
      <selection activeCell="K1246" sqref="K1246"/>
    </sheetView>
  </sheetViews>
  <sheetFormatPr defaultRowHeight="15" x14ac:dyDescent="0.25"/>
  <cols>
    <col min="1" max="1" width="10.42578125" bestFit="1" customWidth="1"/>
    <col min="2" max="2" width="13" bestFit="1" customWidth="1"/>
    <col min="3" max="3" width="10.140625" bestFit="1" customWidth="1"/>
    <col min="4" max="4" width="8.140625" bestFit="1" customWidth="1"/>
    <col min="5" max="6" width="8" bestFit="1" customWidth="1"/>
  </cols>
  <sheetData>
    <row r="1" spans="1:6" x14ac:dyDescent="0.25">
      <c r="A1" t="s">
        <v>0</v>
      </c>
      <c r="B1" t="s">
        <v>5</v>
      </c>
      <c r="C1" t="s">
        <v>6</v>
      </c>
      <c r="D1" t="s">
        <v>7</v>
      </c>
      <c r="E1" t="s">
        <v>8</v>
      </c>
      <c r="F1" t="s">
        <v>9</v>
      </c>
    </row>
    <row r="2" spans="1:6" x14ac:dyDescent="0.25">
      <c r="A2" s="1">
        <v>44181</v>
      </c>
      <c r="B2">
        <v>31.204999999999998</v>
      </c>
      <c r="C2">
        <v>24312960</v>
      </c>
      <c r="D2">
        <v>31.63</v>
      </c>
      <c r="E2">
        <v>31.79</v>
      </c>
      <c r="F2">
        <v>31.164999999999999</v>
      </c>
    </row>
    <row r="3" spans="1:6" x14ac:dyDescent="0.25">
      <c r="A3" s="1">
        <v>44182</v>
      </c>
      <c r="B3">
        <v>31.414999999999999</v>
      </c>
      <c r="C3">
        <v>25390140</v>
      </c>
      <c r="D3">
        <v>31.315000000000001</v>
      </c>
      <c r="E3">
        <v>31.642499999999998</v>
      </c>
      <c r="F3">
        <v>31.31</v>
      </c>
    </row>
    <row r="4" spans="1:6" x14ac:dyDescent="0.25">
      <c r="A4" s="1">
        <v>44183</v>
      </c>
      <c r="B4">
        <v>31.145</v>
      </c>
      <c r="C4">
        <v>20877400</v>
      </c>
      <c r="D4">
        <v>31.42</v>
      </c>
      <c r="E4">
        <v>31.532499999999999</v>
      </c>
      <c r="F4">
        <v>30.995000000000001</v>
      </c>
    </row>
    <row r="5" spans="1:6" x14ac:dyDescent="0.25">
      <c r="A5" s="1">
        <v>44186</v>
      </c>
      <c r="B5">
        <v>30.51</v>
      </c>
      <c r="C5">
        <v>27915420</v>
      </c>
      <c r="D5">
        <v>30.64</v>
      </c>
      <c r="E5">
        <v>30.64</v>
      </c>
      <c r="F5">
        <v>30.16</v>
      </c>
    </row>
    <row r="6" spans="1:6" x14ac:dyDescent="0.25">
      <c r="A6" s="1">
        <v>44187</v>
      </c>
      <c r="B6">
        <v>30.45</v>
      </c>
      <c r="C6">
        <v>24177180</v>
      </c>
      <c r="D6">
        <v>30.5</v>
      </c>
      <c r="E6">
        <v>30.577500000000001</v>
      </c>
      <c r="F6">
        <v>30.36</v>
      </c>
    </row>
    <row r="7" spans="1:6" x14ac:dyDescent="0.25">
      <c r="A7" s="1">
        <v>44188</v>
      </c>
      <c r="B7">
        <v>30.39</v>
      </c>
      <c r="C7">
        <v>11543430</v>
      </c>
      <c r="D7">
        <v>30.594999999999999</v>
      </c>
      <c r="E7">
        <v>30.835000000000001</v>
      </c>
      <c r="F7">
        <v>30.385000000000002</v>
      </c>
    </row>
    <row r="8" spans="1:6" x14ac:dyDescent="0.25">
      <c r="A8" s="1">
        <v>44189</v>
      </c>
      <c r="B8">
        <v>30.605</v>
      </c>
      <c r="C8">
        <v>7272386</v>
      </c>
      <c r="D8">
        <v>30.454999999999998</v>
      </c>
      <c r="E8">
        <v>30.62</v>
      </c>
      <c r="F8">
        <v>30.29</v>
      </c>
    </row>
    <row r="9" spans="1:6" x14ac:dyDescent="0.25">
      <c r="A9" s="1">
        <v>44193</v>
      </c>
      <c r="B9">
        <v>30.74</v>
      </c>
      <c r="C9">
        <v>11739036</v>
      </c>
      <c r="D9">
        <v>30.765000000000001</v>
      </c>
      <c r="E9">
        <v>30.9375</v>
      </c>
      <c r="F9">
        <v>30.625</v>
      </c>
    </row>
    <row r="10" spans="1:6" x14ac:dyDescent="0.25">
      <c r="A10" s="1">
        <v>44194</v>
      </c>
      <c r="B10">
        <v>30.734999999999999</v>
      </c>
      <c r="C10">
        <v>15164958</v>
      </c>
      <c r="D10">
        <v>30.815000000000001</v>
      </c>
      <c r="E10">
        <v>30.96</v>
      </c>
      <c r="F10">
        <v>30.647500000000001</v>
      </c>
    </row>
    <row r="11" spans="1:6" x14ac:dyDescent="0.25">
      <c r="A11" s="1">
        <v>44195</v>
      </c>
      <c r="B11">
        <v>30.89</v>
      </c>
      <c r="C11">
        <v>11847100</v>
      </c>
      <c r="D11">
        <v>30.754999999999999</v>
      </c>
      <c r="E11">
        <v>30.99</v>
      </c>
      <c r="F11">
        <v>30.704999999999998</v>
      </c>
    </row>
    <row r="12" spans="1:6" x14ac:dyDescent="0.25">
      <c r="A12" s="1">
        <v>44196</v>
      </c>
      <c r="B12">
        <v>31.35</v>
      </c>
      <c r="C12">
        <v>18183954</v>
      </c>
      <c r="D12">
        <v>30.895</v>
      </c>
      <c r="E12">
        <v>31.395</v>
      </c>
      <c r="F12">
        <v>30.8125</v>
      </c>
    </row>
    <row r="13" spans="1:6" x14ac:dyDescent="0.25">
      <c r="A13" s="1">
        <v>44200</v>
      </c>
      <c r="B13">
        <v>30.56</v>
      </c>
      <c r="C13">
        <v>25260780</v>
      </c>
      <c r="D13">
        <v>31.405000000000001</v>
      </c>
      <c r="E13">
        <v>31.405000000000001</v>
      </c>
      <c r="F13">
        <v>30.385000000000002</v>
      </c>
    </row>
    <row r="14" spans="1:6" x14ac:dyDescent="0.25">
      <c r="A14" s="1">
        <v>44201</v>
      </c>
      <c r="B14">
        <v>30.555</v>
      </c>
      <c r="C14">
        <v>16666574</v>
      </c>
      <c r="D14">
        <v>30.625</v>
      </c>
      <c r="E14">
        <v>30.715</v>
      </c>
      <c r="F14">
        <v>30.303699999999999</v>
      </c>
    </row>
    <row r="15" spans="1:6" x14ac:dyDescent="0.25">
      <c r="A15" s="1">
        <v>44202</v>
      </c>
      <c r="B15">
        <v>31.315000000000001</v>
      </c>
      <c r="C15">
        <v>35961900</v>
      </c>
      <c r="D15">
        <v>30.73</v>
      </c>
      <c r="E15">
        <v>31.52</v>
      </c>
      <c r="F15">
        <v>30.66</v>
      </c>
    </row>
    <row r="16" spans="1:6" x14ac:dyDescent="0.25">
      <c r="A16" s="1">
        <v>44203</v>
      </c>
      <c r="B16">
        <v>30.905000000000001</v>
      </c>
      <c r="C16">
        <v>24758820</v>
      </c>
      <c r="D16">
        <v>31.484999999999999</v>
      </c>
      <c r="E16">
        <v>31.545000000000002</v>
      </c>
      <c r="F16">
        <v>30.875</v>
      </c>
    </row>
    <row r="17" spans="1:6" x14ac:dyDescent="0.25">
      <c r="A17" s="1">
        <v>44204</v>
      </c>
      <c r="B17">
        <v>31.164999999999999</v>
      </c>
      <c r="C17">
        <v>26930900</v>
      </c>
      <c r="D17">
        <v>30.945</v>
      </c>
      <c r="E17">
        <v>31.227499999999999</v>
      </c>
      <c r="F17">
        <v>30.887499999999999</v>
      </c>
    </row>
    <row r="18" spans="1:6" x14ac:dyDescent="0.25">
      <c r="A18" s="1">
        <v>44207</v>
      </c>
      <c r="B18">
        <v>30.875</v>
      </c>
      <c r="C18">
        <v>16658400</v>
      </c>
      <c r="D18">
        <v>31.05</v>
      </c>
      <c r="E18">
        <v>31.175000000000001</v>
      </c>
      <c r="F18">
        <v>30.645</v>
      </c>
    </row>
    <row r="19" spans="1:6" x14ac:dyDescent="0.25">
      <c r="A19" s="1">
        <v>44208</v>
      </c>
      <c r="B19">
        <v>30.71</v>
      </c>
      <c r="C19">
        <v>24619060</v>
      </c>
      <c r="D19">
        <v>30.824999999999999</v>
      </c>
      <c r="E19">
        <v>30.93</v>
      </c>
      <c r="F19">
        <v>30.34</v>
      </c>
    </row>
    <row r="20" spans="1:6" x14ac:dyDescent="0.25">
      <c r="A20" s="1">
        <v>44209</v>
      </c>
      <c r="B20">
        <v>31.31</v>
      </c>
      <c r="C20">
        <v>26687480</v>
      </c>
      <c r="D20">
        <v>30.805</v>
      </c>
      <c r="E20">
        <v>31.41</v>
      </c>
      <c r="F20">
        <v>30.75</v>
      </c>
    </row>
    <row r="21" spans="1:6" x14ac:dyDescent="0.25">
      <c r="A21" s="1">
        <v>44210</v>
      </c>
      <c r="B21">
        <v>31.19</v>
      </c>
      <c r="C21">
        <v>26066960</v>
      </c>
      <c r="D21">
        <v>31.32</v>
      </c>
      <c r="E21">
        <v>31.344999999999999</v>
      </c>
      <c r="F21">
        <v>31.0075</v>
      </c>
    </row>
    <row r="22" spans="1:6" x14ac:dyDescent="0.25">
      <c r="A22" s="1">
        <v>44211</v>
      </c>
      <c r="B22">
        <v>31.495000000000001</v>
      </c>
      <c r="C22">
        <v>27564880</v>
      </c>
      <c r="D22">
        <v>31.125</v>
      </c>
      <c r="E22">
        <v>31.59</v>
      </c>
      <c r="F22">
        <v>31.0075</v>
      </c>
    </row>
    <row r="23" spans="1:6" x14ac:dyDescent="0.25">
      <c r="A23" s="1">
        <v>44215</v>
      </c>
      <c r="B23">
        <v>31.375</v>
      </c>
      <c r="C23">
        <v>18993342</v>
      </c>
      <c r="D23">
        <v>31.664999999999999</v>
      </c>
      <c r="E23">
        <v>31.6966</v>
      </c>
      <c r="F23">
        <v>31.327500000000001</v>
      </c>
    </row>
    <row r="24" spans="1:6" x14ac:dyDescent="0.25">
      <c r="A24" s="1">
        <v>44216</v>
      </c>
      <c r="B24">
        <v>31.56</v>
      </c>
      <c r="C24">
        <v>44796200</v>
      </c>
      <c r="D24">
        <v>31.364999999999998</v>
      </c>
      <c r="E24">
        <v>31.6995</v>
      </c>
      <c r="F24">
        <v>31.18</v>
      </c>
    </row>
    <row r="25" spans="1:6" x14ac:dyDescent="0.25">
      <c r="A25" s="1">
        <v>44217</v>
      </c>
      <c r="B25">
        <v>31.375</v>
      </c>
      <c r="C25">
        <v>13975936</v>
      </c>
      <c r="D25">
        <v>31.484999999999999</v>
      </c>
      <c r="E25">
        <v>31.55</v>
      </c>
      <c r="F25">
        <v>31.32</v>
      </c>
    </row>
    <row r="26" spans="1:6" x14ac:dyDescent="0.25">
      <c r="A26" s="1">
        <v>44218</v>
      </c>
      <c r="B26">
        <v>31.42</v>
      </c>
      <c r="C26">
        <v>18760150</v>
      </c>
      <c r="D26">
        <v>31.285</v>
      </c>
      <c r="E26">
        <v>31.524999999999999</v>
      </c>
      <c r="F26">
        <v>31.164999999999999</v>
      </c>
    </row>
    <row r="27" spans="1:6" x14ac:dyDescent="0.25">
      <c r="A27" s="1">
        <v>44221</v>
      </c>
      <c r="B27">
        <v>32.049999999999997</v>
      </c>
      <c r="C27">
        <v>37848500</v>
      </c>
      <c r="D27">
        <v>31.31</v>
      </c>
      <c r="E27">
        <v>32.094999999999999</v>
      </c>
      <c r="F27">
        <v>31.274999999999999</v>
      </c>
    </row>
    <row r="28" spans="1:6" x14ac:dyDescent="0.25">
      <c r="A28" s="1">
        <v>44222</v>
      </c>
      <c r="B28">
        <v>31.73</v>
      </c>
      <c r="C28">
        <v>19473508</v>
      </c>
      <c r="D28">
        <v>32.005000000000003</v>
      </c>
      <c r="E28">
        <v>32.04</v>
      </c>
      <c r="F28">
        <v>31.6</v>
      </c>
    </row>
    <row r="29" spans="1:6" x14ac:dyDescent="0.25">
      <c r="A29" s="1">
        <v>44223</v>
      </c>
      <c r="B29">
        <v>30.875</v>
      </c>
      <c r="C29">
        <v>39287360</v>
      </c>
      <c r="D29">
        <v>31.475000000000001</v>
      </c>
      <c r="E29">
        <v>31.7075</v>
      </c>
      <c r="F29">
        <v>30.734999999999999</v>
      </c>
    </row>
    <row r="30" spans="1:6" x14ac:dyDescent="0.25">
      <c r="A30" s="1">
        <v>44224</v>
      </c>
      <c r="B30">
        <v>31.245000000000001</v>
      </c>
      <c r="C30">
        <v>25465720</v>
      </c>
      <c r="D30">
        <v>30.98</v>
      </c>
      <c r="E30">
        <v>31.72</v>
      </c>
      <c r="F30">
        <v>30.9</v>
      </c>
    </row>
    <row r="31" spans="1:6" x14ac:dyDescent="0.25">
      <c r="A31" s="1">
        <v>44225</v>
      </c>
      <c r="B31">
        <v>31.074999999999999</v>
      </c>
      <c r="C31">
        <v>27760680</v>
      </c>
      <c r="D31">
        <v>31.085000000000001</v>
      </c>
      <c r="E31">
        <v>31.39</v>
      </c>
      <c r="F31">
        <v>30.88</v>
      </c>
    </row>
    <row r="32" spans="1:6" x14ac:dyDescent="0.25">
      <c r="A32" s="1">
        <v>44228</v>
      </c>
      <c r="B32">
        <v>31.225000000000001</v>
      </c>
      <c r="C32">
        <v>16109344</v>
      </c>
      <c r="D32">
        <v>31.274999999999999</v>
      </c>
      <c r="E32">
        <v>31.504999999999999</v>
      </c>
      <c r="F32">
        <v>30.965</v>
      </c>
    </row>
    <row r="33" spans="1:6" x14ac:dyDescent="0.25">
      <c r="A33" s="1">
        <v>44229</v>
      </c>
      <c r="B33">
        <v>31.48</v>
      </c>
      <c r="C33">
        <v>28698540</v>
      </c>
      <c r="D33">
        <v>31.33</v>
      </c>
      <c r="E33">
        <v>31.962499999999999</v>
      </c>
      <c r="F33">
        <v>31.2</v>
      </c>
    </row>
    <row r="34" spans="1:6" x14ac:dyDescent="0.25">
      <c r="A34" s="1">
        <v>44230</v>
      </c>
      <c r="B34">
        <v>31.38</v>
      </c>
      <c r="C34">
        <v>16266752</v>
      </c>
      <c r="D34">
        <v>31.445</v>
      </c>
      <c r="E34">
        <v>31.587499999999999</v>
      </c>
      <c r="F34">
        <v>31.31</v>
      </c>
    </row>
    <row r="35" spans="1:6" x14ac:dyDescent="0.25">
      <c r="A35" s="1">
        <v>44231</v>
      </c>
      <c r="B35">
        <v>31.625</v>
      </c>
      <c r="C35">
        <v>22702120</v>
      </c>
      <c r="D35">
        <v>31.364999999999998</v>
      </c>
      <c r="E35">
        <v>31.67</v>
      </c>
      <c r="F35">
        <v>31.274999999999999</v>
      </c>
    </row>
    <row r="36" spans="1:6" x14ac:dyDescent="0.25">
      <c r="A36" s="1">
        <v>44232</v>
      </c>
      <c r="B36">
        <v>31.795000000000002</v>
      </c>
      <c r="C36">
        <v>11919920</v>
      </c>
      <c r="D36">
        <v>31.765000000000001</v>
      </c>
      <c r="E36">
        <v>31.97</v>
      </c>
      <c r="F36">
        <v>31.635000000000002</v>
      </c>
    </row>
    <row r="37" spans="1:6" x14ac:dyDescent="0.25">
      <c r="A37" s="1">
        <v>44235</v>
      </c>
      <c r="B37">
        <v>31.55</v>
      </c>
      <c r="C37">
        <v>21531460</v>
      </c>
      <c r="D37">
        <v>31.864999999999998</v>
      </c>
      <c r="E37">
        <v>31.875</v>
      </c>
      <c r="F37">
        <v>31.43</v>
      </c>
    </row>
    <row r="38" spans="1:6" x14ac:dyDescent="0.25">
      <c r="A38" s="1">
        <v>44236</v>
      </c>
      <c r="B38">
        <v>31.594999999999999</v>
      </c>
      <c r="C38">
        <v>12387448</v>
      </c>
      <c r="D38">
        <v>31.605</v>
      </c>
      <c r="E38">
        <v>31.71</v>
      </c>
      <c r="F38">
        <v>31.335000000000001</v>
      </c>
    </row>
    <row r="39" spans="1:6" x14ac:dyDescent="0.25">
      <c r="A39" s="1">
        <v>44237</v>
      </c>
      <c r="B39">
        <v>31.72</v>
      </c>
      <c r="C39">
        <v>19621304</v>
      </c>
      <c r="D39">
        <v>31.78</v>
      </c>
      <c r="E39">
        <v>31.85</v>
      </c>
      <c r="F39">
        <v>31.504999999999999</v>
      </c>
    </row>
    <row r="40" spans="1:6" x14ac:dyDescent="0.25">
      <c r="A40" s="1">
        <v>44238</v>
      </c>
      <c r="B40">
        <v>31.54</v>
      </c>
      <c r="C40">
        <v>17422586</v>
      </c>
      <c r="D40">
        <v>31.704999999999998</v>
      </c>
      <c r="E40">
        <v>31.81</v>
      </c>
      <c r="F40">
        <v>31.491800000000001</v>
      </c>
    </row>
    <row r="41" spans="1:6" x14ac:dyDescent="0.25">
      <c r="A41" s="1">
        <v>44239</v>
      </c>
      <c r="B41">
        <v>31.31</v>
      </c>
      <c r="C41">
        <v>20215980</v>
      </c>
      <c r="D41">
        <v>31.445</v>
      </c>
      <c r="E41">
        <v>31.59</v>
      </c>
      <c r="F41">
        <v>31.145</v>
      </c>
    </row>
    <row r="42" spans="1:6" x14ac:dyDescent="0.25">
      <c r="A42" s="1">
        <v>44243</v>
      </c>
      <c r="B42">
        <v>30.96</v>
      </c>
      <c r="C42">
        <v>31723300</v>
      </c>
      <c r="D42">
        <v>31.274999999999999</v>
      </c>
      <c r="E42">
        <v>31.315000000000001</v>
      </c>
      <c r="F42">
        <v>30.912500000000001</v>
      </c>
    </row>
    <row r="43" spans="1:6" x14ac:dyDescent="0.25">
      <c r="A43" s="1">
        <v>44244</v>
      </c>
      <c r="B43">
        <v>30.984999999999999</v>
      </c>
      <c r="C43">
        <v>20377600</v>
      </c>
      <c r="D43">
        <v>30.995000000000001</v>
      </c>
      <c r="E43">
        <v>31.04</v>
      </c>
      <c r="F43">
        <v>30.774999999999999</v>
      </c>
    </row>
    <row r="44" spans="1:6" x14ac:dyDescent="0.25">
      <c r="A44" s="1">
        <v>44245</v>
      </c>
      <c r="B44">
        <v>31.17</v>
      </c>
      <c r="C44">
        <v>15420108</v>
      </c>
      <c r="D44">
        <v>30.934999999999999</v>
      </c>
      <c r="E44">
        <v>31.305</v>
      </c>
      <c r="F44">
        <v>30.934999999999999</v>
      </c>
    </row>
    <row r="45" spans="1:6" x14ac:dyDescent="0.25">
      <c r="A45" s="1">
        <v>44246</v>
      </c>
      <c r="B45">
        <v>30.704999999999998</v>
      </c>
      <c r="C45">
        <v>17935472</v>
      </c>
      <c r="D45">
        <v>31.175000000000001</v>
      </c>
      <c r="E45">
        <v>31.19</v>
      </c>
      <c r="F45">
        <v>30.68</v>
      </c>
    </row>
    <row r="46" spans="1:6" x14ac:dyDescent="0.25">
      <c r="A46" s="1">
        <v>44249</v>
      </c>
      <c r="B46">
        <v>30.105</v>
      </c>
      <c r="C46">
        <v>35602740</v>
      </c>
      <c r="D46">
        <v>30.62</v>
      </c>
      <c r="E46">
        <v>30.655000000000001</v>
      </c>
      <c r="F46">
        <v>29.82</v>
      </c>
    </row>
    <row r="47" spans="1:6" x14ac:dyDescent="0.25">
      <c r="A47" s="1">
        <v>44250</v>
      </c>
      <c r="B47">
        <v>30.355</v>
      </c>
      <c r="C47">
        <v>26213300</v>
      </c>
      <c r="D47">
        <v>30.225000000000001</v>
      </c>
      <c r="E47">
        <v>30.46</v>
      </c>
      <c r="F47">
        <v>30.07</v>
      </c>
    </row>
    <row r="48" spans="1:6" x14ac:dyDescent="0.25">
      <c r="A48" s="1">
        <v>44251</v>
      </c>
      <c r="B48">
        <v>30</v>
      </c>
      <c r="C48">
        <v>23673520</v>
      </c>
      <c r="D48">
        <v>30.28</v>
      </c>
      <c r="E48">
        <v>30.334</v>
      </c>
      <c r="F48">
        <v>29.97</v>
      </c>
    </row>
    <row r="49" spans="1:6" x14ac:dyDescent="0.25">
      <c r="A49" s="1">
        <v>44252</v>
      </c>
      <c r="B49">
        <v>29.73</v>
      </c>
      <c r="C49">
        <v>31360380</v>
      </c>
      <c r="D49">
        <v>29.94</v>
      </c>
      <c r="E49">
        <v>30.085000000000001</v>
      </c>
      <c r="F49">
        <v>29.585000000000001</v>
      </c>
    </row>
    <row r="50" spans="1:6" x14ac:dyDescent="0.25">
      <c r="A50" s="1">
        <v>44253</v>
      </c>
      <c r="B50">
        <v>29.18</v>
      </c>
      <c r="C50">
        <v>38014800</v>
      </c>
      <c r="D50">
        <v>29.83</v>
      </c>
      <c r="E50">
        <v>30.015000000000001</v>
      </c>
      <c r="F50">
        <v>29.17</v>
      </c>
    </row>
    <row r="51" spans="1:6" x14ac:dyDescent="0.25">
      <c r="A51" s="1">
        <v>44256</v>
      </c>
      <c r="B51">
        <v>29.824999999999999</v>
      </c>
      <c r="C51">
        <v>31430000</v>
      </c>
      <c r="D51">
        <v>29.55</v>
      </c>
      <c r="E51">
        <v>30.157499999999999</v>
      </c>
      <c r="F51">
        <v>29.545000000000002</v>
      </c>
    </row>
    <row r="52" spans="1:6" x14ac:dyDescent="0.25">
      <c r="A52" s="1">
        <v>44257</v>
      </c>
      <c r="B52">
        <v>29.734999999999999</v>
      </c>
      <c r="C52">
        <v>29306720</v>
      </c>
      <c r="D52">
        <v>29.87</v>
      </c>
      <c r="E52">
        <v>29.947500000000002</v>
      </c>
      <c r="F52">
        <v>29.567499999999999</v>
      </c>
    </row>
    <row r="53" spans="1:6" x14ac:dyDescent="0.25">
      <c r="A53" s="1">
        <v>44258</v>
      </c>
      <c r="B53">
        <v>29.385000000000002</v>
      </c>
      <c r="C53">
        <v>45849800</v>
      </c>
      <c r="D53">
        <v>29.69</v>
      </c>
      <c r="E53">
        <v>29.69</v>
      </c>
      <c r="F53">
        <v>29.135000000000002</v>
      </c>
    </row>
    <row r="54" spans="1:6" x14ac:dyDescent="0.25">
      <c r="A54" s="1">
        <v>44259</v>
      </c>
      <c r="B54">
        <v>29.36</v>
      </c>
      <c r="C54">
        <v>44172620</v>
      </c>
      <c r="D54">
        <v>29.405000000000001</v>
      </c>
      <c r="E54">
        <v>29.907499999999999</v>
      </c>
      <c r="F54">
        <v>29.2</v>
      </c>
    </row>
    <row r="55" spans="1:6" x14ac:dyDescent="0.25">
      <c r="A55" s="1">
        <v>44260</v>
      </c>
      <c r="B55">
        <v>29.84</v>
      </c>
      <c r="C55">
        <v>33606680</v>
      </c>
      <c r="D55">
        <v>29.484999999999999</v>
      </c>
      <c r="E55">
        <v>29.98</v>
      </c>
      <c r="F55">
        <v>29.225000000000001</v>
      </c>
    </row>
    <row r="56" spans="1:6" x14ac:dyDescent="0.25">
      <c r="A56" s="1">
        <v>44263</v>
      </c>
      <c r="B56">
        <v>30.26</v>
      </c>
      <c r="C56">
        <v>38424220</v>
      </c>
      <c r="D56">
        <v>29.925000000000001</v>
      </c>
      <c r="E56">
        <v>30.522500000000001</v>
      </c>
      <c r="F56">
        <v>29.844999999999999</v>
      </c>
    </row>
    <row r="57" spans="1:6" x14ac:dyDescent="0.25">
      <c r="A57" s="1">
        <v>44264</v>
      </c>
      <c r="B57">
        <v>30.66</v>
      </c>
      <c r="C57">
        <v>22224760</v>
      </c>
      <c r="D57">
        <v>30.425000000000001</v>
      </c>
      <c r="E57">
        <v>30.76</v>
      </c>
      <c r="F57">
        <v>30.3825</v>
      </c>
    </row>
    <row r="58" spans="1:6" x14ac:dyDescent="0.25">
      <c r="A58" s="1">
        <v>44265</v>
      </c>
      <c r="B58">
        <v>30.87</v>
      </c>
      <c r="C58">
        <v>27421440</v>
      </c>
      <c r="D58">
        <v>30.65</v>
      </c>
      <c r="E58">
        <v>30.965</v>
      </c>
      <c r="F58">
        <v>30.565000000000001</v>
      </c>
    </row>
    <row r="59" spans="1:6" x14ac:dyDescent="0.25">
      <c r="A59" s="1">
        <v>44266</v>
      </c>
      <c r="B59">
        <v>30.79</v>
      </c>
      <c r="C59">
        <v>17168866</v>
      </c>
      <c r="D59">
        <v>30.815000000000001</v>
      </c>
      <c r="E59">
        <v>31.177499999999998</v>
      </c>
      <c r="F59">
        <v>30.774999999999999</v>
      </c>
    </row>
    <row r="60" spans="1:6" x14ac:dyDescent="0.25">
      <c r="A60" s="1">
        <v>44267</v>
      </c>
      <c r="B60">
        <v>31.204999999999998</v>
      </c>
      <c r="C60">
        <v>20043820</v>
      </c>
      <c r="D60">
        <v>30.925000000000001</v>
      </c>
      <c r="E60">
        <v>31.3</v>
      </c>
      <c r="F60">
        <v>30.78</v>
      </c>
    </row>
    <row r="61" spans="1:6" x14ac:dyDescent="0.25">
      <c r="A61" s="1">
        <v>44270</v>
      </c>
      <c r="B61">
        <v>31.605</v>
      </c>
      <c r="C61">
        <v>24418600</v>
      </c>
      <c r="D61">
        <v>31.25</v>
      </c>
      <c r="E61">
        <v>31.684999999999999</v>
      </c>
      <c r="F61">
        <v>31.25</v>
      </c>
    </row>
    <row r="62" spans="1:6" x14ac:dyDescent="0.25">
      <c r="A62" s="1">
        <v>44271</v>
      </c>
      <c r="B62">
        <v>31.645</v>
      </c>
      <c r="C62">
        <v>29243560</v>
      </c>
      <c r="D62">
        <v>31.53</v>
      </c>
      <c r="E62">
        <v>31.725000000000001</v>
      </c>
      <c r="F62">
        <v>31.445</v>
      </c>
    </row>
    <row r="63" spans="1:6" x14ac:dyDescent="0.25">
      <c r="A63" s="1">
        <v>44272</v>
      </c>
      <c r="B63">
        <v>31.13</v>
      </c>
      <c r="C63">
        <v>34407040</v>
      </c>
      <c r="D63">
        <v>31.62</v>
      </c>
      <c r="E63">
        <v>31.625</v>
      </c>
      <c r="F63">
        <v>31.1</v>
      </c>
    </row>
    <row r="64" spans="1:6" x14ac:dyDescent="0.25">
      <c r="A64" s="1">
        <v>44273</v>
      </c>
      <c r="B64">
        <v>31.015000000000001</v>
      </c>
      <c r="C64">
        <v>29628200</v>
      </c>
      <c r="D64">
        <v>31.1</v>
      </c>
      <c r="E64">
        <v>31.225000000000001</v>
      </c>
      <c r="F64">
        <v>30.797499999999999</v>
      </c>
    </row>
    <row r="65" spans="1:6" x14ac:dyDescent="0.25">
      <c r="A65" s="1">
        <v>44274</v>
      </c>
      <c r="B65">
        <v>31.1</v>
      </c>
      <c r="C65">
        <v>38712600</v>
      </c>
      <c r="D65">
        <v>31.024999999999999</v>
      </c>
      <c r="E65">
        <v>31.37</v>
      </c>
      <c r="F65">
        <v>30.695</v>
      </c>
    </row>
    <row r="66" spans="1:6" x14ac:dyDescent="0.25">
      <c r="A66" s="1">
        <v>44277</v>
      </c>
      <c r="B66">
        <v>30.824999999999999</v>
      </c>
      <c r="C66">
        <v>25641040</v>
      </c>
      <c r="D66">
        <v>30.8</v>
      </c>
      <c r="E66">
        <v>30.965</v>
      </c>
      <c r="F66">
        <v>30.602499999999999</v>
      </c>
    </row>
    <row r="67" spans="1:6" x14ac:dyDescent="0.25">
      <c r="A67" s="1">
        <v>44278</v>
      </c>
      <c r="B67">
        <v>31.285</v>
      </c>
      <c r="C67">
        <v>26117260</v>
      </c>
      <c r="D67">
        <v>30.815000000000001</v>
      </c>
      <c r="E67">
        <v>31.4025</v>
      </c>
      <c r="F67">
        <v>30.75</v>
      </c>
    </row>
    <row r="68" spans="1:6" x14ac:dyDescent="0.25">
      <c r="A68" s="1">
        <v>44279</v>
      </c>
      <c r="B68">
        <v>31.295000000000002</v>
      </c>
      <c r="C68">
        <v>22058420</v>
      </c>
      <c r="D68">
        <v>31.184999999999999</v>
      </c>
      <c r="E68">
        <v>31.517499999999998</v>
      </c>
      <c r="F68">
        <v>31.074999999999999</v>
      </c>
    </row>
    <row r="69" spans="1:6" x14ac:dyDescent="0.25">
      <c r="A69" s="1">
        <v>44280</v>
      </c>
      <c r="B69">
        <v>31.63</v>
      </c>
      <c r="C69">
        <v>28309800</v>
      </c>
      <c r="D69">
        <v>31.395</v>
      </c>
      <c r="E69">
        <v>31.734999999999999</v>
      </c>
      <c r="F69">
        <v>31.254999999999999</v>
      </c>
    </row>
    <row r="70" spans="1:6" x14ac:dyDescent="0.25">
      <c r="A70" s="1">
        <v>44281</v>
      </c>
      <c r="B70">
        <v>31.734999999999999</v>
      </c>
      <c r="C70">
        <v>20770260</v>
      </c>
      <c r="D70">
        <v>31.625</v>
      </c>
      <c r="E70">
        <v>31.765000000000001</v>
      </c>
      <c r="F70">
        <v>31.317499999999999</v>
      </c>
    </row>
    <row r="71" spans="1:6" x14ac:dyDescent="0.25">
      <c r="A71" s="1">
        <v>44284</v>
      </c>
      <c r="B71">
        <v>32.075000000000003</v>
      </c>
      <c r="C71">
        <v>32775760</v>
      </c>
      <c r="D71">
        <v>31.67</v>
      </c>
      <c r="E71">
        <v>32.225000000000001</v>
      </c>
      <c r="F71">
        <v>31.6525</v>
      </c>
    </row>
    <row r="72" spans="1:6" x14ac:dyDescent="0.25">
      <c r="A72" s="1">
        <v>44285</v>
      </c>
      <c r="B72">
        <v>31.785</v>
      </c>
      <c r="C72">
        <v>22111220</v>
      </c>
      <c r="D72">
        <v>31.975000000000001</v>
      </c>
      <c r="E72">
        <v>31.975000000000001</v>
      </c>
      <c r="F72">
        <v>31.55</v>
      </c>
    </row>
    <row r="73" spans="1:6" x14ac:dyDescent="0.25">
      <c r="A73" s="1">
        <v>44286</v>
      </c>
      <c r="B73">
        <v>32.020000000000003</v>
      </c>
      <c r="C73">
        <v>22259500</v>
      </c>
      <c r="D73">
        <v>31.8</v>
      </c>
      <c r="E73">
        <v>32.08</v>
      </c>
      <c r="F73">
        <v>31.734999999999999</v>
      </c>
    </row>
    <row r="74" spans="1:6" x14ac:dyDescent="0.25">
      <c r="A74" s="1">
        <v>44287</v>
      </c>
      <c r="B74">
        <v>31.99</v>
      </c>
      <c r="C74">
        <v>21046680</v>
      </c>
      <c r="D74">
        <v>31.97</v>
      </c>
      <c r="E74">
        <v>32.045000000000002</v>
      </c>
      <c r="F74">
        <v>31.774999999999999</v>
      </c>
    </row>
    <row r="75" spans="1:6" x14ac:dyDescent="0.25">
      <c r="A75" s="1">
        <v>44291</v>
      </c>
      <c r="B75">
        <v>32.340000000000003</v>
      </c>
      <c r="C75">
        <v>29288560</v>
      </c>
      <c r="D75">
        <v>32.104999999999997</v>
      </c>
      <c r="E75">
        <v>32.545000000000002</v>
      </c>
      <c r="F75">
        <v>32.075000000000003</v>
      </c>
    </row>
    <row r="76" spans="1:6" x14ac:dyDescent="0.25">
      <c r="A76" s="1">
        <v>44292</v>
      </c>
      <c r="B76">
        <v>32.51</v>
      </c>
      <c r="C76">
        <v>17258902</v>
      </c>
      <c r="D76">
        <v>32.305</v>
      </c>
      <c r="E76">
        <v>32.515000000000001</v>
      </c>
      <c r="F76">
        <v>32.067500000000003</v>
      </c>
    </row>
    <row r="77" spans="1:6" x14ac:dyDescent="0.25">
      <c r="A77" s="1">
        <v>44293</v>
      </c>
      <c r="B77">
        <v>32.47</v>
      </c>
      <c r="C77">
        <v>15798458</v>
      </c>
      <c r="D77">
        <v>32.484999999999999</v>
      </c>
      <c r="E77">
        <v>32.642499999999998</v>
      </c>
      <c r="F77">
        <v>32.302500000000002</v>
      </c>
    </row>
    <row r="78" spans="1:6" x14ac:dyDescent="0.25">
      <c r="A78" s="1">
        <v>44294</v>
      </c>
      <c r="B78">
        <v>32.445</v>
      </c>
      <c r="C78">
        <v>19909956</v>
      </c>
      <c r="D78">
        <v>32.555</v>
      </c>
      <c r="E78">
        <v>32.655000000000001</v>
      </c>
      <c r="F78">
        <v>32.375</v>
      </c>
    </row>
    <row r="79" spans="1:6" x14ac:dyDescent="0.25">
      <c r="A79" s="1">
        <v>44295</v>
      </c>
      <c r="B79">
        <v>32.409999999999997</v>
      </c>
      <c r="C79">
        <v>15751202</v>
      </c>
      <c r="D79">
        <v>32.475000000000001</v>
      </c>
      <c r="E79">
        <v>32.612499999999997</v>
      </c>
      <c r="F79">
        <v>32.344999999999999</v>
      </c>
    </row>
    <row r="80" spans="1:6" x14ac:dyDescent="0.25">
      <c r="A80" s="1">
        <v>44298</v>
      </c>
      <c r="B80">
        <v>32.44</v>
      </c>
      <c r="C80">
        <v>14201346</v>
      </c>
      <c r="D80">
        <v>32.414999999999999</v>
      </c>
      <c r="E80">
        <v>32.67</v>
      </c>
      <c r="F80">
        <v>32.331200000000003</v>
      </c>
    </row>
    <row r="81" spans="1:6" x14ac:dyDescent="0.25">
      <c r="A81" s="1">
        <v>44299</v>
      </c>
      <c r="B81">
        <v>32.825000000000003</v>
      </c>
      <c r="C81">
        <v>18251256</v>
      </c>
      <c r="D81">
        <v>32.31</v>
      </c>
      <c r="E81">
        <v>32.8825</v>
      </c>
      <c r="F81">
        <v>32.247500000000002</v>
      </c>
    </row>
    <row r="82" spans="1:6" x14ac:dyDescent="0.25">
      <c r="A82" s="1">
        <v>44300</v>
      </c>
      <c r="B82">
        <v>32.97</v>
      </c>
      <c r="C82">
        <v>15125362</v>
      </c>
      <c r="D82">
        <v>32.744999999999997</v>
      </c>
      <c r="E82">
        <v>32.97</v>
      </c>
      <c r="F82">
        <v>32.659999999999997</v>
      </c>
    </row>
    <row r="83" spans="1:6" x14ac:dyDescent="0.25">
      <c r="A83" s="1">
        <v>44301</v>
      </c>
      <c r="B83">
        <v>33.335000000000001</v>
      </c>
      <c r="C83">
        <v>23863380</v>
      </c>
      <c r="D83">
        <v>32.975000000000001</v>
      </c>
      <c r="E83">
        <v>33.35</v>
      </c>
      <c r="F83">
        <v>32.954999999999998</v>
      </c>
    </row>
    <row r="84" spans="1:6" x14ac:dyDescent="0.25">
      <c r="A84" s="1">
        <v>44302</v>
      </c>
      <c r="B84">
        <v>33.604999999999997</v>
      </c>
      <c r="C84">
        <v>22375920</v>
      </c>
      <c r="D84">
        <v>33.46</v>
      </c>
      <c r="E84">
        <v>33.734999999999999</v>
      </c>
      <c r="F84">
        <v>33.39</v>
      </c>
    </row>
    <row r="85" spans="1:6" x14ac:dyDescent="0.25">
      <c r="A85" s="1">
        <v>44305</v>
      </c>
      <c r="B85">
        <v>33.435000000000002</v>
      </c>
      <c r="C85">
        <v>21503820</v>
      </c>
      <c r="D85">
        <v>33.625</v>
      </c>
      <c r="E85">
        <v>33.68</v>
      </c>
      <c r="F85">
        <v>33.352499999999999</v>
      </c>
    </row>
    <row r="86" spans="1:6" x14ac:dyDescent="0.25">
      <c r="A86" s="1">
        <v>44306</v>
      </c>
      <c r="B86">
        <v>33.86</v>
      </c>
      <c r="C86">
        <v>29548900</v>
      </c>
      <c r="D86">
        <v>33.435000000000002</v>
      </c>
      <c r="E86">
        <v>33.945</v>
      </c>
      <c r="F86">
        <v>33.414999999999999</v>
      </c>
    </row>
    <row r="87" spans="1:6" x14ac:dyDescent="0.25">
      <c r="A87" s="1">
        <v>44307</v>
      </c>
      <c r="B87">
        <v>33.575000000000003</v>
      </c>
      <c r="C87">
        <v>19230262</v>
      </c>
      <c r="D87">
        <v>33.895000000000003</v>
      </c>
      <c r="E87">
        <v>34.024999999999999</v>
      </c>
      <c r="F87">
        <v>33.450899999999997</v>
      </c>
    </row>
    <row r="88" spans="1:6" x14ac:dyDescent="0.25">
      <c r="A88" s="1">
        <v>44308</v>
      </c>
      <c r="B88">
        <v>33.335000000000001</v>
      </c>
      <c r="C88">
        <v>17983522</v>
      </c>
      <c r="D88">
        <v>33.549999999999997</v>
      </c>
      <c r="E88">
        <v>33.664999999999999</v>
      </c>
      <c r="F88">
        <v>33.302500000000002</v>
      </c>
    </row>
    <row r="89" spans="1:6" x14ac:dyDescent="0.25">
      <c r="A89" s="1">
        <v>44309</v>
      </c>
      <c r="B89">
        <v>33.29</v>
      </c>
      <c r="C89">
        <v>16881538</v>
      </c>
      <c r="D89">
        <v>33.35</v>
      </c>
      <c r="E89">
        <v>33.46</v>
      </c>
      <c r="F89">
        <v>33.204999999999998</v>
      </c>
    </row>
    <row r="90" spans="1:6" x14ac:dyDescent="0.25">
      <c r="A90" s="1">
        <v>44312</v>
      </c>
      <c r="B90">
        <v>33.1</v>
      </c>
      <c r="C90">
        <v>12578464</v>
      </c>
      <c r="D90">
        <v>33.305</v>
      </c>
      <c r="E90">
        <v>33.325000000000003</v>
      </c>
      <c r="F90">
        <v>33</v>
      </c>
    </row>
    <row r="91" spans="1:6" x14ac:dyDescent="0.25">
      <c r="A91" s="1">
        <v>44313</v>
      </c>
      <c r="B91">
        <v>32.844999999999999</v>
      </c>
      <c r="C91">
        <v>20942160</v>
      </c>
      <c r="D91">
        <v>33.049999999999997</v>
      </c>
      <c r="E91">
        <v>33.064999999999998</v>
      </c>
      <c r="F91">
        <v>32.79</v>
      </c>
    </row>
    <row r="92" spans="1:6" x14ac:dyDescent="0.25">
      <c r="A92" s="1">
        <v>44314</v>
      </c>
      <c r="B92">
        <v>32.799999999999997</v>
      </c>
      <c r="C92">
        <v>15158160</v>
      </c>
      <c r="D92">
        <v>32.86</v>
      </c>
      <c r="E92">
        <v>32.950000000000003</v>
      </c>
      <c r="F92">
        <v>32.645000000000003</v>
      </c>
    </row>
    <row r="93" spans="1:6" x14ac:dyDescent="0.25">
      <c r="A93" s="1">
        <v>44315</v>
      </c>
      <c r="B93">
        <v>33.1</v>
      </c>
      <c r="C93">
        <v>19223516</v>
      </c>
      <c r="D93">
        <v>32.799999999999997</v>
      </c>
      <c r="E93">
        <v>33.119999999999997</v>
      </c>
      <c r="F93">
        <v>32.799999999999997</v>
      </c>
    </row>
    <row r="94" spans="1:6" x14ac:dyDescent="0.25">
      <c r="A94" s="1">
        <v>44316</v>
      </c>
      <c r="B94">
        <v>33.36</v>
      </c>
      <c r="C94">
        <v>20484620</v>
      </c>
      <c r="D94">
        <v>33.17</v>
      </c>
      <c r="E94">
        <v>33.369999999999997</v>
      </c>
      <c r="F94">
        <v>32.972499999999997</v>
      </c>
    </row>
    <row r="95" spans="1:6" x14ac:dyDescent="0.25">
      <c r="A95" s="1">
        <v>44319</v>
      </c>
      <c r="B95">
        <v>33.354999999999997</v>
      </c>
      <c r="C95">
        <v>21544640</v>
      </c>
      <c r="D95">
        <v>33.435000000000002</v>
      </c>
      <c r="E95">
        <v>33.664999999999999</v>
      </c>
      <c r="F95">
        <v>33.299999999999997</v>
      </c>
    </row>
    <row r="96" spans="1:6" x14ac:dyDescent="0.25">
      <c r="A96" s="1">
        <v>44320</v>
      </c>
      <c r="B96">
        <v>33.229999999999997</v>
      </c>
      <c r="C96">
        <v>23445520</v>
      </c>
      <c r="D96">
        <v>33.32</v>
      </c>
      <c r="E96">
        <v>33.380000000000003</v>
      </c>
      <c r="F96">
        <v>33.0075</v>
      </c>
    </row>
    <row r="97" spans="1:6" x14ac:dyDescent="0.25">
      <c r="A97" s="1">
        <v>44321</v>
      </c>
      <c r="B97">
        <v>32.67</v>
      </c>
      <c r="C97">
        <v>14355136</v>
      </c>
      <c r="D97">
        <v>33.229999999999997</v>
      </c>
      <c r="E97">
        <v>33.229999999999997</v>
      </c>
      <c r="F97">
        <v>32.484999999999999</v>
      </c>
    </row>
    <row r="98" spans="1:6" x14ac:dyDescent="0.25">
      <c r="A98" s="1">
        <v>44322</v>
      </c>
      <c r="B98">
        <v>32.92</v>
      </c>
      <c r="C98">
        <v>23305400</v>
      </c>
      <c r="D98">
        <v>32.76</v>
      </c>
      <c r="E98">
        <v>32.950000000000003</v>
      </c>
      <c r="F98">
        <v>32.54</v>
      </c>
    </row>
    <row r="99" spans="1:6" x14ac:dyDescent="0.25">
      <c r="A99" s="1">
        <v>44323</v>
      </c>
      <c r="B99">
        <v>33.020000000000003</v>
      </c>
      <c r="C99">
        <v>18110742</v>
      </c>
      <c r="D99">
        <v>32.9</v>
      </c>
      <c r="E99">
        <v>33.270000000000003</v>
      </c>
      <c r="F99">
        <v>32.89</v>
      </c>
    </row>
    <row r="100" spans="1:6" x14ac:dyDescent="0.25">
      <c r="A100" s="1">
        <v>44326</v>
      </c>
      <c r="B100">
        <v>33.354999999999997</v>
      </c>
      <c r="C100">
        <v>26442300</v>
      </c>
      <c r="D100">
        <v>33.090000000000003</v>
      </c>
      <c r="E100">
        <v>33.6875</v>
      </c>
      <c r="F100">
        <v>33.090000000000003</v>
      </c>
    </row>
    <row r="101" spans="1:6" x14ac:dyDescent="0.25">
      <c r="A101" s="1">
        <v>44327</v>
      </c>
      <c r="B101">
        <v>32.945</v>
      </c>
      <c r="C101">
        <v>28210120</v>
      </c>
      <c r="D101">
        <v>33.32</v>
      </c>
      <c r="E101">
        <v>33.365000000000002</v>
      </c>
      <c r="F101">
        <v>32.715000000000003</v>
      </c>
    </row>
    <row r="102" spans="1:6" x14ac:dyDescent="0.25">
      <c r="A102" s="1">
        <v>44328</v>
      </c>
      <c r="B102">
        <v>32.174999999999997</v>
      </c>
      <c r="C102">
        <v>29553740</v>
      </c>
      <c r="D102">
        <v>32.909999999999997</v>
      </c>
      <c r="E102">
        <v>32.909999999999997</v>
      </c>
      <c r="F102">
        <v>32.159999999999997</v>
      </c>
    </row>
    <row r="103" spans="1:6" x14ac:dyDescent="0.25">
      <c r="A103" s="1">
        <v>44329</v>
      </c>
      <c r="B103">
        <v>32.795000000000002</v>
      </c>
      <c r="C103">
        <v>28222740</v>
      </c>
      <c r="D103">
        <v>32.21</v>
      </c>
      <c r="E103">
        <v>32.988999999999997</v>
      </c>
      <c r="F103">
        <v>32.185000000000002</v>
      </c>
    </row>
    <row r="104" spans="1:6" x14ac:dyDescent="0.25">
      <c r="A104" s="1">
        <v>44330</v>
      </c>
      <c r="B104">
        <v>32.954999999999998</v>
      </c>
      <c r="C104">
        <v>18910800</v>
      </c>
      <c r="D104">
        <v>32.875</v>
      </c>
      <c r="E104">
        <v>33.162500000000001</v>
      </c>
      <c r="F104">
        <v>32.875</v>
      </c>
    </row>
    <row r="105" spans="1:6" x14ac:dyDescent="0.25">
      <c r="A105" s="1">
        <v>44333</v>
      </c>
      <c r="B105">
        <v>32.685000000000002</v>
      </c>
      <c r="C105">
        <v>25118840</v>
      </c>
      <c r="D105">
        <v>32.94</v>
      </c>
      <c r="E105">
        <v>33.130000000000003</v>
      </c>
      <c r="F105">
        <v>32.634999999999998</v>
      </c>
    </row>
    <row r="106" spans="1:6" x14ac:dyDescent="0.25">
      <c r="A106" s="1">
        <v>44334</v>
      </c>
      <c r="B106">
        <v>32.68</v>
      </c>
      <c r="C106">
        <v>19532394</v>
      </c>
      <c r="D106">
        <v>32.615000000000002</v>
      </c>
      <c r="E106">
        <v>32.79</v>
      </c>
      <c r="F106">
        <v>32.53</v>
      </c>
    </row>
    <row r="107" spans="1:6" x14ac:dyDescent="0.25">
      <c r="A107" s="1">
        <v>44335</v>
      </c>
      <c r="B107">
        <v>32.625</v>
      </c>
      <c r="C107">
        <v>26238080</v>
      </c>
      <c r="D107">
        <v>32.524999999999999</v>
      </c>
      <c r="E107">
        <v>32.652500000000003</v>
      </c>
      <c r="F107">
        <v>32.244999999999997</v>
      </c>
    </row>
    <row r="108" spans="1:6" x14ac:dyDescent="0.25">
      <c r="A108" s="1">
        <v>44336</v>
      </c>
      <c r="B108">
        <v>32.909999999999997</v>
      </c>
      <c r="C108">
        <v>25679520</v>
      </c>
      <c r="D108">
        <v>32.685000000000002</v>
      </c>
      <c r="E108">
        <v>33.11</v>
      </c>
      <c r="F108">
        <v>32.674999999999997</v>
      </c>
    </row>
    <row r="109" spans="1:6" x14ac:dyDescent="0.25">
      <c r="A109" s="1">
        <v>44337</v>
      </c>
      <c r="B109">
        <v>33.08</v>
      </c>
      <c r="C109">
        <v>20487880</v>
      </c>
      <c r="D109">
        <v>32.99</v>
      </c>
      <c r="E109">
        <v>33.202500000000001</v>
      </c>
      <c r="F109">
        <v>32.847499999999997</v>
      </c>
    </row>
    <row r="110" spans="1:6" x14ac:dyDescent="0.25">
      <c r="A110" s="1">
        <v>44340</v>
      </c>
      <c r="B110">
        <v>33.020000000000003</v>
      </c>
      <c r="C110">
        <v>19343034</v>
      </c>
      <c r="D110">
        <v>33.24</v>
      </c>
      <c r="E110">
        <v>33.295000000000002</v>
      </c>
      <c r="F110">
        <v>33</v>
      </c>
    </row>
    <row r="111" spans="1:6" x14ac:dyDescent="0.25">
      <c r="A111" s="1">
        <v>44341</v>
      </c>
      <c r="B111">
        <v>32.619999999999997</v>
      </c>
      <c r="C111">
        <v>20427340</v>
      </c>
      <c r="D111">
        <v>33.055</v>
      </c>
      <c r="E111">
        <v>33.055</v>
      </c>
      <c r="F111">
        <v>32.546300000000002</v>
      </c>
    </row>
    <row r="112" spans="1:6" x14ac:dyDescent="0.25">
      <c r="A112" s="1">
        <v>44342</v>
      </c>
      <c r="B112">
        <v>32.625</v>
      </c>
      <c r="C112">
        <v>16841630</v>
      </c>
      <c r="D112">
        <v>32.64</v>
      </c>
      <c r="E112">
        <v>32.762500000000003</v>
      </c>
      <c r="F112">
        <v>32.527500000000003</v>
      </c>
    </row>
    <row r="113" spans="1:6" x14ac:dyDescent="0.25">
      <c r="A113" s="1">
        <v>44343</v>
      </c>
      <c r="B113">
        <v>32.405000000000001</v>
      </c>
      <c r="C113">
        <v>16996534</v>
      </c>
      <c r="D113">
        <v>32.74</v>
      </c>
      <c r="E113">
        <v>32.74</v>
      </c>
      <c r="F113">
        <v>32.395000000000003</v>
      </c>
    </row>
    <row r="114" spans="1:6" x14ac:dyDescent="0.25">
      <c r="A114" s="1">
        <v>44344</v>
      </c>
      <c r="B114">
        <v>32.58</v>
      </c>
      <c r="C114">
        <v>19565438</v>
      </c>
      <c r="D114">
        <v>32.6</v>
      </c>
      <c r="E114">
        <v>32.700000000000003</v>
      </c>
      <c r="F114">
        <v>32.479999999999997</v>
      </c>
    </row>
    <row r="115" spans="1:6" x14ac:dyDescent="0.25">
      <c r="A115" s="1">
        <v>44348</v>
      </c>
      <c r="B115">
        <v>32.380000000000003</v>
      </c>
      <c r="C115">
        <v>22052320</v>
      </c>
      <c r="D115">
        <v>32.655000000000001</v>
      </c>
      <c r="E115">
        <v>32.729999999999997</v>
      </c>
      <c r="F115">
        <v>32.305</v>
      </c>
    </row>
    <row r="116" spans="1:6" x14ac:dyDescent="0.25">
      <c r="A116" s="1">
        <v>44349</v>
      </c>
      <c r="B116">
        <v>32.549999999999997</v>
      </c>
      <c r="C116">
        <v>20491740</v>
      </c>
      <c r="D116">
        <v>32.43</v>
      </c>
      <c r="E116">
        <v>32.729999999999997</v>
      </c>
      <c r="F116">
        <v>32.299999999999997</v>
      </c>
    </row>
    <row r="117" spans="1:6" x14ac:dyDescent="0.25">
      <c r="A117" s="1">
        <v>44350</v>
      </c>
      <c r="B117">
        <v>32.744999999999997</v>
      </c>
      <c r="C117">
        <v>23707700</v>
      </c>
      <c r="D117">
        <v>32.4</v>
      </c>
      <c r="E117">
        <v>32.85</v>
      </c>
      <c r="F117">
        <v>32.290100000000002</v>
      </c>
    </row>
    <row r="118" spans="1:6" x14ac:dyDescent="0.25">
      <c r="A118" s="1">
        <v>44351</v>
      </c>
      <c r="B118">
        <v>32.695</v>
      </c>
      <c r="C118">
        <v>14469606</v>
      </c>
      <c r="D118">
        <v>32.83</v>
      </c>
      <c r="E118">
        <v>32.880000000000003</v>
      </c>
      <c r="F118">
        <v>32.654899999999998</v>
      </c>
    </row>
    <row r="119" spans="1:6" x14ac:dyDescent="0.25">
      <c r="A119" s="1">
        <v>44354</v>
      </c>
      <c r="B119">
        <v>32.755000000000003</v>
      </c>
      <c r="C119">
        <v>13822416</v>
      </c>
      <c r="D119">
        <v>32.725000000000001</v>
      </c>
      <c r="E119">
        <v>32.805</v>
      </c>
      <c r="F119">
        <v>32.67</v>
      </c>
    </row>
    <row r="120" spans="1:6" x14ac:dyDescent="0.25">
      <c r="A120" s="1">
        <v>44355</v>
      </c>
      <c r="B120">
        <v>32.475000000000001</v>
      </c>
      <c r="C120">
        <v>18363816</v>
      </c>
      <c r="D120">
        <v>32.825000000000003</v>
      </c>
      <c r="E120">
        <v>32.85</v>
      </c>
      <c r="F120">
        <v>32.335000000000001</v>
      </c>
    </row>
    <row r="121" spans="1:6" x14ac:dyDescent="0.25">
      <c r="A121" s="1">
        <v>44356</v>
      </c>
      <c r="B121">
        <v>32.765000000000001</v>
      </c>
      <c r="C121">
        <v>18760808</v>
      </c>
      <c r="D121">
        <v>32.555</v>
      </c>
      <c r="E121">
        <v>32.825000000000003</v>
      </c>
      <c r="F121">
        <v>32.484999999999999</v>
      </c>
    </row>
    <row r="122" spans="1:6" x14ac:dyDescent="0.25">
      <c r="A122" s="1">
        <v>44357</v>
      </c>
      <c r="B122">
        <v>32.979999999999997</v>
      </c>
      <c r="C122">
        <v>16654628</v>
      </c>
      <c r="D122">
        <v>32.79</v>
      </c>
      <c r="E122">
        <v>33.015000000000001</v>
      </c>
      <c r="F122">
        <v>32.71</v>
      </c>
    </row>
    <row r="123" spans="1:6" x14ac:dyDescent="0.25">
      <c r="A123" s="1">
        <v>44358</v>
      </c>
      <c r="B123">
        <v>33.055</v>
      </c>
      <c r="C123">
        <v>18199088</v>
      </c>
      <c r="D123">
        <v>32.979999999999997</v>
      </c>
      <c r="E123">
        <v>33.08</v>
      </c>
      <c r="F123">
        <v>32.825000000000003</v>
      </c>
    </row>
    <row r="124" spans="1:6" x14ac:dyDescent="0.25">
      <c r="A124" s="1">
        <v>44361</v>
      </c>
      <c r="B124">
        <v>33.125</v>
      </c>
      <c r="C124">
        <v>13733138</v>
      </c>
      <c r="D124">
        <v>33.06</v>
      </c>
      <c r="E124">
        <v>33.207500000000003</v>
      </c>
      <c r="F124">
        <v>32.924999999999997</v>
      </c>
    </row>
    <row r="125" spans="1:6" x14ac:dyDescent="0.25">
      <c r="A125" s="1">
        <v>44362</v>
      </c>
      <c r="B125">
        <v>33.225000000000001</v>
      </c>
      <c r="C125">
        <v>32781060</v>
      </c>
      <c r="D125">
        <v>33.164999999999999</v>
      </c>
      <c r="E125">
        <v>33.405000000000001</v>
      </c>
      <c r="F125">
        <v>33.07</v>
      </c>
    </row>
    <row r="126" spans="1:6" x14ac:dyDescent="0.25">
      <c r="A126" s="1">
        <v>44363</v>
      </c>
      <c r="B126">
        <v>32.725000000000001</v>
      </c>
      <c r="C126">
        <v>46277580</v>
      </c>
      <c r="D126">
        <v>33.31</v>
      </c>
      <c r="E126">
        <v>33.43</v>
      </c>
      <c r="F126">
        <v>32.71</v>
      </c>
    </row>
    <row r="127" spans="1:6" x14ac:dyDescent="0.25">
      <c r="A127" s="1">
        <v>44364</v>
      </c>
      <c r="B127">
        <v>32.905000000000001</v>
      </c>
      <c r="C127">
        <v>25708840</v>
      </c>
      <c r="D127">
        <v>32.700000000000003</v>
      </c>
      <c r="E127">
        <v>33.085000000000001</v>
      </c>
      <c r="F127">
        <v>32.604999999999997</v>
      </c>
    </row>
    <row r="128" spans="1:6" x14ac:dyDescent="0.25">
      <c r="A128" s="1">
        <v>44365</v>
      </c>
      <c r="B128">
        <v>32.049999999999997</v>
      </c>
      <c r="C128">
        <v>36079740</v>
      </c>
      <c r="D128">
        <v>32.715000000000003</v>
      </c>
      <c r="E128">
        <v>32.74</v>
      </c>
      <c r="F128">
        <v>32</v>
      </c>
    </row>
    <row r="129" spans="1:6" x14ac:dyDescent="0.25">
      <c r="A129" s="1">
        <v>44368</v>
      </c>
      <c r="B129">
        <v>32.215000000000003</v>
      </c>
      <c r="C129">
        <v>27886620</v>
      </c>
      <c r="D129">
        <v>31.905000000000001</v>
      </c>
      <c r="E129">
        <v>32.295000000000002</v>
      </c>
      <c r="F129">
        <v>31.725100000000001</v>
      </c>
    </row>
    <row r="130" spans="1:6" x14ac:dyDescent="0.25">
      <c r="A130" s="1">
        <v>44369</v>
      </c>
      <c r="B130">
        <v>32.020000000000003</v>
      </c>
      <c r="C130">
        <v>16608654</v>
      </c>
      <c r="D130">
        <v>32.215000000000003</v>
      </c>
      <c r="E130">
        <v>32.31</v>
      </c>
      <c r="F130">
        <v>32.005000000000003</v>
      </c>
    </row>
    <row r="131" spans="1:6" x14ac:dyDescent="0.25">
      <c r="A131" s="1">
        <v>44370</v>
      </c>
      <c r="B131">
        <v>31.68</v>
      </c>
      <c r="C131">
        <v>25666480</v>
      </c>
      <c r="D131">
        <v>32</v>
      </c>
      <c r="E131">
        <v>32</v>
      </c>
      <c r="F131">
        <v>31.585000000000001</v>
      </c>
    </row>
    <row r="132" spans="1:6" x14ac:dyDescent="0.25">
      <c r="A132" s="1">
        <v>44371</v>
      </c>
      <c r="B132">
        <v>31.65</v>
      </c>
      <c r="C132">
        <v>15215762</v>
      </c>
      <c r="D132">
        <v>31.72</v>
      </c>
      <c r="E132">
        <v>31.73</v>
      </c>
      <c r="F132">
        <v>31.51</v>
      </c>
    </row>
    <row r="133" spans="1:6" x14ac:dyDescent="0.25">
      <c r="A133" s="1">
        <v>44372</v>
      </c>
      <c r="B133">
        <v>31.99</v>
      </c>
      <c r="C133">
        <v>18273636</v>
      </c>
      <c r="D133">
        <v>31.664999999999999</v>
      </c>
      <c r="E133">
        <v>32.015000000000001</v>
      </c>
      <c r="F133">
        <v>31.63</v>
      </c>
    </row>
    <row r="134" spans="1:6" x14ac:dyDescent="0.25">
      <c r="A134" s="1">
        <v>44375</v>
      </c>
      <c r="B134">
        <v>32.195</v>
      </c>
      <c r="C134">
        <v>16735362</v>
      </c>
      <c r="D134">
        <v>32.119999999999997</v>
      </c>
      <c r="E134">
        <v>32.354999999999997</v>
      </c>
      <c r="F134">
        <v>32.075000000000003</v>
      </c>
    </row>
    <row r="135" spans="1:6" x14ac:dyDescent="0.25">
      <c r="A135" s="1">
        <v>44376</v>
      </c>
      <c r="B135">
        <v>31.675000000000001</v>
      </c>
      <c r="C135">
        <v>24688360</v>
      </c>
      <c r="D135">
        <v>32.094999999999999</v>
      </c>
      <c r="E135">
        <v>32.284999999999997</v>
      </c>
      <c r="F135">
        <v>31.58</v>
      </c>
    </row>
    <row r="136" spans="1:6" x14ac:dyDescent="0.25">
      <c r="A136" s="1">
        <v>44377</v>
      </c>
      <c r="B136">
        <v>31.614999999999998</v>
      </c>
      <c r="C136">
        <v>19077656</v>
      </c>
      <c r="D136">
        <v>31.65</v>
      </c>
      <c r="E136">
        <v>31.77</v>
      </c>
      <c r="F136">
        <v>31.495000000000001</v>
      </c>
    </row>
    <row r="137" spans="1:6" x14ac:dyDescent="0.25">
      <c r="A137" s="1">
        <v>44378</v>
      </c>
      <c r="B137">
        <v>31.96</v>
      </c>
      <c r="C137">
        <v>22993320</v>
      </c>
      <c r="D137">
        <v>31.675000000000001</v>
      </c>
      <c r="E137">
        <v>32.067500000000003</v>
      </c>
      <c r="F137">
        <v>31.55</v>
      </c>
    </row>
    <row r="138" spans="1:6" x14ac:dyDescent="0.25">
      <c r="A138" s="1">
        <v>44379</v>
      </c>
      <c r="B138">
        <v>32.01</v>
      </c>
      <c r="C138">
        <v>18629536</v>
      </c>
      <c r="D138">
        <v>32.045000000000002</v>
      </c>
      <c r="E138">
        <v>32.045000000000002</v>
      </c>
      <c r="F138">
        <v>31.8475</v>
      </c>
    </row>
    <row r="139" spans="1:6" x14ac:dyDescent="0.25">
      <c r="A139" s="1">
        <v>44383</v>
      </c>
      <c r="B139">
        <v>32.145000000000003</v>
      </c>
      <c r="C139">
        <v>18156630</v>
      </c>
      <c r="D139">
        <v>32.005000000000003</v>
      </c>
      <c r="E139">
        <v>32.164999999999999</v>
      </c>
      <c r="F139">
        <v>31.64</v>
      </c>
    </row>
    <row r="140" spans="1:6" x14ac:dyDescent="0.25">
      <c r="A140" s="1">
        <v>44384</v>
      </c>
      <c r="B140">
        <v>32.354999999999997</v>
      </c>
      <c r="C140">
        <v>24199200</v>
      </c>
      <c r="D140">
        <v>32.159999999999997</v>
      </c>
      <c r="E140">
        <v>32.36</v>
      </c>
      <c r="F140">
        <v>31.98</v>
      </c>
    </row>
    <row r="141" spans="1:6" x14ac:dyDescent="0.25">
      <c r="A141" s="1">
        <v>44385</v>
      </c>
      <c r="B141">
        <v>32.26</v>
      </c>
      <c r="C141">
        <v>20512960</v>
      </c>
      <c r="D141">
        <v>32.174999999999997</v>
      </c>
      <c r="E141">
        <v>32.454999999999998</v>
      </c>
      <c r="F141">
        <v>32.125</v>
      </c>
    </row>
    <row r="142" spans="1:6" x14ac:dyDescent="0.25">
      <c r="A142" s="1">
        <v>44386</v>
      </c>
      <c r="B142">
        <v>32.299999999999997</v>
      </c>
      <c r="C142">
        <v>21484280</v>
      </c>
      <c r="D142">
        <v>32.305</v>
      </c>
      <c r="E142">
        <v>32.39</v>
      </c>
      <c r="F142">
        <v>32.034999999999997</v>
      </c>
    </row>
    <row r="143" spans="1:6" x14ac:dyDescent="0.25">
      <c r="A143" s="1">
        <v>44389</v>
      </c>
      <c r="B143">
        <v>32.405000000000001</v>
      </c>
      <c r="C143">
        <v>17322960</v>
      </c>
      <c r="D143">
        <v>32.265000000000001</v>
      </c>
      <c r="E143">
        <v>32.432499999999997</v>
      </c>
      <c r="F143">
        <v>32.107500000000002</v>
      </c>
    </row>
    <row r="144" spans="1:6" x14ac:dyDescent="0.25">
      <c r="A144" s="1">
        <v>44390</v>
      </c>
      <c r="B144">
        <v>32.159999999999997</v>
      </c>
      <c r="C144">
        <v>22493180</v>
      </c>
      <c r="D144">
        <v>32.35</v>
      </c>
      <c r="E144">
        <v>32.454999999999998</v>
      </c>
      <c r="F144">
        <v>32.045000000000002</v>
      </c>
    </row>
    <row r="145" spans="1:6" x14ac:dyDescent="0.25">
      <c r="A145" s="1">
        <v>44391</v>
      </c>
      <c r="B145">
        <v>32.44</v>
      </c>
      <c r="C145">
        <v>20720020</v>
      </c>
      <c r="D145">
        <v>32.17</v>
      </c>
      <c r="E145">
        <v>32.58</v>
      </c>
      <c r="F145">
        <v>32.020000000000003</v>
      </c>
    </row>
    <row r="146" spans="1:6" x14ac:dyDescent="0.25">
      <c r="A146" s="1">
        <v>44392</v>
      </c>
      <c r="B146">
        <v>32.805</v>
      </c>
      <c r="C146">
        <v>28574540</v>
      </c>
      <c r="D146">
        <v>32.33</v>
      </c>
      <c r="E146">
        <v>32.83</v>
      </c>
      <c r="F146">
        <v>32.32</v>
      </c>
    </row>
    <row r="147" spans="1:6" x14ac:dyDescent="0.25">
      <c r="A147" s="1">
        <v>44393</v>
      </c>
      <c r="B147">
        <v>33.134999999999998</v>
      </c>
      <c r="C147">
        <v>33106560</v>
      </c>
      <c r="D147">
        <v>32.840000000000003</v>
      </c>
      <c r="E147">
        <v>33.305</v>
      </c>
      <c r="F147">
        <v>32.805</v>
      </c>
    </row>
    <row r="148" spans="1:6" x14ac:dyDescent="0.25">
      <c r="A148" s="1">
        <v>44396</v>
      </c>
      <c r="B148">
        <v>32.61</v>
      </c>
      <c r="C148">
        <v>45585880</v>
      </c>
      <c r="D148">
        <v>33</v>
      </c>
      <c r="E148">
        <v>33.262500000000003</v>
      </c>
      <c r="F148">
        <v>32.24</v>
      </c>
    </row>
    <row r="149" spans="1:6" x14ac:dyDescent="0.25">
      <c r="A149" s="1">
        <v>44397</v>
      </c>
      <c r="B149">
        <v>32.75</v>
      </c>
      <c r="C149">
        <v>33779140</v>
      </c>
      <c r="D149">
        <v>32.64</v>
      </c>
      <c r="E149">
        <v>33.08</v>
      </c>
      <c r="F149">
        <v>32.64</v>
      </c>
    </row>
    <row r="150" spans="1:6" x14ac:dyDescent="0.25">
      <c r="A150" s="1">
        <v>44398</v>
      </c>
      <c r="B150">
        <v>32.39</v>
      </c>
      <c r="C150">
        <v>22456820</v>
      </c>
      <c r="D150">
        <v>32.770000000000003</v>
      </c>
      <c r="E150">
        <v>32.844999999999999</v>
      </c>
      <c r="F150">
        <v>32.365000000000002</v>
      </c>
    </row>
    <row r="151" spans="1:6" x14ac:dyDescent="0.25">
      <c r="A151" s="1">
        <v>44399</v>
      </c>
      <c r="B151">
        <v>32.44</v>
      </c>
      <c r="C151">
        <v>22875520</v>
      </c>
      <c r="D151">
        <v>32.424999999999997</v>
      </c>
      <c r="E151">
        <v>32.585000000000001</v>
      </c>
      <c r="F151">
        <v>32.332500000000003</v>
      </c>
    </row>
    <row r="152" spans="1:6" x14ac:dyDescent="0.25">
      <c r="A152" s="1">
        <v>44400</v>
      </c>
      <c r="B152">
        <v>32.854999999999997</v>
      </c>
      <c r="C152">
        <v>16217104</v>
      </c>
      <c r="D152">
        <v>32.520000000000003</v>
      </c>
      <c r="E152">
        <v>32.884999999999998</v>
      </c>
      <c r="F152">
        <v>32.46</v>
      </c>
    </row>
    <row r="153" spans="1:6" x14ac:dyDescent="0.25">
      <c r="A153" s="1">
        <v>44403</v>
      </c>
      <c r="B153">
        <v>32.865000000000002</v>
      </c>
      <c r="C153">
        <v>17936760</v>
      </c>
      <c r="D153">
        <v>32.79</v>
      </c>
      <c r="E153">
        <v>32.965000000000003</v>
      </c>
      <c r="F153">
        <v>32.634999999999998</v>
      </c>
    </row>
    <row r="154" spans="1:6" x14ac:dyDescent="0.25">
      <c r="A154" s="1">
        <v>44404</v>
      </c>
      <c r="B154">
        <v>33.43</v>
      </c>
      <c r="C154">
        <v>34286180</v>
      </c>
      <c r="D154">
        <v>32.840000000000003</v>
      </c>
      <c r="E154">
        <v>33.487499999999997</v>
      </c>
      <c r="F154">
        <v>32.65</v>
      </c>
    </row>
    <row r="155" spans="1:6" x14ac:dyDescent="0.25">
      <c r="A155" s="1">
        <v>44405</v>
      </c>
      <c r="B155">
        <v>33.174999999999997</v>
      </c>
      <c r="C155">
        <v>24948160</v>
      </c>
      <c r="D155">
        <v>33.414999999999999</v>
      </c>
      <c r="E155">
        <v>33.475000000000001</v>
      </c>
      <c r="F155">
        <v>32.93</v>
      </c>
    </row>
    <row r="156" spans="1:6" x14ac:dyDescent="0.25">
      <c r="A156" s="1">
        <v>44406</v>
      </c>
      <c r="B156">
        <v>33.265000000000001</v>
      </c>
      <c r="C156">
        <v>30247700</v>
      </c>
      <c r="D156">
        <v>33.234999999999999</v>
      </c>
      <c r="E156">
        <v>33.36</v>
      </c>
      <c r="F156">
        <v>33.072499999999998</v>
      </c>
    </row>
    <row r="157" spans="1:6" x14ac:dyDescent="0.25">
      <c r="A157" s="1">
        <v>44407</v>
      </c>
      <c r="B157">
        <v>32.984999999999999</v>
      </c>
      <c r="C157">
        <v>25265100</v>
      </c>
      <c r="D157">
        <v>33.244999999999997</v>
      </c>
      <c r="E157">
        <v>33.522500000000001</v>
      </c>
      <c r="F157">
        <v>32.909999999999997</v>
      </c>
    </row>
    <row r="158" spans="1:6" x14ac:dyDescent="0.25">
      <c r="A158" s="1">
        <v>44410</v>
      </c>
      <c r="B158">
        <v>33.24</v>
      </c>
      <c r="C158">
        <v>23564100</v>
      </c>
      <c r="D158">
        <v>33.06</v>
      </c>
      <c r="E158">
        <v>33.36</v>
      </c>
      <c r="F158">
        <v>33.020000000000003</v>
      </c>
    </row>
    <row r="159" spans="1:6" x14ac:dyDescent="0.25">
      <c r="A159" s="1">
        <v>44411</v>
      </c>
      <c r="B159">
        <v>33.43</v>
      </c>
      <c r="C159">
        <v>25994540</v>
      </c>
      <c r="D159">
        <v>33.29</v>
      </c>
      <c r="E159">
        <v>33.585000000000001</v>
      </c>
      <c r="F159">
        <v>33.134999999999998</v>
      </c>
    </row>
    <row r="160" spans="1:6" x14ac:dyDescent="0.25">
      <c r="A160" s="1">
        <v>44412</v>
      </c>
      <c r="B160">
        <v>33.380000000000003</v>
      </c>
      <c r="C160">
        <v>32377980</v>
      </c>
      <c r="D160">
        <v>33.295000000000002</v>
      </c>
      <c r="E160">
        <v>33.42</v>
      </c>
      <c r="F160">
        <v>32.965000000000003</v>
      </c>
    </row>
    <row r="161" spans="1:6" x14ac:dyDescent="0.25">
      <c r="A161" s="1">
        <v>44413</v>
      </c>
      <c r="B161">
        <v>33.744999999999997</v>
      </c>
      <c r="C161">
        <v>31790800</v>
      </c>
      <c r="D161">
        <v>33.424999999999997</v>
      </c>
      <c r="E161">
        <v>33.79</v>
      </c>
      <c r="F161">
        <v>33.337499999999999</v>
      </c>
    </row>
    <row r="162" spans="1:6" x14ac:dyDescent="0.25">
      <c r="A162" s="1">
        <v>44414</v>
      </c>
      <c r="B162">
        <v>33.725000000000001</v>
      </c>
      <c r="C162">
        <v>20000940</v>
      </c>
      <c r="D162">
        <v>33.71</v>
      </c>
      <c r="E162">
        <v>33.97</v>
      </c>
      <c r="F162">
        <v>33.630000000000003</v>
      </c>
    </row>
    <row r="163" spans="1:6" x14ac:dyDescent="0.25">
      <c r="A163" s="1">
        <v>44417</v>
      </c>
      <c r="B163">
        <v>33.715000000000003</v>
      </c>
      <c r="C163">
        <v>16865328</v>
      </c>
      <c r="D163">
        <v>33.75</v>
      </c>
      <c r="E163">
        <v>33.840000000000003</v>
      </c>
      <c r="F163">
        <v>33.53</v>
      </c>
    </row>
    <row r="164" spans="1:6" x14ac:dyDescent="0.25">
      <c r="A164" s="1">
        <v>44418</v>
      </c>
      <c r="B164">
        <v>33.75</v>
      </c>
      <c r="C164">
        <v>15834348</v>
      </c>
      <c r="D164">
        <v>33.744999999999997</v>
      </c>
      <c r="E164">
        <v>33.865000000000002</v>
      </c>
      <c r="F164">
        <v>33.594999999999999</v>
      </c>
    </row>
    <row r="165" spans="1:6" x14ac:dyDescent="0.25">
      <c r="A165" s="1">
        <v>44419</v>
      </c>
      <c r="B165">
        <v>34.064999999999998</v>
      </c>
      <c r="C165">
        <v>18488892</v>
      </c>
      <c r="D165">
        <v>33.825000000000003</v>
      </c>
      <c r="E165">
        <v>34.22</v>
      </c>
      <c r="F165">
        <v>33.825000000000003</v>
      </c>
    </row>
    <row r="166" spans="1:6" x14ac:dyDescent="0.25">
      <c r="A166" s="1">
        <v>44420</v>
      </c>
      <c r="B166">
        <v>34.1</v>
      </c>
      <c r="C166">
        <v>18920256</v>
      </c>
      <c r="D166">
        <v>34.005000000000003</v>
      </c>
      <c r="E166">
        <v>34.217500000000001</v>
      </c>
      <c r="F166">
        <v>33.988</v>
      </c>
    </row>
    <row r="167" spans="1:6" x14ac:dyDescent="0.25">
      <c r="A167" s="1">
        <v>44421</v>
      </c>
      <c r="B167">
        <v>34.340000000000003</v>
      </c>
      <c r="C167">
        <v>23581440</v>
      </c>
      <c r="D167">
        <v>34.17</v>
      </c>
      <c r="E167">
        <v>34.380000000000003</v>
      </c>
      <c r="F167">
        <v>34.1</v>
      </c>
    </row>
    <row r="168" spans="1:6" x14ac:dyDescent="0.25">
      <c r="A168" s="1">
        <v>44424</v>
      </c>
      <c r="B168">
        <v>34.549999999999997</v>
      </c>
      <c r="C168">
        <v>25796820</v>
      </c>
      <c r="D168">
        <v>34.340000000000003</v>
      </c>
      <c r="E168">
        <v>34.795000000000002</v>
      </c>
      <c r="F168">
        <v>34.305</v>
      </c>
    </row>
    <row r="169" spans="1:6" x14ac:dyDescent="0.25">
      <c r="A169" s="1">
        <v>44425</v>
      </c>
      <c r="B169">
        <v>34.57</v>
      </c>
      <c r="C169">
        <v>23037480</v>
      </c>
      <c r="D169">
        <v>34.454999999999998</v>
      </c>
      <c r="E169">
        <v>34.575000000000003</v>
      </c>
      <c r="F169">
        <v>34.226199999999999</v>
      </c>
    </row>
    <row r="170" spans="1:6" x14ac:dyDescent="0.25">
      <c r="A170" s="1">
        <v>44426</v>
      </c>
      <c r="B170">
        <v>34.395000000000003</v>
      </c>
      <c r="C170">
        <v>31411600</v>
      </c>
      <c r="D170">
        <v>34.564999999999998</v>
      </c>
      <c r="E170">
        <v>34.64</v>
      </c>
      <c r="F170">
        <v>34.28</v>
      </c>
    </row>
    <row r="171" spans="1:6" x14ac:dyDescent="0.25">
      <c r="A171" s="1">
        <v>44427</v>
      </c>
      <c r="B171">
        <v>34.534999999999997</v>
      </c>
      <c r="C171">
        <v>27723040</v>
      </c>
      <c r="D171">
        <v>34.409999999999997</v>
      </c>
      <c r="E171">
        <v>34.814999999999998</v>
      </c>
      <c r="F171">
        <v>34.373199999999997</v>
      </c>
    </row>
    <row r="172" spans="1:6" x14ac:dyDescent="0.25">
      <c r="A172" s="1">
        <v>44428</v>
      </c>
      <c r="B172">
        <v>34.965000000000003</v>
      </c>
      <c r="C172">
        <v>23581540</v>
      </c>
      <c r="D172">
        <v>34.475000000000001</v>
      </c>
      <c r="E172">
        <v>34.99</v>
      </c>
      <c r="F172">
        <v>34.295000000000002</v>
      </c>
    </row>
    <row r="173" spans="1:6" x14ac:dyDescent="0.25">
      <c r="A173" s="1">
        <v>44431</v>
      </c>
      <c r="B173">
        <v>34.515000000000001</v>
      </c>
      <c r="C173">
        <v>21830740</v>
      </c>
      <c r="D173">
        <v>34.94</v>
      </c>
      <c r="E173">
        <v>34.950000000000003</v>
      </c>
      <c r="F173">
        <v>34.450000000000003</v>
      </c>
    </row>
    <row r="174" spans="1:6" x14ac:dyDescent="0.25">
      <c r="A174" s="1">
        <v>44432</v>
      </c>
      <c r="B174">
        <v>34.29</v>
      </c>
      <c r="C174">
        <v>25331560</v>
      </c>
      <c r="D174">
        <v>34.5</v>
      </c>
      <c r="E174">
        <v>34.53</v>
      </c>
      <c r="F174">
        <v>34.06</v>
      </c>
    </row>
    <row r="175" spans="1:6" x14ac:dyDescent="0.25">
      <c r="A175" s="1">
        <v>44433</v>
      </c>
      <c r="B175">
        <v>34.354999999999997</v>
      </c>
      <c r="C175">
        <v>16329812</v>
      </c>
      <c r="D175">
        <v>34.284999999999997</v>
      </c>
      <c r="E175">
        <v>34.465000000000003</v>
      </c>
      <c r="F175">
        <v>34.090000000000003</v>
      </c>
    </row>
    <row r="176" spans="1:6" x14ac:dyDescent="0.25">
      <c r="A176" s="1">
        <v>44434</v>
      </c>
      <c r="B176">
        <v>34.270000000000003</v>
      </c>
      <c r="C176">
        <v>16631772</v>
      </c>
      <c r="D176">
        <v>34.354999999999997</v>
      </c>
      <c r="E176">
        <v>34.369999999999997</v>
      </c>
      <c r="F176">
        <v>34.195</v>
      </c>
    </row>
    <row r="177" spans="1:6" x14ac:dyDescent="0.25">
      <c r="A177" s="1">
        <v>44435</v>
      </c>
      <c r="B177">
        <v>34.26</v>
      </c>
      <c r="C177">
        <v>21005080</v>
      </c>
      <c r="D177">
        <v>34.305</v>
      </c>
      <c r="E177">
        <v>34.417499999999997</v>
      </c>
      <c r="F177">
        <v>34.196399999999997</v>
      </c>
    </row>
    <row r="178" spans="1:6" x14ac:dyDescent="0.25">
      <c r="A178" s="1">
        <v>44438</v>
      </c>
      <c r="B178">
        <v>34.31</v>
      </c>
      <c r="C178">
        <v>23691780</v>
      </c>
      <c r="D178">
        <v>34.25</v>
      </c>
      <c r="E178">
        <v>34.409999999999997</v>
      </c>
      <c r="F178">
        <v>34.134999999999998</v>
      </c>
    </row>
    <row r="179" spans="1:6" x14ac:dyDescent="0.25">
      <c r="A179" s="1">
        <v>44439</v>
      </c>
      <c r="B179">
        <v>34.270000000000003</v>
      </c>
      <c r="C179">
        <v>22580160</v>
      </c>
      <c r="D179">
        <v>34.295000000000002</v>
      </c>
      <c r="E179">
        <v>34.463299999999997</v>
      </c>
      <c r="F179">
        <v>34.126800000000003</v>
      </c>
    </row>
    <row r="180" spans="1:6" x14ac:dyDescent="0.25">
      <c r="A180" s="1">
        <v>44440</v>
      </c>
      <c r="B180">
        <v>34.72</v>
      </c>
      <c r="C180">
        <v>26667460</v>
      </c>
      <c r="D180">
        <v>34.365000000000002</v>
      </c>
      <c r="E180">
        <v>34.835000000000001</v>
      </c>
      <c r="F180">
        <v>34.32</v>
      </c>
    </row>
    <row r="181" spans="1:6" x14ac:dyDescent="0.25">
      <c r="A181" s="1">
        <v>44441</v>
      </c>
      <c r="B181">
        <v>35.034999999999997</v>
      </c>
      <c r="C181">
        <v>20599400</v>
      </c>
      <c r="D181">
        <v>34.795000000000002</v>
      </c>
      <c r="E181">
        <v>35.034999999999997</v>
      </c>
      <c r="F181">
        <v>34.76</v>
      </c>
    </row>
    <row r="182" spans="1:6" x14ac:dyDescent="0.25">
      <c r="A182" s="1">
        <v>44442</v>
      </c>
      <c r="B182">
        <v>34.744999999999997</v>
      </c>
      <c r="C182">
        <v>18945442</v>
      </c>
      <c r="D182">
        <v>34.93</v>
      </c>
      <c r="E182">
        <v>34.979999999999997</v>
      </c>
      <c r="F182">
        <v>34.659999999999997</v>
      </c>
    </row>
    <row r="183" spans="1:6" x14ac:dyDescent="0.25">
      <c r="A183" s="1">
        <v>44446</v>
      </c>
      <c r="B183">
        <v>34.284999999999997</v>
      </c>
      <c r="C183">
        <v>26290460</v>
      </c>
      <c r="D183">
        <v>34.715000000000003</v>
      </c>
      <c r="E183">
        <v>34.72</v>
      </c>
      <c r="F183">
        <v>34.225000000000001</v>
      </c>
    </row>
    <row r="184" spans="1:6" x14ac:dyDescent="0.25">
      <c r="A184" s="1">
        <v>44447</v>
      </c>
      <c r="B184">
        <v>34.9</v>
      </c>
      <c r="C184">
        <v>29176280</v>
      </c>
      <c r="D184">
        <v>34.265000000000001</v>
      </c>
      <c r="E184">
        <v>34.994999999999997</v>
      </c>
      <c r="F184">
        <v>34.185000000000002</v>
      </c>
    </row>
    <row r="185" spans="1:6" x14ac:dyDescent="0.25">
      <c r="A185" s="1">
        <v>44448</v>
      </c>
      <c r="B185">
        <v>34.71</v>
      </c>
      <c r="C185">
        <v>16355034</v>
      </c>
      <c r="D185">
        <v>34.79</v>
      </c>
      <c r="E185">
        <v>34.912500000000001</v>
      </c>
      <c r="F185">
        <v>34.682499999999997</v>
      </c>
    </row>
    <row r="186" spans="1:6" x14ac:dyDescent="0.25">
      <c r="A186" s="1">
        <v>44449</v>
      </c>
      <c r="B186">
        <v>34.225000000000001</v>
      </c>
      <c r="C186">
        <v>24654420</v>
      </c>
      <c r="D186">
        <v>34.685000000000002</v>
      </c>
      <c r="E186">
        <v>34.725000000000001</v>
      </c>
      <c r="F186">
        <v>34.215000000000003</v>
      </c>
    </row>
    <row r="187" spans="1:6" x14ac:dyDescent="0.25">
      <c r="A187" s="1">
        <v>44452</v>
      </c>
      <c r="B187">
        <v>34.164999999999999</v>
      </c>
      <c r="C187">
        <v>26236480</v>
      </c>
      <c r="D187">
        <v>34.515000000000001</v>
      </c>
      <c r="E187">
        <v>34.555</v>
      </c>
      <c r="F187">
        <v>34.064999999999998</v>
      </c>
    </row>
    <row r="188" spans="1:6" x14ac:dyDescent="0.25">
      <c r="A188" s="1">
        <v>44453</v>
      </c>
      <c r="B188">
        <v>34.049999999999997</v>
      </c>
      <c r="C188">
        <v>28103580</v>
      </c>
      <c r="D188">
        <v>34.274999999999999</v>
      </c>
      <c r="E188">
        <v>34.384999999999998</v>
      </c>
      <c r="F188">
        <v>33.965000000000003</v>
      </c>
    </row>
    <row r="189" spans="1:6" x14ac:dyDescent="0.25">
      <c r="A189" s="1">
        <v>44454</v>
      </c>
      <c r="B189">
        <v>34.005000000000003</v>
      </c>
      <c r="C189">
        <v>19812806</v>
      </c>
      <c r="D189">
        <v>34</v>
      </c>
      <c r="E189">
        <v>34.227499999999999</v>
      </c>
      <c r="F189">
        <v>33.814999999999998</v>
      </c>
    </row>
    <row r="190" spans="1:6" x14ac:dyDescent="0.25">
      <c r="A190" s="1">
        <v>44455</v>
      </c>
      <c r="B190">
        <v>33.72</v>
      </c>
      <c r="C190">
        <v>31464100</v>
      </c>
      <c r="D190">
        <v>34</v>
      </c>
      <c r="E190">
        <v>34.14</v>
      </c>
      <c r="F190">
        <v>33.67</v>
      </c>
    </row>
    <row r="191" spans="1:6" x14ac:dyDescent="0.25">
      <c r="A191" s="1">
        <v>44456</v>
      </c>
      <c r="B191">
        <v>33.200000000000003</v>
      </c>
      <c r="C191">
        <v>25108540</v>
      </c>
      <c r="D191">
        <v>33.65</v>
      </c>
      <c r="E191">
        <v>33.83</v>
      </c>
      <c r="F191">
        <v>33.17</v>
      </c>
    </row>
    <row r="192" spans="1:6" x14ac:dyDescent="0.25">
      <c r="A192" s="1">
        <v>44459</v>
      </c>
      <c r="B192">
        <v>32.89</v>
      </c>
      <c r="C192">
        <v>45678620</v>
      </c>
      <c r="D192">
        <v>32.880000000000003</v>
      </c>
      <c r="E192">
        <v>33.177500000000002</v>
      </c>
      <c r="F192">
        <v>32.53</v>
      </c>
    </row>
    <row r="193" spans="1:6" x14ac:dyDescent="0.25">
      <c r="A193" s="1">
        <v>44460</v>
      </c>
      <c r="B193">
        <v>32.799999999999997</v>
      </c>
      <c r="C193">
        <v>26417560</v>
      </c>
      <c r="D193">
        <v>32.984999999999999</v>
      </c>
      <c r="E193">
        <v>33.21</v>
      </c>
      <c r="F193">
        <v>32.78</v>
      </c>
    </row>
    <row r="194" spans="1:6" x14ac:dyDescent="0.25">
      <c r="A194" s="1">
        <v>44461</v>
      </c>
      <c r="B194">
        <v>32.78</v>
      </c>
      <c r="C194">
        <v>24788100</v>
      </c>
      <c r="D194">
        <v>32.92</v>
      </c>
      <c r="E194">
        <v>33.045000000000002</v>
      </c>
      <c r="F194">
        <v>32.655000000000001</v>
      </c>
    </row>
    <row r="195" spans="1:6" x14ac:dyDescent="0.25">
      <c r="A195" s="1">
        <v>44462</v>
      </c>
      <c r="B195">
        <v>32.604999999999997</v>
      </c>
      <c r="C195">
        <v>19333176</v>
      </c>
      <c r="D195">
        <v>32.78</v>
      </c>
      <c r="E195">
        <v>33.024999999999999</v>
      </c>
      <c r="F195">
        <v>32.575000000000003</v>
      </c>
    </row>
    <row r="196" spans="1:6" x14ac:dyDescent="0.25">
      <c r="A196" s="1">
        <v>44463</v>
      </c>
      <c r="B196">
        <v>32.57</v>
      </c>
      <c r="C196">
        <v>23660700</v>
      </c>
      <c r="D196">
        <v>32.6</v>
      </c>
      <c r="E196">
        <v>32.814999999999998</v>
      </c>
      <c r="F196">
        <v>32.49</v>
      </c>
    </row>
    <row r="197" spans="1:6" x14ac:dyDescent="0.25">
      <c r="A197" s="1">
        <v>44466</v>
      </c>
      <c r="B197">
        <v>32.185000000000002</v>
      </c>
      <c r="C197">
        <v>21783380</v>
      </c>
      <c r="D197">
        <v>32.515000000000001</v>
      </c>
      <c r="E197">
        <v>32.844999999999999</v>
      </c>
      <c r="F197">
        <v>32.137500000000003</v>
      </c>
    </row>
    <row r="198" spans="1:6" x14ac:dyDescent="0.25">
      <c r="A198" s="1">
        <v>44467</v>
      </c>
      <c r="B198">
        <v>31.78</v>
      </c>
      <c r="C198">
        <v>40471680</v>
      </c>
      <c r="D198">
        <v>32.155000000000001</v>
      </c>
      <c r="E198">
        <v>32.204999999999998</v>
      </c>
      <c r="F198">
        <v>31.684999999999999</v>
      </c>
    </row>
    <row r="199" spans="1:6" x14ac:dyDescent="0.25">
      <c r="A199" s="1">
        <v>44468</v>
      </c>
      <c r="B199">
        <v>32.195</v>
      </c>
      <c r="C199">
        <v>30867700</v>
      </c>
      <c r="D199">
        <v>31.875</v>
      </c>
      <c r="E199">
        <v>32.42</v>
      </c>
      <c r="F199">
        <v>31.79</v>
      </c>
    </row>
    <row r="200" spans="1:6" x14ac:dyDescent="0.25">
      <c r="A200" s="1">
        <v>44469</v>
      </c>
      <c r="B200">
        <v>31.94</v>
      </c>
      <c r="C200">
        <v>27144760</v>
      </c>
      <c r="D200">
        <v>32.314999999999998</v>
      </c>
      <c r="E200">
        <v>32.335000000000001</v>
      </c>
      <c r="F200">
        <v>31.895</v>
      </c>
    </row>
    <row r="201" spans="1:6" x14ac:dyDescent="0.25">
      <c r="A201" s="1">
        <v>44470</v>
      </c>
      <c r="B201">
        <v>31.94</v>
      </c>
      <c r="C201">
        <v>29001280</v>
      </c>
      <c r="D201">
        <v>32.134999999999998</v>
      </c>
      <c r="E201">
        <v>32.195</v>
      </c>
      <c r="F201">
        <v>31.83</v>
      </c>
    </row>
    <row r="202" spans="1:6" x14ac:dyDescent="0.25">
      <c r="A202" s="1">
        <v>44473</v>
      </c>
      <c r="B202">
        <v>32.380000000000003</v>
      </c>
      <c r="C202">
        <v>40402620</v>
      </c>
      <c r="D202">
        <v>31.905000000000001</v>
      </c>
      <c r="E202">
        <v>32.472499999999997</v>
      </c>
      <c r="F202">
        <v>31.89</v>
      </c>
    </row>
    <row r="203" spans="1:6" x14ac:dyDescent="0.25">
      <c r="A203" s="1">
        <v>44474</v>
      </c>
      <c r="B203">
        <v>32.299999999999997</v>
      </c>
      <c r="C203">
        <v>26130440</v>
      </c>
      <c r="D203">
        <v>32.42</v>
      </c>
      <c r="E203">
        <v>32.534999999999997</v>
      </c>
      <c r="F203">
        <v>32.26</v>
      </c>
    </row>
    <row r="204" spans="1:6" x14ac:dyDescent="0.25">
      <c r="A204" s="1">
        <v>44475</v>
      </c>
      <c r="B204">
        <v>32.799999999999997</v>
      </c>
      <c r="C204">
        <v>33152780</v>
      </c>
      <c r="D204">
        <v>32.200000000000003</v>
      </c>
      <c r="E204">
        <v>32.8232</v>
      </c>
      <c r="F204">
        <v>32.0075</v>
      </c>
    </row>
    <row r="205" spans="1:6" x14ac:dyDescent="0.25">
      <c r="A205" s="1">
        <v>44476</v>
      </c>
      <c r="B205">
        <v>32.625</v>
      </c>
      <c r="C205">
        <v>27540260</v>
      </c>
      <c r="D205">
        <v>32.86</v>
      </c>
      <c r="E205">
        <v>33.119999999999997</v>
      </c>
      <c r="F205">
        <v>32.587499999999999</v>
      </c>
    </row>
    <row r="206" spans="1:6" x14ac:dyDescent="0.25">
      <c r="A206" s="1">
        <v>44477</v>
      </c>
      <c r="B206">
        <v>32.384999999999998</v>
      </c>
      <c r="C206">
        <v>17796448</v>
      </c>
      <c r="D206">
        <v>32.619999999999997</v>
      </c>
      <c r="E206">
        <v>32.685000000000002</v>
      </c>
      <c r="F206">
        <v>32.362499999999997</v>
      </c>
    </row>
    <row r="207" spans="1:6" x14ac:dyDescent="0.25">
      <c r="A207" s="1">
        <v>44480</v>
      </c>
      <c r="B207">
        <v>31.945</v>
      </c>
      <c r="C207">
        <v>25420120</v>
      </c>
      <c r="D207">
        <v>32.25</v>
      </c>
      <c r="E207">
        <v>32.314999999999998</v>
      </c>
      <c r="F207">
        <v>31.9</v>
      </c>
    </row>
    <row r="208" spans="1:6" x14ac:dyDescent="0.25">
      <c r="A208" s="1">
        <v>44481</v>
      </c>
      <c r="B208">
        <v>32.159999999999997</v>
      </c>
      <c r="C208">
        <v>20996100</v>
      </c>
      <c r="D208">
        <v>31.99</v>
      </c>
      <c r="E208">
        <v>32.252499999999998</v>
      </c>
      <c r="F208">
        <v>31.905000000000001</v>
      </c>
    </row>
    <row r="209" spans="1:6" x14ac:dyDescent="0.25">
      <c r="A209" s="1">
        <v>44482</v>
      </c>
      <c r="B209">
        <v>32.534999999999997</v>
      </c>
      <c r="C209">
        <v>26207360</v>
      </c>
      <c r="D209">
        <v>32.17</v>
      </c>
      <c r="E209">
        <v>32.56</v>
      </c>
      <c r="F209">
        <v>32</v>
      </c>
    </row>
    <row r="210" spans="1:6" x14ac:dyDescent="0.25">
      <c r="A210" s="1">
        <v>44483</v>
      </c>
      <c r="B210">
        <v>32.935000000000002</v>
      </c>
      <c r="C210">
        <v>21398140</v>
      </c>
      <c r="D210">
        <v>32.645000000000003</v>
      </c>
      <c r="E210">
        <v>33</v>
      </c>
      <c r="F210">
        <v>32.564999999999998</v>
      </c>
    </row>
    <row r="211" spans="1:6" x14ac:dyDescent="0.25">
      <c r="A211" s="1">
        <v>44484</v>
      </c>
      <c r="B211">
        <v>32.840000000000003</v>
      </c>
      <c r="C211">
        <v>29602540</v>
      </c>
      <c r="D211">
        <v>32.984999999999999</v>
      </c>
      <c r="E211">
        <v>33.1</v>
      </c>
      <c r="F211">
        <v>32.784999999999997</v>
      </c>
    </row>
    <row r="212" spans="1:6" x14ac:dyDescent="0.25">
      <c r="A212" s="1">
        <v>44487</v>
      </c>
      <c r="B212">
        <v>32.524999999999999</v>
      </c>
      <c r="C212">
        <v>20702060</v>
      </c>
      <c r="D212">
        <v>32.619999999999997</v>
      </c>
      <c r="E212">
        <v>32.704999999999998</v>
      </c>
      <c r="F212">
        <v>32.35</v>
      </c>
    </row>
    <row r="213" spans="1:6" x14ac:dyDescent="0.25">
      <c r="A213" s="1">
        <v>44488</v>
      </c>
      <c r="B213">
        <v>32.935000000000002</v>
      </c>
      <c r="C213">
        <v>21413660</v>
      </c>
      <c r="D213">
        <v>32.774999999999999</v>
      </c>
      <c r="E213">
        <v>32.979999999999997</v>
      </c>
      <c r="F213">
        <v>32.685000000000002</v>
      </c>
    </row>
    <row r="214" spans="1:6" x14ac:dyDescent="0.25">
      <c r="A214" s="1">
        <v>44489</v>
      </c>
      <c r="B214">
        <v>33.454999999999998</v>
      </c>
      <c r="C214">
        <v>27799820</v>
      </c>
      <c r="D214">
        <v>33.07</v>
      </c>
      <c r="E214">
        <v>33.585000000000001</v>
      </c>
      <c r="F214">
        <v>33.034999999999997</v>
      </c>
    </row>
    <row r="215" spans="1:6" x14ac:dyDescent="0.25">
      <c r="A215" s="1">
        <v>44490</v>
      </c>
      <c r="B215">
        <v>33.454999999999998</v>
      </c>
      <c r="C215">
        <v>17372730</v>
      </c>
      <c r="D215">
        <v>33.475000000000001</v>
      </c>
      <c r="E215">
        <v>33.590000000000003</v>
      </c>
      <c r="F215">
        <v>33.409999999999997</v>
      </c>
    </row>
    <row r="216" spans="1:6" x14ac:dyDescent="0.25">
      <c r="A216" s="1">
        <v>44491</v>
      </c>
      <c r="B216">
        <v>33.625</v>
      </c>
      <c r="C216">
        <v>21399980</v>
      </c>
      <c r="D216">
        <v>33.545000000000002</v>
      </c>
      <c r="E216">
        <v>33.685000000000002</v>
      </c>
      <c r="F216">
        <v>33.47</v>
      </c>
    </row>
    <row r="217" spans="1:6" x14ac:dyDescent="0.25">
      <c r="A217" s="1">
        <v>44494</v>
      </c>
      <c r="B217">
        <v>33.479999999999997</v>
      </c>
      <c r="C217">
        <v>15160516</v>
      </c>
      <c r="D217">
        <v>33.575000000000003</v>
      </c>
      <c r="E217">
        <v>33.685000000000002</v>
      </c>
      <c r="F217">
        <v>33.397500000000001</v>
      </c>
    </row>
    <row r="218" spans="1:6" x14ac:dyDescent="0.25">
      <c r="A218" s="1">
        <v>44495</v>
      </c>
      <c r="B218">
        <v>33.659999999999997</v>
      </c>
      <c r="C218">
        <v>19391392</v>
      </c>
      <c r="D218">
        <v>33.51</v>
      </c>
      <c r="E218">
        <v>33.92</v>
      </c>
      <c r="F218">
        <v>33.454999999999998</v>
      </c>
    </row>
    <row r="219" spans="1:6" x14ac:dyDescent="0.25">
      <c r="A219" s="1">
        <v>44496</v>
      </c>
      <c r="B219">
        <v>33.435000000000002</v>
      </c>
      <c r="C219">
        <v>22263960</v>
      </c>
      <c r="D219">
        <v>33.74</v>
      </c>
      <c r="E219">
        <v>33.825000000000003</v>
      </c>
      <c r="F219">
        <v>33.4</v>
      </c>
    </row>
    <row r="220" spans="1:6" x14ac:dyDescent="0.25">
      <c r="A220" s="1">
        <v>44497</v>
      </c>
      <c r="B220">
        <v>33.655000000000001</v>
      </c>
      <c r="C220">
        <v>15443672</v>
      </c>
      <c r="D220">
        <v>33.405000000000001</v>
      </c>
      <c r="E220">
        <v>33.657499999999999</v>
      </c>
      <c r="F220">
        <v>33.365000000000002</v>
      </c>
    </row>
    <row r="221" spans="1:6" x14ac:dyDescent="0.25">
      <c r="A221" s="1">
        <v>44498</v>
      </c>
      <c r="B221">
        <v>33.454999999999998</v>
      </c>
      <c r="C221">
        <v>26667140</v>
      </c>
      <c r="D221">
        <v>33.645000000000003</v>
      </c>
      <c r="E221">
        <v>33.784999999999997</v>
      </c>
      <c r="F221">
        <v>33.29</v>
      </c>
    </row>
    <row r="222" spans="1:6" x14ac:dyDescent="0.25">
      <c r="A222" s="1">
        <v>44501</v>
      </c>
      <c r="B222">
        <v>33.575000000000003</v>
      </c>
      <c r="C222">
        <v>16182806</v>
      </c>
      <c r="D222">
        <v>33.445</v>
      </c>
      <c r="E222">
        <v>33.659999999999997</v>
      </c>
      <c r="F222">
        <v>33.340000000000003</v>
      </c>
    </row>
    <row r="223" spans="1:6" x14ac:dyDescent="0.25">
      <c r="A223" s="1">
        <v>44502</v>
      </c>
      <c r="B223">
        <v>33.604999999999997</v>
      </c>
      <c r="C223">
        <v>19865246</v>
      </c>
      <c r="D223">
        <v>33.700000000000003</v>
      </c>
      <c r="E223">
        <v>33.765000000000001</v>
      </c>
      <c r="F223">
        <v>33.365000000000002</v>
      </c>
    </row>
    <row r="224" spans="1:6" x14ac:dyDescent="0.25">
      <c r="A224" s="1">
        <v>44503</v>
      </c>
      <c r="B224">
        <v>33.479999999999997</v>
      </c>
      <c r="C224">
        <v>20969600</v>
      </c>
      <c r="D224">
        <v>33.549999999999997</v>
      </c>
      <c r="E224">
        <v>33.682499999999997</v>
      </c>
      <c r="F224">
        <v>33.207500000000003</v>
      </c>
    </row>
    <row r="225" spans="1:6" x14ac:dyDescent="0.25">
      <c r="A225" s="1">
        <v>44504</v>
      </c>
      <c r="B225">
        <v>33.295000000000002</v>
      </c>
      <c r="C225">
        <v>32183100</v>
      </c>
      <c r="D225">
        <v>33.43</v>
      </c>
      <c r="E225">
        <v>33.5</v>
      </c>
      <c r="F225">
        <v>32.950000000000003</v>
      </c>
    </row>
    <row r="226" spans="1:6" x14ac:dyDescent="0.25">
      <c r="A226" s="1">
        <v>44505</v>
      </c>
      <c r="B226">
        <v>33.61</v>
      </c>
      <c r="C226">
        <v>21584460</v>
      </c>
      <c r="D226">
        <v>33.405000000000001</v>
      </c>
      <c r="E226">
        <v>33.755000000000003</v>
      </c>
      <c r="F226">
        <v>33.369999999999997</v>
      </c>
    </row>
    <row r="227" spans="1:6" x14ac:dyDescent="0.25">
      <c r="A227" s="1">
        <v>44508</v>
      </c>
      <c r="B227">
        <v>33.11</v>
      </c>
      <c r="C227">
        <v>19670234</v>
      </c>
      <c r="D227">
        <v>33.65</v>
      </c>
      <c r="E227">
        <v>33.655000000000001</v>
      </c>
      <c r="F227">
        <v>32.950000000000003</v>
      </c>
    </row>
    <row r="228" spans="1:6" x14ac:dyDescent="0.25">
      <c r="A228" s="1">
        <v>44509</v>
      </c>
      <c r="B228">
        <v>33.28</v>
      </c>
      <c r="C228">
        <v>16489424</v>
      </c>
      <c r="D228">
        <v>33.17</v>
      </c>
      <c r="E228">
        <v>33.372500000000002</v>
      </c>
      <c r="F228">
        <v>33.064999999999998</v>
      </c>
    </row>
    <row r="229" spans="1:6" x14ac:dyDescent="0.25">
      <c r="A229" s="1">
        <v>44510</v>
      </c>
      <c r="B229">
        <v>33.549999999999997</v>
      </c>
      <c r="C229">
        <v>25833140</v>
      </c>
      <c r="D229">
        <v>33.305</v>
      </c>
      <c r="E229">
        <v>33.577500000000001</v>
      </c>
      <c r="F229">
        <v>33.284999999999997</v>
      </c>
    </row>
    <row r="230" spans="1:6" x14ac:dyDescent="0.25">
      <c r="A230" s="1">
        <v>44511</v>
      </c>
      <c r="B230">
        <v>33.344999999999999</v>
      </c>
      <c r="C230">
        <v>15747430</v>
      </c>
      <c r="D230">
        <v>33.53</v>
      </c>
      <c r="E230">
        <v>33.545000000000002</v>
      </c>
      <c r="F230">
        <v>33.171799999999998</v>
      </c>
    </row>
    <row r="231" spans="1:6" x14ac:dyDescent="0.25">
      <c r="A231" s="1">
        <v>44512</v>
      </c>
      <c r="B231">
        <v>33.325000000000003</v>
      </c>
      <c r="C231">
        <v>18179078</v>
      </c>
      <c r="D231">
        <v>33.335000000000001</v>
      </c>
      <c r="E231">
        <v>33.414999999999999</v>
      </c>
      <c r="F231">
        <v>33.18</v>
      </c>
    </row>
    <row r="232" spans="1:6" x14ac:dyDescent="0.25">
      <c r="A232" s="1">
        <v>44515</v>
      </c>
      <c r="B232">
        <v>33.765000000000001</v>
      </c>
      <c r="C232">
        <v>19003726</v>
      </c>
      <c r="D232">
        <v>33.47</v>
      </c>
      <c r="E232">
        <v>33.78</v>
      </c>
      <c r="F232">
        <v>33.4</v>
      </c>
    </row>
    <row r="233" spans="1:6" x14ac:dyDescent="0.25">
      <c r="A233" s="1">
        <v>44516</v>
      </c>
      <c r="B233">
        <v>33.604999999999997</v>
      </c>
      <c r="C233">
        <v>13213394</v>
      </c>
      <c r="D233">
        <v>33.78</v>
      </c>
      <c r="E233">
        <v>33.844999999999999</v>
      </c>
      <c r="F233">
        <v>33.582500000000003</v>
      </c>
    </row>
    <row r="234" spans="1:6" x14ac:dyDescent="0.25">
      <c r="A234" s="1">
        <v>44517</v>
      </c>
      <c r="B234">
        <v>33.634999999999998</v>
      </c>
      <c r="C234">
        <v>19001884</v>
      </c>
      <c r="D234">
        <v>33.524999999999999</v>
      </c>
      <c r="E234">
        <v>33.685000000000002</v>
      </c>
      <c r="F234">
        <v>33.354999999999997</v>
      </c>
    </row>
    <row r="235" spans="1:6" x14ac:dyDescent="0.25">
      <c r="A235" s="1">
        <v>44518</v>
      </c>
      <c r="B235">
        <v>33.46</v>
      </c>
      <c r="C235">
        <v>15305682</v>
      </c>
      <c r="D235">
        <v>33.58</v>
      </c>
      <c r="E235">
        <v>33.645000000000003</v>
      </c>
      <c r="F235">
        <v>33.347499999999997</v>
      </c>
    </row>
    <row r="236" spans="1:6" x14ac:dyDescent="0.25">
      <c r="A236" s="1">
        <v>44519</v>
      </c>
      <c r="B236">
        <v>33.65</v>
      </c>
      <c r="C236">
        <v>20606260</v>
      </c>
      <c r="D236">
        <v>33.505000000000003</v>
      </c>
      <c r="E236">
        <v>33.725000000000001</v>
      </c>
      <c r="F236">
        <v>33.414999999999999</v>
      </c>
    </row>
    <row r="237" spans="1:6" x14ac:dyDescent="0.25">
      <c r="A237" s="1">
        <v>44522</v>
      </c>
      <c r="B237">
        <v>33.854999999999997</v>
      </c>
      <c r="C237">
        <v>23154020</v>
      </c>
      <c r="D237">
        <v>33.625</v>
      </c>
      <c r="E237">
        <v>34.034999999999997</v>
      </c>
      <c r="F237">
        <v>33.534999999999997</v>
      </c>
    </row>
    <row r="238" spans="1:6" x14ac:dyDescent="0.25">
      <c r="A238" s="1">
        <v>44523</v>
      </c>
      <c r="B238">
        <v>33.89</v>
      </c>
      <c r="C238">
        <v>19040698</v>
      </c>
      <c r="D238">
        <v>33.85</v>
      </c>
      <c r="E238">
        <v>34.090000000000003</v>
      </c>
      <c r="F238">
        <v>33.685000000000002</v>
      </c>
    </row>
    <row r="239" spans="1:6" x14ac:dyDescent="0.25">
      <c r="A239" s="1">
        <v>44524</v>
      </c>
      <c r="B239">
        <v>33.909999999999997</v>
      </c>
      <c r="C239">
        <v>15931572</v>
      </c>
      <c r="D239">
        <v>33.875</v>
      </c>
      <c r="E239">
        <v>33.978700000000003</v>
      </c>
      <c r="F239">
        <v>33.700000000000003</v>
      </c>
    </row>
    <row r="240" spans="1:6" x14ac:dyDescent="0.25">
      <c r="A240" s="1">
        <v>44526</v>
      </c>
      <c r="B240">
        <v>33.380000000000003</v>
      </c>
      <c r="C240">
        <v>21854540</v>
      </c>
      <c r="D240">
        <v>33.67</v>
      </c>
      <c r="E240">
        <v>33.89</v>
      </c>
      <c r="F240">
        <v>33.295499999999997</v>
      </c>
    </row>
    <row r="241" spans="1:6" x14ac:dyDescent="0.25">
      <c r="A241" s="1">
        <v>44529</v>
      </c>
      <c r="B241">
        <v>33.875</v>
      </c>
      <c r="C241">
        <v>22822280</v>
      </c>
      <c r="D241">
        <v>33.64</v>
      </c>
      <c r="E241">
        <v>33.967500000000001</v>
      </c>
      <c r="F241">
        <v>33.369999999999997</v>
      </c>
    </row>
    <row r="242" spans="1:6" x14ac:dyDescent="0.25">
      <c r="A242" s="1">
        <v>44530</v>
      </c>
      <c r="B242">
        <v>32.884999999999998</v>
      </c>
      <c r="C242">
        <v>48622960</v>
      </c>
      <c r="D242">
        <v>33.715000000000003</v>
      </c>
      <c r="E242">
        <v>33.72</v>
      </c>
      <c r="F242">
        <v>32.854999999999997</v>
      </c>
    </row>
    <row r="243" spans="1:6" x14ac:dyDescent="0.25">
      <c r="A243" s="1">
        <v>44531</v>
      </c>
      <c r="B243">
        <v>32.945</v>
      </c>
      <c r="C243">
        <v>46024720</v>
      </c>
      <c r="D243">
        <v>33.104999999999997</v>
      </c>
      <c r="E243">
        <v>33.74</v>
      </c>
      <c r="F243">
        <v>32.924999999999997</v>
      </c>
    </row>
    <row r="244" spans="1:6" x14ac:dyDescent="0.25">
      <c r="A244" s="1">
        <v>44532</v>
      </c>
      <c r="B244">
        <v>33.365000000000002</v>
      </c>
      <c r="C244">
        <v>35050200</v>
      </c>
      <c r="D244">
        <v>33.024999999999999</v>
      </c>
      <c r="E244">
        <v>33.674999999999997</v>
      </c>
      <c r="F244">
        <v>33.024999999999999</v>
      </c>
    </row>
    <row r="245" spans="1:6" x14ac:dyDescent="0.25">
      <c r="A245" s="1">
        <v>44533</v>
      </c>
      <c r="B245">
        <v>33.700000000000003</v>
      </c>
      <c r="C245">
        <v>42771460</v>
      </c>
      <c r="D245">
        <v>33.53</v>
      </c>
      <c r="E245">
        <v>33.71</v>
      </c>
      <c r="F245">
        <v>33.042499999999997</v>
      </c>
    </row>
    <row r="246" spans="1:6" x14ac:dyDescent="0.25">
      <c r="A246" s="1">
        <v>44536</v>
      </c>
      <c r="B246">
        <v>34.215000000000003</v>
      </c>
      <c r="C246">
        <v>47221920</v>
      </c>
      <c r="D246">
        <v>33.92</v>
      </c>
      <c r="E246">
        <v>34.57</v>
      </c>
      <c r="F246">
        <v>33.905000000000001</v>
      </c>
    </row>
    <row r="247" spans="1:6" x14ac:dyDescent="0.25">
      <c r="A247" s="1">
        <v>44537</v>
      </c>
      <c r="B247">
        <v>34.47</v>
      </c>
      <c r="C247">
        <v>21789020</v>
      </c>
      <c r="D247">
        <v>34.22</v>
      </c>
      <c r="E247">
        <v>34.552500000000002</v>
      </c>
      <c r="F247">
        <v>34.130000000000003</v>
      </c>
    </row>
    <row r="248" spans="1:6" x14ac:dyDescent="0.25">
      <c r="A248" s="1">
        <v>44538</v>
      </c>
      <c r="B248">
        <v>34.435000000000002</v>
      </c>
      <c r="C248">
        <v>25994500</v>
      </c>
      <c r="D248">
        <v>34.5</v>
      </c>
      <c r="E248">
        <v>34.667499999999997</v>
      </c>
      <c r="F248">
        <v>34.25</v>
      </c>
    </row>
    <row r="249" spans="1:6" x14ac:dyDescent="0.25">
      <c r="A249" s="1">
        <v>44539</v>
      </c>
      <c r="B249">
        <v>34.39</v>
      </c>
      <c r="C249">
        <v>23783720</v>
      </c>
      <c r="D249">
        <v>34.515000000000001</v>
      </c>
      <c r="E249">
        <v>34.582500000000003</v>
      </c>
      <c r="F249">
        <v>34.155000000000001</v>
      </c>
    </row>
    <row r="250" spans="1:6" x14ac:dyDescent="0.25">
      <c r="A250" s="1">
        <v>44540</v>
      </c>
      <c r="B250">
        <v>34.575000000000003</v>
      </c>
      <c r="C250">
        <v>23404020</v>
      </c>
      <c r="D250">
        <v>34.53</v>
      </c>
      <c r="E250">
        <v>34.7395</v>
      </c>
      <c r="F250">
        <v>34.395000000000003</v>
      </c>
    </row>
    <row r="251" spans="1:6" x14ac:dyDescent="0.25">
      <c r="A251" s="1">
        <v>44543</v>
      </c>
      <c r="B251">
        <v>35</v>
      </c>
      <c r="C251">
        <v>27500300</v>
      </c>
      <c r="D251">
        <v>34.54</v>
      </c>
      <c r="E251">
        <v>35.17</v>
      </c>
      <c r="F251">
        <v>34.54</v>
      </c>
    </row>
    <row r="252" spans="1:6" x14ac:dyDescent="0.25">
      <c r="A252" s="1">
        <v>44544</v>
      </c>
      <c r="B252">
        <v>34.79</v>
      </c>
      <c r="C252">
        <v>35005380</v>
      </c>
      <c r="D252">
        <v>34.994999999999997</v>
      </c>
      <c r="E252">
        <v>35.064999999999998</v>
      </c>
      <c r="F252">
        <v>34.625</v>
      </c>
    </row>
    <row r="253" spans="1:6" x14ac:dyDescent="0.25">
      <c r="A253" s="1">
        <v>44545</v>
      </c>
      <c r="B253">
        <v>35.36</v>
      </c>
      <c r="C253">
        <v>45364920</v>
      </c>
      <c r="D253">
        <v>34.75</v>
      </c>
      <c r="E253">
        <v>35.39</v>
      </c>
      <c r="F253">
        <v>34.75</v>
      </c>
    </row>
    <row r="254" spans="1:6" x14ac:dyDescent="0.25">
      <c r="A254" s="1">
        <v>44546</v>
      </c>
      <c r="B254">
        <v>35.54</v>
      </c>
      <c r="C254">
        <v>30209260</v>
      </c>
      <c r="D254">
        <v>35.325000000000003</v>
      </c>
      <c r="E254">
        <v>35.755000000000003</v>
      </c>
      <c r="F254">
        <v>35.295000000000002</v>
      </c>
    </row>
    <row r="255" spans="1:6" x14ac:dyDescent="0.25">
      <c r="A255" s="1">
        <v>44547</v>
      </c>
      <c r="B255">
        <v>35.005000000000003</v>
      </c>
      <c r="C255">
        <v>43674160</v>
      </c>
      <c r="D255">
        <v>35.405000000000001</v>
      </c>
      <c r="E255">
        <v>35.58</v>
      </c>
      <c r="F255">
        <v>34.93</v>
      </c>
    </row>
    <row r="256" spans="1:6" x14ac:dyDescent="0.25">
      <c r="A256" s="1">
        <v>44550</v>
      </c>
      <c r="B256">
        <v>34.765000000000001</v>
      </c>
      <c r="C256">
        <v>30091540</v>
      </c>
      <c r="D256">
        <v>34.4</v>
      </c>
      <c r="E256">
        <v>34.799999999999997</v>
      </c>
      <c r="F256">
        <v>34.1175</v>
      </c>
    </row>
    <row r="257" spans="1:6" x14ac:dyDescent="0.25">
      <c r="A257" s="1">
        <v>44551</v>
      </c>
      <c r="B257">
        <v>34.715000000000003</v>
      </c>
      <c r="C257">
        <v>32355880</v>
      </c>
      <c r="D257">
        <v>34.875</v>
      </c>
      <c r="E257">
        <v>35.102499999999999</v>
      </c>
      <c r="F257">
        <v>34.53</v>
      </c>
    </row>
    <row r="258" spans="1:6" x14ac:dyDescent="0.25">
      <c r="A258" s="1">
        <v>44552</v>
      </c>
      <c r="B258">
        <v>34.865000000000002</v>
      </c>
      <c r="C258">
        <v>18967756</v>
      </c>
      <c r="D258">
        <v>34.659999999999997</v>
      </c>
      <c r="E258">
        <v>34.914999999999999</v>
      </c>
      <c r="F258">
        <v>34.61</v>
      </c>
    </row>
    <row r="259" spans="1:6" x14ac:dyDescent="0.25">
      <c r="A259" s="1">
        <v>44553</v>
      </c>
      <c r="B259">
        <v>34.86</v>
      </c>
      <c r="C259">
        <v>14505676</v>
      </c>
      <c r="D259">
        <v>34.884999999999998</v>
      </c>
      <c r="E259">
        <v>35.04</v>
      </c>
      <c r="F259">
        <v>34.822499999999998</v>
      </c>
    </row>
    <row r="260" spans="1:6" x14ac:dyDescent="0.25">
      <c r="A260" s="1">
        <v>44557</v>
      </c>
      <c r="B260">
        <v>35.03</v>
      </c>
      <c r="C260">
        <v>15707370</v>
      </c>
      <c r="D260">
        <v>34.875</v>
      </c>
      <c r="E260">
        <v>35.03</v>
      </c>
      <c r="F260">
        <v>34.770000000000003</v>
      </c>
    </row>
    <row r="261" spans="1:6" x14ac:dyDescent="0.25">
      <c r="A261" s="1">
        <v>44558</v>
      </c>
      <c r="B261">
        <v>35.344999999999999</v>
      </c>
      <c r="C261">
        <v>16105448</v>
      </c>
      <c r="D261">
        <v>35.08</v>
      </c>
      <c r="E261">
        <v>35.354999999999997</v>
      </c>
      <c r="F261">
        <v>35.055</v>
      </c>
    </row>
    <row r="262" spans="1:6" x14ac:dyDescent="0.25">
      <c r="A262" s="1">
        <v>44559</v>
      </c>
      <c r="B262">
        <v>35.534999999999997</v>
      </c>
      <c r="C262">
        <v>13755698</v>
      </c>
      <c r="D262">
        <v>35.384999999999998</v>
      </c>
      <c r="E262">
        <v>35.590000000000003</v>
      </c>
      <c r="F262">
        <v>35.325000000000003</v>
      </c>
    </row>
    <row r="263" spans="1:6" x14ac:dyDescent="0.25">
      <c r="A263" s="1">
        <v>44560</v>
      </c>
      <c r="B263">
        <v>35.664999999999999</v>
      </c>
      <c r="C263">
        <v>18672428</v>
      </c>
      <c r="D263">
        <v>35.630000000000003</v>
      </c>
      <c r="E263">
        <v>35.700000000000003</v>
      </c>
      <c r="F263">
        <v>35.405000000000001</v>
      </c>
    </row>
    <row r="264" spans="1:6" x14ac:dyDescent="0.25">
      <c r="A264" s="1">
        <v>44561</v>
      </c>
      <c r="B264">
        <v>35.79</v>
      </c>
      <c r="C264">
        <v>18618800</v>
      </c>
      <c r="D264">
        <v>35.590000000000003</v>
      </c>
      <c r="E264">
        <v>35.914999999999999</v>
      </c>
      <c r="F264">
        <v>35.520000000000003</v>
      </c>
    </row>
    <row r="265" spans="1:6" x14ac:dyDescent="0.25">
      <c r="A265" s="1">
        <v>44564</v>
      </c>
      <c r="B265">
        <v>35.435000000000002</v>
      </c>
      <c r="C265">
        <v>43299680</v>
      </c>
      <c r="D265">
        <v>35.774999999999999</v>
      </c>
      <c r="E265">
        <v>35.783700000000003</v>
      </c>
      <c r="F265">
        <v>35.027500000000003</v>
      </c>
    </row>
    <row r="266" spans="1:6" x14ac:dyDescent="0.25">
      <c r="A266" s="1">
        <v>44565</v>
      </c>
      <c r="B266">
        <v>35.325000000000003</v>
      </c>
      <c r="C266">
        <v>29322180</v>
      </c>
      <c r="D266">
        <v>35.435000000000002</v>
      </c>
      <c r="E266">
        <v>35.777500000000003</v>
      </c>
      <c r="F266">
        <v>35.314999999999998</v>
      </c>
    </row>
    <row r="267" spans="1:6" x14ac:dyDescent="0.25">
      <c r="A267" s="1">
        <v>44566</v>
      </c>
      <c r="B267">
        <v>35.305</v>
      </c>
      <c r="C267">
        <v>44486440</v>
      </c>
      <c r="D267">
        <v>35.299999999999997</v>
      </c>
      <c r="E267">
        <v>35.702500000000001</v>
      </c>
      <c r="F267">
        <v>35.270000000000003</v>
      </c>
    </row>
    <row r="268" spans="1:6" x14ac:dyDescent="0.25">
      <c r="A268" s="1">
        <v>44567</v>
      </c>
      <c r="B268">
        <v>34.94</v>
      </c>
      <c r="C268">
        <v>36259820</v>
      </c>
      <c r="D268">
        <v>35.305</v>
      </c>
      <c r="E268">
        <v>35.450000000000003</v>
      </c>
      <c r="F268">
        <v>34.9</v>
      </c>
    </row>
    <row r="269" spans="1:6" x14ac:dyDescent="0.25">
      <c r="A269" s="1">
        <v>44568</v>
      </c>
      <c r="B269">
        <v>35.204999999999998</v>
      </c>
      <c r="C269">
        <v>39272060</v>
      </c>
      <c r="D269">
        <v>34.865000000000002</v>
      </c>
      <c r="E269">
        <v>35.375</v>
      </c>
      <c r="F269">
        <v>34.65</v>
      </c>
    </row>
    <row r="270" spans="1:6" x14ac:dyDescent="0.25">
      <c r="A270" s="1">
        <v>44571</v>
      </c>
      <c r="B270">
        <v>34.975000000000001</v>
      </c>
      <c r="C270">
        <v>31170000</v>
      </c>
      <c r="D270">
        <v>35.174999999999997</v>
      </c>
      <c r="E270">
        <v>35.225000000000001</v>
      </c>
      <c r="F270">
        <v>34.802500000000002</v>
      </c>
    </row>
    <row r="271" spans="1:6" x14ac:dyDescent="0.25">
      <c r="A271" s="1">
        <v>44572</v>
      </c>
      <c r="B271">
        <v>34.659999999999997</v>
      </c>
      <c r="C271">
        <v>33653760</v>
      </c>
      <c r="D271">
        <v>34.945</v>
      </c>
      <c r="E271">
        <v>35.075000000000003</v>
      </c>
      <c r="F271">
        <v>34.427500000000002</v>
      </c>
    </row>
    <row r="272" spans="1:6" x14ac:dyDescent="0.25">
      <c r="A272" s="1">
        <v>44573</v>
      </c>
      <c r="B272">
        <v>34.770000000000003</v>
      </c>
      <c r="C272">
        <v>28113600</v>
      </c>
      <c r="D272">
        <v>34.549999999999997</v>
      </c>
      <c r="E272">
        <v>34.862000000000002</v>
      </c>
      <c r="F272">
        <v>34.450000000000003</v>
      </c>
    </row>
    <row r="273" spans="1:6" x14ac:dyDescent="0.25">
      <c r="A273" s="1">
        <v>44574</v>
      </c>
      <c r="B273">
        <v>34.94</v>
      </c>
      <c r="C273">
        <v>33948960</v>
      </c>
      <c r="D273">
        <v>34.755000000000003</v>
      </c>
      <c r="E273">
        <v>35.075000000000003</v>
      </c>
      <c r="F273">
        <v>34.734999999999999</v>
      </c>
    </row>
    <row r="274" spans="1:6" x14ac:dyDescent="0.25">
      <c r="A274" s="1">
        <v>44575</v>
      </c>
      <c r="B274">
        <v>34.700000000000003</v>
      </c>
      <c r="C274">
        <v>32547580</v>
      </c>
      <c r="D274">
        <v>34.94</v>
      </c>
      <c r="E274">
        <v>35.005000000000003</v>
      </c>
      <c r="F274">
        <v>34.524999999999999</v>
      </c>
    </row>
    <row r="275" spans="1:6" x14ac:dyDescent="0.25">
      <c r="A275" s="1">
        <v>44579</v>
      </c>
      <c r="B275">
        <v>34.284999999999997</v>
      </c>
      <c r="C275">
        <v>35535020</v>
      </c>
      <c r="D275">
        <v>34.445</v>
      </c>
      <c r="E275">
        <v>34.505000000000003</v>
      </c>
      <c r="F275">
        <v>34.015000000000001</v>
      </c>
    </row>
    <row r="276" spans="1:6" x14ac:dyDescent="0.25">
      <c r="A276" s="1">
        <v>44580</v>
      </c>
      <c r="B276">
        <v>34.44</v>
      </c>
      <c r="C276">
        <v>32051580</v>
      </c>
      <c r="D276">
        <v>34.295000000000002</v>
      </c>
      <c r="E276">
        <v>34.744399999999999</v>
      </c>
      <c r="F276">
        <v>34.284999999999997</v>
      </c>
    </row>
    <row r="277" spans="1:6" x14ac:dyDescent="0.25">
      <c r="A277" s="1">
        <v>44581</v>
      </c>
      <c r="B277">
        <v>34.484999999999999</v>
      </c>
      <c r="C277">
        <v>29529620</v>
      </c>
      <c r="D277">
        <v>34.545000000000002</v>
      </c>
      <c r="E277">
        <v>34.984999999999999</v>
      </c>
      <c r="F277">
        <v>34.445</v>
      </c>
    </row>
    <row r="278" spans="1:6" x14ac:dyDescent="0.25">
      <c r="A278" s="1">
        <v>44582</v>
      </c>
      <c r="B278">
        <v>34.42</v>
      </c>
      <c r="C278">
        <v>48542920</v>
      </c>
      <c r="D278">
        <v>34.655000000000001</v>
      </c>
      <c r="E278">
        <v>34.835000000000001</v>
      </c>
      <c r="F278">
        <v>34.352499999999999</v>
      </c>
    </row>
    <row r="279" spans="1:6" x14ac:dyDescent="0.25">
      <c r="A279" s="1">
        <v>44585</v>
      </c>
      <c r="B279">
        <v>34.090000000000003</v>
      </c>
      <c r="C279">
        <v>57602260</v>
      </c>
      <c r="D279">
        <v>34.380000000000003</v>
      </c>
      <c r="E279">
        <v>34.49</v>
      </c>
      <c r="F279">
        <v>33.215000000000003</v>
      </c>
    </row>
    <row r="280" spans="1:6" x14ac:dyDescent="0.25">
      <c r="A280" s="1">
        <v>44586</v>
      </c>
      <c r="B280">
        <v>33.555</v>
      </c>
      <c r="C280">
        <v>52218520</v>
      </c>
      <c r="D280">
        <v>33.56</v>
      </c>
      <c r="E280">
        <v>33.96</v>
      </c>
      <c r="F280">
        <v>33.4</v>
      </c>
    </row>
    <row r="281" spans="1:6" x14ac:dyDescent="0.25">
      <c r="A281" s="1">
        <v>44587</v>
      </c>
      <c r="B281">
        <v>33.28</v>
      </c>
      <c r="C281">
        <v>49234160</v>
      </c>
      <c r="D281">
        <v>33.619999999999997</v>
      </c>
      <c r="E281">
        <v>33.982500000000002</v>
      </c>
      <c r="F281">
        <v>33.094999999999999</v>
      </c>
    </row>
    <row r="282" spans="1:6" x14ac:dyDescent="0.25">
      <c r="A282" s="1">
        <v>44588</v>
      </c>
      <c r="B282">
        <v>33.575000000000003</v>
      </c>
      <c r="C282">
        <v>44981960</v>
      </c>
      <c r="D282">
        <v>33.590000000000003</v>
      </c>
      <c r="E282">
        <v>33.994999999999997</v>
      </c>
      <c r="F282">
        <v>33.409999999999997</v>
      </c>
    </row>
    <row r="283" spans="1:6" x14ac:dyDescent="0.25">
      <c r="A283" s="1">
        <v>44589</v>
      </c>
      <c r="B283">
        <v>33.979999999999997</v>
      </c>
      <c r="C283">
        <v>50050440</v>
      </c>
      <c r="D283">
        <v>33.484999999999999</v>
      </c>
      <c r="E283">
        <v>34.008000000000003</v>
      </c>
      <c r="F283">
        <v>33.229999999999997</v>
      </c>
    </row>
    <row r="284" spans="1:6" x14ac:dyDescent="0.25">
      <c r="A284" s="1">
        <v>44592</v>
      </c>
      <c r="B284">
        <v>34.625</v>
      </c>
      <c r="C284">
        <v>52579960</v>
      </c>
      <c r="D284">
        <v>33.78</v>
      </c>
      <c r="E284">
        <v>34.655000000000001</v>
      </c>
      <c r="F284">
        <v>33.71</v>
      </c>
    </row>
    <row r="285" spans="1:6" x14ac:dyDescent="0.25">
      <c r="A285" s="1">
        <v>44593</v>
      </c>
      <c r="B285">
        <v>34.164999999999999</v>
      </c>
      <c r="C285">
        <v>41020240</v>
      </c>
      <c r="D285">
        <v>34.53</v>
      </c>
      <c r="E285">
        <v>34.715000000000003</v>
      </c>
      <c r="F285">
        <v>33.847499999999997</v>
      </c>
    </row>
    <row r="286" spans="1:6" x14ac:dyDescent="0.25">
      <c r="A286" s="1">
        <v>44594</v>
      </c>
      <c r="B286">
        <v>34.67</v>
      </c>
      <c r="C286">
        <v>45723740</v>
      </c>
      <c r="D286">
        <v>34.14</v>
      </c>
      <c r="E286">
        <v>34.72</v>
      </c>
      <c r="F286">
        <v>34.08</v>
      </c>
    </row>
    <row r="287" spans="1:6" x14ac:dyDescent="0.25">
      <c r="A287" s="1">
        <v>44595</v>
      </c>
      <c r="B287">
        <v>34.515000000000001</v>
      </c>
      <c r="C287">
        <v>34289720</v>
      </c>
      <c r="D287">
        <v>34.57</v>
      </c>
      <c r="E287">
        <v>34.729999999999997</v>
      </c>
      <c r="F287">
        <v>34.42</v>
      </c>
    </row>
    <row r="288" spans="1:6" x14ac:dyDescent="0.25">
      <c r="A288" s="1">
        <v>44596</v>
      </c>
      <c r="B288">
        <v>34.24</v>
      </c>
      <c r="C288">
        <v>37029100</v>
      </c>
      <c r="D288">
        <v>34.215000000000003</v>
      </c>
      <c r="E288">
        <v>34.545000000000002</v>
      </c>
      <c r="F288">
        <v>33.895000000000003</v>
      </c>
    </row>
    <row r="289" spans="1:6" x14ac:dyDescent="0.25">
      <c r="A289" s="1">
        <v>44599</v>
      </c>
      <c r="B289">
        <v>34.19</v>
      </c>
      <c r="C289">
        <v>27543840</v>
      </c>
      <c r="D289">
        <v>34.18</v>
      </c>
      <c r="E289">
        <v>34.33</v>
      </c>
      <c r="F289">
        <v>33.979999999999997</v>
      </c>
    </row>
    <row r="290" spans="1:6" x14ac:dyDescent="0.25">
      <c r="A290" s="1">
        <v>44600</v>
      </c>
      <c r="B290">
        <v>34.215000000000003</v>
      </c>
      <c r="C290">
        <v>38853240</v>
      </c>
      <c r="D290">
        <v>34.33</v>
      </c>
      <c r="E290">
        <v>34.44</v>
      </c>
      <c r="F290">
        <v>34.130000000000003</v>
      </c>
    </row>
    <row r="291" spans="1:6" x14ac:dyDescent="0.25">
      <c r="A291" s="1">
        <v>44601</v>
      </c>
      <c r="B291">
        <v>34.365000000000002</v>
      </c>
      <c r="C291">
        <v>35231700</v>
      </c>
      <c r="D291">
        <v>34.46</v>
      </c>
      <c r="E291">
        <v>34.54</v>
      </c>
      <c r="F291">
        <v>34.26</v>
      </c>
    </row>
    <row r="292" spans="1:6" x14ac:dyDescent="0.25">
      <c r="A292" s="1">
        <v>44602</v>
      </c>
      <c r="B292">
        <v>33.494999999999997</v>
      </c>
      <c r="C292">
        <v>45060040</v>
      </c>
      <c r="D292">
        <v>34.024999999999999</v>
      </c>
      <c r="E292">
        <v>34.1875</v>
      </c>
      <c r="F292">
        <v>33.424999999999997</v>
      </c>
    </row>
    <row r="293" spans="1:6" x14ac:dyDescent="0.25">
      <c r="A293" s="1">
        <v>44603</v>
      </c>
      <c r="B293">
        <v>33.515000000000001</v>
      </c>
      <c r="C293">
        <v>36059720</v>
      </c>
      <c r="D293">
        <v>33.64</v>
      </c>
      <c r="E293">
        <v>33.89</v>
      </c>
      <c r="F293">
        <v>33.3675</v>
      </c>
    </row>
    <row r="294" spans="1:6" x14ac:dyDescent="0.25">
      <c r="A294" s="1">
        <v>44606</v>
      </c>
      <c r="B294">
        <v>33.229999999999997</v>
      </c>
      <c r="C294">
        <v>37112260</v>
      </c>
      <c r="D294">
        <v>33.625</v>
      </c>
      <c r="E294">
        <v>33.68</v>
      </c>
      <c r="F294">
        <v>32.909999999999997</v>
      </c>
    </row>
    <row r="295" spans="1:6" x14ac:dyDescent="0.25">
      <c r="A295" s="1">
        <v>44607</v>
      </c>
      <c r="B295">
        <v>33.075000000000003</v>
      </c>
      <c r="C295">
        <v>34175040</v>
      </c>
      <c r="D295">
        <v>33.435000000000002</v>
      </c>
      <c r="E295">
        <v>33.564999999999998</v>
      </c>
      <c r="F295">
        <v>32.924999999999997</v>
      </c>
    </row>
    <row r="296" spans="1:6" x14ac:dyDescent="0.25">
      <c r="A296" s="1">
        <v>44608</v>
      </c>
      <c r="B296">
        <v>33.15</v>
      </c>
      <c r="C296">
        <v>32184600</v>
      </c>
      <c r="D296">
        <v>33.119999999999997</v>
      </c>
      <c r="E296">
        <v>33.292499999999997</v>
      </c>
      <c r="F296">
        <v>32.825000000000003</v>
      </c>
    </row>
    <row r="297" spans="1:6" x14ac:dyDescent="0.25">
      <c r="A297" s="1">
        <v>44609</v>
      </c>
      <c r="B297">
        <v>33.17</v>
      </c>
      <c r="C297">
        <v>29159860</v>
      </c>
      <c r="D297">
        <v>33</v>
      </c>
      <c r="E297">
        <v>33.327500000000001</v>
      </c>
      <c r="F297">
        <v>32.765000000000001</v>
      </c>
    </row>
    <row r="298" spans="1:6" x14ac:dyDescent="0.25">
      <c r="A298" s="1">
        <v>44610</v>
      </c>
      <c r="B298">
        <v>33.11</v>
      </c>
      <c r="C298">
        <v>33687020</v>
      </c>
      <c r="D298">
        <v>33.06</v>
      </c>
      <c r="E298">
        <v>33.384999999999998</v>
      </c>
      <c r="F298">
        <v>32.96</v>
      </c>
    </row>
    <row r="299" spans="1:6" x14ac:dyDescent="0.25">
      <c r="A299" s="1">
        <v>44614</v>
      </c>
      <c r="B299">
        <v>33.075000000000003</v>
      </c>
      <c r="C299">
        <v>34421720</v>
      </c>
      <c r="D299">
        <v>33.229999999999997</v>
      </c>
      <c r="E299">
        <v>33.31</v>
      </c>
      <c r="F299">
        <v>32.85</v>
      </c>
    </row>
    <row r="300" spans="1:6" x14ac:dyDescent="0.25">
      <c r="A300" s="1">
        <v>44615</v>
      </c>
      <c r="B300">
        <v>32.515000000000001</v>
      </c>
      <c r="C300">
        <v>34583540</v>
      </c>
      <c r="D300">
        <v>33.134999999999998</v>
      </c>
      <c r="E300">
        <v>33.234999999999999</v>
      </c>
      <c r="F300">
        <v>32.479999999999997</v>
      </c>
    </row>
    <row r="301" spans="1:6" x14ac:dyDescent="0.25">
      <c r="A301" s="1">
        <v>44616</v>
      </c>
      <c r="B301">
        <v>32.774999999999999</v>
      </c>
      <c r="C301">
        <v>57319980</v>
      </c>
      <c r="D301">
        <v>32.305</v>
      </c>
      <c r="E301">
        <v>32.837499999999999</v>
      </c>
      <c r="F301">
        <v>32.141800000000003</v>
      </c>
    </row>
    <row r="302" spans="1:6" x14ac:dyDescent="0.25">
      <c r="A302" s="1">
        <v>44617</v>
      </c>
      <c r="B302">
        <v>33.79</v>
      </c>
      <c r="C302">
        <v>42528240</v>
      </c>
      <c r="D302">
        <v>33.064999999999998</v>
      </c>
      <c r="E302">
        <v>33.83</v>
      </c>
      <c r="F302">
        <v>32.99</v>
      </c>
    </row>
    <row r="303" spans="1:6" x14ac:dyDescent="0.25">
      <c r="A303" s="1">
        <v>44620</v>
      </c>
      <c r="B303">
        <v>33.965000000000003</v>
      </c>
      <c r="C303">
        <v>36705180</v>
      </c>
      <c r="D303">
        <v>33.585000000000001</v>
      </c>
      <c r="E303">
        <v>34.015000000000001</v>
      </c>
      <c r="F303">
        <v>33.545000000000002</v>
      </c>
    </row>
    <row r="304" spans="1:6" x14ac:dyDescent="0.25">
      <c r="A304" s="1">
        <v>44621</v>
      </c>
      <c r="B304">
        <v>33.67</v>
      </c>
      <c r="C304">
        <v>33464780</v>
      </c>
      <c r="D304">
        <v>33.895000000000003</v>
      </c>
      <c r="E304">
        <v>34.19</v>
      </c>
      <c r="F304">
        <v>33.417499999999997</v>
      </c>
    </row>
    <row r="305" spans="1:6" x14ac:dyDescent="0.25">
      <c r="A305" s="1">
        <v>44622</v>
      </c>
      <c r="B305">
        <v>34.08</v>
      </c>
      <c r="C305">
        <v>29259760</v>
      </c>
      <c r="D305">
        <v>33.685000000000002</v>
      </c>
      <c r="E305">
        <v>34.204999999999998</v>
      </c>
      <c r="F305">
        <v>33.667499999999997</v>
      </c>
    </row>
    <row r="306" spans="1:6" x14ac:dyDescent="0.25">
      <c r="A306" s="1">
        <v>44623</v>
      </c>
      <c r="B306">
        <v>34.68</v>
      </c>
      <c r="C306">
        <v>41471220</v>
      </c>
      <c r="D306">
        <v>34.215000000000003</v>
      </c>
      <c r="E306">
        <v>34.85</v>
      </c>
      <c r="F306">
        <v>34.185000000000002</v>
      </c>
    </row>
    <row r="307" spans="1:6" x14ac:dyDescent="0.25">
      <c r="A307" s="1">
        <v>44624</v>
      </c>
      <c r="B307">
        <v>35.445</v>
      </c>
      <c r="C307">
        <v>48684500</v>
      </c>
      <c r="D307">
        <v>34.590000000000003</v>
      </c>
      <c r="E307">
        <v>35.475000000000001</v>
      </c>
      <c r="F307">
        <v>34.520000000000003</v>
      </c>
    </row>
    <row r="308" spans="1:6" x14ac:dyDescent="0.25">
      <c r="A308" s="1">
        <v>44627</v>
      </c>
      <c r="B308">
        <v>35.905000000000001</v>
      </c>
      <c r="C308">
        <v>61944080</v>
      </c>
      <c r="D308">
        <v>35.524999999999999</v>
      </c>
      <c r="E308">
        <v>35.982500000000002</v>
      </c>
      <c r="F308">
        <v>35.225000000000001</v>
      </c>
    </row>
    <row r="309" spans="1:6" x14ac:dyDescent="0.25">
      <c r="A309" s="1">
        <v>44628</v>
      </c>
      <c r="B309">
        <v>35.35</v>
      </c>
      <c r="C309">
        <v>53129720</v>
      </c>
      <c r="D309">
        <v>36</v>
      </c>
      <c r="E309">
        <v>36.185000000000002</v>
      </c>
      <c r="F309">
        <v>35.335000000000001</v>
      </c>
    </row>
    <row r="310" spans="1:6" x14ac:dyDescent="0.25">
      <c r="A310" s="1">
        <v>44629</v>
      </c>
      <c r="B310">
        <v>35.1</v>
      </c>
      <c r="C310">
        <v>50953760</v>
      </c>
      <c r="D310">
        <v>35.604999999999997</v>
      </c>
      <c r="E310">
        <v>35.655000000000001</v>
      </c>
      <c r="F310">
        <v>35.034999999999997</v>
      </c>
    </row>
    <row r="311" spans="1:6" x14ac:dyDescent="0.25">
      <c r="A311" s="1">
        <v>44630</v>
      </c>
      <c r="B311">
        <v>35.335000000000001</v>
      </c>
      <c r="C311">
        <v>34039760</v>
      </c>
      <c r="D311">
        <v>34.835000000000001</v>
      </c>
      <c r="E311">
        <v>35.405000000000001</v>
      </c>
      <c r="F311">
        <v>34.81</v>
      </c>
    </row>
    <row r="312" spans="1:6" x14ac:dyDescent="0.25">
      <c r="A312" s="1">
        <v>44631</v>
      </c>
      <c r="B312">
        <v>35.215000000000003</v>
      </c>
      <c r="C312">
        <v>24988420</v>
      </c>
      <c r="D312">
        <v>35.39</v>
      </c>
      <c r="E312">
        <v>35.625</v>
      </c>
      <c r="F312">
        <v>35.18</v>
      </c>
    </row>
    <row r="313" spans="1:6" x14ac:dyDescent="0.25">
      <c r="A313" s="1">
        <v>44634</v>
      </c>
      <c r="B313">
        <v>35.174999999999997</v>
      </c>
      <c r="C313">
        <v>41004580</v>
      </c>
      <c r="D313">
        <v>35.44</v>
      </c>
      <c r="E313">
        <v>35.619999999999997</v>
      </c>
      <c r="F313">
        <v>34.994999999999997</v>
      </c>
    </row>
    <row r="314" spans="1:6" x14ac:dyDescent="0.25">
      <c r="A314" s="1">
        <v>44635</v>
      </c>
      <c r="B314">
        <v>35.625</v>
      </c>
      <c r="C314">
        <v>29004420</v>
      </c>
      <c r="D314">
        <v>35.515000000000001</v>
      </c>
      <c r="E314">
        <v>35.700000000000003</v>
      </c>
      <c r="F314">
        <v>35.31</v>
      </c>
    </row>
    <row r="315" spans="1:6" x14ac:dyDescent="0.25">
      <c r="A315" s="1">
        <v>44636</v>
      </c>
      <c r="B315">
        <v>35.56</v>
      </c>
      <c r="C315">
        <v>40011880</v>
      </c>
      <c r="D315">
        <v>35.58</v>
      </c>
      <c r="E315">
        <v>35.734999999999999</v>
      </c>
      <c r="F315">
        <v>35.055</v>
      </c>
    </row>
    <row r="316" spans="1:6" x14ac:dyDescent="0.25">
      <c r="A316" s="1">
        <v>44637</v>
      </c>
      <c r="B316">
        <v>35.71</v>
      </c>
      <c r="C316">
        <v>31830440</v>
      </c>
      <c r="D316">
        <v>35.58</v>
      </c>
      <c r="E316">
        <v>35.965000000000003</v>
      </c>
      <c r="F316">
        <v>35.51</v>
      </c>
    </row>
    <row r="317" spans="1:6" x14ac:dyDescent="0.25">
      <c r="A317" s="1">
        <v>44638</v>
      </c>
      <c r="B317">
        <v>35.405000000000001</v>
      </c>
      <c r="C317">
        <v>37038060</v>
      </c>
      <c r="D317">
        <v>35.71</v>
      </c>
      <c r="E317">
        <v>35.869999999999997</v>
      </c>
      <c r="F317">
        <v>35.325000000000003</v>
      </c>
    </row>
    <row r="318" spans="1:6" x14ac:dyDescent="0.25">
      <c r="A318" s="1">
        <v>44641</v>
      </c>
      <c r="B318">
        <v>35.405000000000001</v>
      </c>
      <c r="C318">
        <v>36294320</v>
      </c>
      <c r="D318">
        <v>35.22</v>
      </c>
      <c r="E318">
        <v>35.570099999999996</v>
      </c>
      <c r="F318">
        <v>35.21</v>
      </c>
    </row>
    <row r="319" spans="1:6" x14ac:dyDescent="0.25">
      <c r="A319" s="1">
        <v>44642</v>
      </c>
      <c r="B319">
        <v>35.454999999999998</v>
      </c>
      <c r="C319">
        <v>29286400</v>
      </c>
      <c r="D319">
        <v>35.54</v>
      </c>
      <c r="E319">
        <v>35.54</v>
      </c>
      <c r="F319">
        <v>35.172499999999999</v>
      </c>
    </row>
    <row r="320" spans="1:6" x14ac:dyDescent="0.25">
      <c r="A320" s="1">
        <v>44643</v>
      </c>
      <c r="B320">
        <v>35.505000000000003</v>
      </c>
      <c r="C320">
        <v>27989960</v>
      </c>
      <c r="D320">
        <v>35.42</v>
      </c>
      <c r="E320">
        <v>35.71</v>
      </c>
      <c r="F320">
        <v>35.244999999999997</v>
      </c>
    </row>
    <row r="321" spans="1:6" x14ac:dyDescent="0.25">
      <c r="A321" s="1">
        <v>44644</v>
      </c>
      <c r="B321">
        <v>35.869999999999997</v>
      </c>
      <c r="C321">
        <v>26591420</v>
      </c>
      <c r="D321">
        <v>35.58</v>
      </c>
      <c r="E321">
        <v>35.914999999999999</v>
      </c>
      <c r="F321">
        <v>35.5075</v>
      </c>
    </row>
    <row r="322" spans="1:6" x14ac:dyDescent="0.25">
      <c r="A322" s="1">
        <v>44645</v>
      </c>
      <c r="B322">
        <v>36.39</v>
      </c>
      <c r="C322">
        <v>28933400</v>
      </c>
      <c r="D322">
        <v>36</v>
      </c>
      <c r="E322">
        <v>36.405000000000001</v>
      </c>
      <c r="F322">
        <v>35.914999999999999</v>
      </c>
    </row>
    <row r="323" spans="1:6" x14ac:dyDescent="0.25">
      <c r="A323" s="1">
        <v>44648</v>
      </c>
      <c r="B323">
        <v>36.625</v>
      </c>
      <c r="C323">
        <v>30959780</v>
      </c>
      <c r="D323">
        <v>36.424999999999997</v>
      </c>
      <c r="E323">
        <v>36.625</v>
      </c>
      <c r="F323">
        <v>36.207500000000003</v>
      </c>
    </row>
    <row r="324" spans="1:6" x14ac:dyDescent="0.25">
      <c r="A324" s="1">
        <v>44649</v>
      </c>
      <c r="B324">
        <v>36.965000000000003</v>
      </c>
      <c r="C324">
        <v>38114680</v>
      </c>
      <c r="D324">
        <v>36.61</v>
      </c>
      <c r="E324">
        <v>36.965000000000003</v>
      </c>
      <c r="F324">
        <v>36.545000000000002</v>
      </c>
    </row>
    <row r="325" spans="1:6" x14ac:dyDescent="0.25">
      <c r="A325" s="1">
        <v>44650</v>
      </c>
      <c r="B325">
        <v>37.270000000000003</v>
      </c>
      <c r="C325">
        <v>35229200</v>
      </c>
      <c r="D325">
        <v>37</v>
      </c>
      <c r="E325">
        <v>37.28</v>
      </c>
      <c r="F325">
        <v>36.887500000000003</v>
      </c>
    </row>
    <row r="326" spans="1:6" x14ac:dyDescent="0.25">
      <c r="A326" s="1">
        <v>44651</v>
      </c>
      <c r="B326">
        <v>37.229999999999997</v>
      </c>
      <c r="C326">
        <v>35701120</v>
      </c>
      <c r="D326">
        <v>37.244999999999997</v>
      </c>
      <c r="E326">
        <v>37.57</v>
      </c>
      <c r="F326">
        <v>37.21</v>
      </c>
    </row>
    <row r="327" spans="1:6" x14ac:dyDescent="0.25">
      <c r="A327" s="1">
        <v>44652</v>
      </c>
      <c r="B327">
        <v>37.75</v>
      </c>
      <c r="C327">
        <v>38013720</v>
      </c>
      <c r="D327">
        <v>37.200000000000003</v>
      </c>
      <c r="E327">
        <v>37.774999999999999</v>
      </c>
      <c r="F327">
        <v>36.979999999999997</v>
      </c>
    </row>
    <row r="328" spans="1:6" x14ac:dyDescent="0.25">
      <c r="A328" s="1">
        <v>44655</v>
      </c>
      <c r="B328">
        <v>37.46</v>
      </c>
      <c r="C328">
        <v>28390900</v>
      </c>
      <c r="D328">
        <v>37.594999999999999</v>
      </c>
      <c r="E328">
        <v>37.594999999999999</v>
      </c>
      <c r="F328">
        <v>37.075000000000003</v>
      </c>
    </row>
    <row r="329" spans="1:6" x14ac:dyDescent="0.25">
      <c r="A329" s="1">
        <v>44656</v>
      </c>
      <c r="B329">
        <v>37.695</v>
      </c>
      <c r="C329">
        <v>38140540</v>
      </c>
      <c r="D329">
        <v>37.475000000000001</v>
      </c>
      <c r="E329">
        <v>38.125</v>
      </c>
      <c r="F329">
        <v>37.47</v>
      </c>
    </row>
    <row r="330" spans="1:6" x14ac:dyDescent="0.25">
      <c r="A330" s="1">
        <v>44657</v>
      </c>
      <c r="B330">
        <v>38.445</v>
      </c>
      <c r="C330">
        <v>56489260</v>
      </c>
      <c r="D330">
        <v>37.814999999999998</v>
      </c>
      <c r="E330">
        <v>38.47</v>
      </c>
      <c r="F330">
        <v>37.645000000000003</v>
      </c>
    </row>
    <row r="331" spans="1:6" x14ac:dyDescent="0.25">
      <c r="A331" s="1">
        <v>44658</v>
      </c>
      <c r="B331">
        <v>38.35</v>
      </c>
      <c r="C331">
        <v>42033800</v>
      </c>
      <c r="D331">
        <v>38.43</v>
      </c>
      <c r="E331">
        <v>38.445</v>
      </c>
      <c r="F331">
        <v>38</v>
      </c>
    </row>
    <row r="332" spans="1:6" x14ac:dyDescent="0.25">
      <c r="A332" s="1">
        <v>44659</v>
      </c>
      <c r="B332">
        <v>38.479999999999997</v>
      </c>
      <c r="C332">
        <v>34388560</v>
      </c>
      <c r="D332">
        <v>38.49</v>
      </c>
      <c r="E332">
        <v>38.615000000000002</v>
      </c>
      <c r="F332">
        <v>38.155000000000001</v>
      </c>
    </row>
    <row r="333" spans="1:6" x14ac:dyDescent="0.25">
      <c r="A333" s="1">
        <v>44662</v>
      </c>
      <c r="B333">
        <v>37.954999999999998</v>
      </c>
      <c r="C333">
        <v>46335800</v>
      </c>
      <c r="D333">
        <v>38.505000000000003</v>
      </c>
      <c r="E333">
        <v>38.557499999999997</v>
      </c>
      <c r="F333">
        <v>37.897500000000001</v>
      </c>
    </row>
    <row r="334" spans="1:6" x14ac:dyDescent="0.25">
      <c r="A334" s="1">
        <v>44663</v>
      </c>
      <c r="B334">
        <v>38.1</v>
      </c>
      <c r="C334">
        <v>45313740</v>
      </c>
      <c r="D334">
        <v>37.85</v>
      </c>
      <c r="E334">
        <v>38.297499999999999</v>
      </c>
      <c r="F334">
        <v>37.715000000000003</v>
      </c>
    </row>
    <row r="335" spans="1:6" x14ac:dyDescent="0.25">
      <c r="A335" s="1">
        <v>44664</v>
      </c>
      <c r="B335">
        <v>38.024999999999999</v>
      </c>
      <c r="C335">
        <v>35312920</v>
      </c>
      <c r="D335">
        <v>38.104999999999997</v>
      </c>
      <c r="E335">
        <v>38.204999999999998</v>
      </c>
      <c r="F335">
        <v>37.774999999999999</v>
      </c>
    </row>
    <row r="336" spans="1:6" x14ac:dyDescent="0.25">
      <c r="A336" s="1">
        <v>44665</v>
      </c>
      <c r="B336">
        <v>38.045000000000002</v>
      </c>
      <c r="C336">
        <v>28427100</v>
      </c>
      <c r="D336">
        <v>38.1</v>
      </c>
      <c r="E336">
        <v>38.297499999999999</v>
      </c>
      <c r="F336">
        <v>37.99</v>
      </c>
    </row>
    <row r="337" spans="1:6" x14ac:dyDescent="0.25">
      <c r="A337" s="1">
        <v>44669</v>
      </c>
      <c r="B337">
        <v>37.840000000000003</v>
      </c>
      <c r="C337">
        <v>29878180</v>
      </c>
      <c r="D337">
        <v>38.090000000000003</v>
      </c>
      <c r="E337">
        <v>38.305</v>
      </c>
      <c r="F337">
        <v>37.659999999999997</v>
      </c>
    </row>
    <row r="338" spans="1:6" x14ac:dyDescent="0.25">
      <c r="A338" s="1">
        <v>44670</v>
      </c>
      <c r="B338">
        <v>38.085000000000001</v>
      </c>
      <c r="C338">
        <v>33030360</v>
      </c>
      <c r="D338">
        <v>37.950000000000003</v>
      </c>
      <c r="E338">
        <v>38.159999999999997</v>
      </c>
      <c r="F338">
        <v>37.840000000000003</v>
      </c>
    </row>
    <row r="339" spans="1:6" x14ac:dyDescent="0.25">
      <c r="A339" s="1">
        <v>44671</v>
      </c>
      <c r="B339">
        <v>38.395000000000003</v>
      </c>
      <c r="C339">
        <v>36652400</v>
      </c>
      <c r="D339">
        <v>38.49</v>
      </c>
      <c r="E339">
        <v>38.582500000000003</v>
      </c>
      <c r="F339">
        <v>38.28</v>
      </c>
    </row>
    <row r="340" spans="1:6" x14ac:dyDescent="0.25">
      <c r="A340" s="1">
        <v>44672</v>
      </c>
      <c r="B340">
        <v>37.76</v>
      </c>
      <c r="C340">
        <v>36817100</v>
      </c>
      <c r="D340">
        <v>38.270000000000003</v>
      </c>
      <c r="E340">
        <v>38.380000000000003</v>
      </c>
      <c r="F340">
        <v>37.729999999999997</v>
      </c>
    </row>
    <row r="341" spans="1:6" x14ac:dyDescent="0.25">
      <c r="A341" s="1">
        <v>44673</v>
      </c>
      <c r="B341">
        <v>37.125</v>
      </c>
      <c r="C341">
        <v>54683460</v>
      </c>
      <c r="D341">
        <v>37.71</v>
      </c>
      <c r="E341">
        <v>37.75</v>
      </c>
      <c r="F341">
        <v>37.1</v>
      </c>
    </row>
    <row r="342" spans="1:6" x14ac:dyDescent="0.25">
      <c r="A342" s="1">
        <v>44676</v>
      </c>
      <c r="B342">
        <v>36.869999999999997</v>
      </c>
      <c r="C342">
        <v>59672260</v>
      </c>
      <c r="D342">
        <v>37.255000000000003</v>
      </c>
      <c r="E342">
        <v>37.274999999999999</v>
      </c>
      <c r="F342">
        <v>36.2575</v>
      </c>
    </row>
    <row r="343" spans="1:6" x14ac:dyDescent="0.25">
      <c r="A343" s="1">
        <v>44677</v>
      </c>
      <c r="B343">
        <v>36.5</v>
      </c>
      <c r="C343">
        <v>41106160</v>
      </c>
      <c r="D343">
        <v>36.74</v>
      </c>
      <c r="E343">
        <v>37.192500000000003</v>
      </c>
      <c r="F343">
        <v>36.484999999999999</v>
      </c>
    </row>
    <row r="344" spans="1:6" x14ac:dyDescent="0.25">
      <c r="A344" s="1">
        <v>44678</v>
      </c>
      <c r="B344">
        <v>36.325000000000003</v>
      </c>
      <c r="C344">
        <v>49067980</v>
      </c>
      <c r="D344">
        <v>36.524999999999999</v>
      </c>
      <c r="E344">
        <v>36.865000000000002</v>
      </c>
      <c r="F344">
        <v>36.204999999999998</v>
      </c>
    </row>
    <row r="345" spans="1:6" x14ac:dyDescent="0.25">
      <c r="A345" s="1">
        <v>44679</v>
      </c>
      <c r="B345">
        <v>36.729999999999997</v>
      </c>
      <c r="C345">
        <v>39902580</v>
      </c>
      <c r="D345">
        <v>36.5</v>
      </c>
      <c r="E345">
        <v>36.86</v>
      </c>
      <c r="F345">
        <v>36.31</v>
      </c>
    </row>
    <row r="346" spans="1:6" x14ac:dyDescent="0.25">
      <c r="A346" s="1">
        <v>44680</v>
      </c>
      <c r="B346">
        <v>35.630000000000003</v>
      </c>
      <c r="C346">
        <v>54338100</v>
      </c>
      <c r="D346">
        <v>36.57</v>
      </c>
      <c r="E346">
        <v>36.634999999999998</v>
      </c>
      <c r="F346">
        <v>35.575000000000003</v>
      </c>
    </row>
    <row r="347" spans="1:6" x14ac:dyDescent="0.25">
      <c r="A347" s="1">
        <v>44683</v>
      </c>
      <c r="B347">
        <v>35.265000000000001</v>
      </c>
      <c r="C347">
        <v>65832180</v>
      </c>
      <c r="D347">
        <v>35.799999999999997</v>
      </c>
      <c r="E347">
        <v>35.965000000000003</v>
      </c>
      <c r="F347">
        <v>34.82</v>
      </c>
    </row>
    <row r="348" spans="1:6" x14ac:dyDescent="0.25">
      <c r="A348" s="1">
        <v>44684</v>
      </c>
      <c r="B348">
        <v>35.4</v>
      </c>
      <c r="C348">
        <v>42152840</v>
      </c>
      <c r="D348">
        <v>35.395000000000003</v>
      </c>
      <c r="E348">
        <v>35.979999999999997</v>
      </c>
      <c r="F348">
        <v>35.237499999999997</v>
      </c>
    </row>
    <row r="349" spans="1:6" x14ac:dyDescent="0.25">
      <c r="A349" s="1">
        <v>44685</v>
      </c>
      <c r="B349">
        <v>36.19</v>
      </c>
      <c r="C349">
        <v>56580280</v>
      </c>
      <c r="D349">
        <v>35.619999999999997</v>
      </c>
      <c r="E349">
        <v>36.255000000000003</v>
      </c>
      <c r="F349">
        <v>35.47</v>
      </c>
    </row>
    <row r="350" spans="1:6" x14ac:dyDescent="0.25">
      <c r="A350" s="1">
        <v>44686</v>
      </c>
      <c r="B350">
        <v>35.82</v>
      </c>
      <c r="C350">
        <v>54849580</v>
      </c>
      <c r="D350">
        <v>35.950000000000003</v>
      </c>
      <c r="E350">
        <v>36.2502</v>
      </c>
      <c r="F350">
        <v>35.5</v>
      </c>
    </row>
    <row r="351" spans="1:6" x14ac:dyDescent="0.25">
      <c r="A351" s="1">
        <v>44687</v>
      </c>
      <c r="B351">
        <v>36.104999999999997</v>
      </c>
      <c r="C351">
        <v>55360040</v>
      </c>
      <c r="D351">
        <v>35.61</v>
      </c>
      <c r="E351">
        <v>36.22</v>
      </c>
      <c r="F351">
        <v>35.6</v>
      </c>
    </row>
    <row r="352" spans="1:6" x14ac:dyDescent="0.25">
      <c r="A352" s="1">
        <v>44690</v>
      </c>
      <c r="B352">
        <v>35.835000000000001</v>
      </c>
      <c r="C352">
        <v>51419420</v>
      </c>
      <c r="D352">
        <v>35.884999999999998</v>
      </c>
      <c r="E352">
        <v>36.200000000000003</v>
      </c>
      <c r="F352">
        <v>35.535299999999999</v>
      </c>
    </row>
    <row r="353" spans="1:6" x14ac:dyDescent="0.25">
      <c r="A353" s="1">
        <v>44691</v>
      </c>
      <c r="B353">
        <v>35.4</v>
      </c>
      <c r="C353">
        <v>65578580</v>
      </c>
      <c r="D353">
        <v>35.884999999999998</v>
      </c>
      <c r="E353">
        <v>36.375</v>
      </c>
      <c r="F353">
        <v>34.980499999999999</v>
      </c>
    </row>
    <row r="354" spans="1:6" x14ac:dyDescent="0.25">
      <c r="A354" s="1">
        <v>44692</v>
      </c>
      <c r="B354">
        <v>35.655000000000001</v>
      </c>
      <c r="C354">
        <v>72101700</v>
      </c>
      <c r="D354">
        <v>35.375</v>
      </c>
      <c r="E354">
        <v>36.25</v>
      </c>
      <c r="F354">
        <v>35.342500000000001</v>
      </c>
    </row>
    <row r="355" spans="1:6" x14ac:dyDescent="0.25">
      <c r="A355" s="1">
        <v>44693</v>
      </c>
      <c r="B355">
        <v>35.295000000000002</v>
      </c>
      <c r="C355">
        <v>49892000</v>
      </c>
      <c r="D355">
        <v>35.615000000000002</v>
      </c>
      <c r="E355">
        <v>35.702500000000001</v>
      </c>
      <c r="F355">
        <v>34.92</v>
      </c>
    </row>
    <row r="356" spans="1:6" x14ac:dyDescent="0.25">
      <c r="A356" s="1">
        <v>44694</v>
      </c>
      <c r="B356">
        <v>35.715000000000003</v>
      </c>
      <c r="C356">
        <v>30209020</v>
      </c>
      <c r="D356">
        <v>35.604999999999997</v>
      </c>
      <c r="E356">
        <v>35.767499999999998</v>
      </c>
      <c r="F356">
        <v>35.145000000000003</v>
      </c>
    </row>
    <row r="357" spans="1:6" x14ac:dyDescent="0.25">
      <c r="A357" s="1">
        <v>44697</v>
      </c>
      <c r="B357">
        <v>35.825000000000003</v>
      </c>
      <c r="C357">
        <v>23213540</v>
      </c>
      <c r="D357">
        <v>35.729999999999997</v>
      </c>
      <c r="E357">
        <v>35.979999999999997</v>
      </c>
      <c r="F357">
        <v>35.58</v>
      </c>
    </row>
    <row r="358" spans="1:6" x14ac:dyDescent="0.25">
      <c r="A358" s="1">
        <v>44698</v>
      </c>
      <c r="B358">
        <v>36.195</v>
      </c>
      <c r="C358">
        <v>29901780</v>
      </c>
      <c r="D358">
        <v>35.994999999999997</v>
      </c>
      <c r="E358">
        <v>36.200000000000003</v>
      </c>
      <c r="F358">
        <v>35.44</v>
      </c>
    </row>
    <row r="359" spans="1:6" x14ac:dyDescent="0.25">
      <c r="A359" s="1">
        <v>44699</v>
      </c>
      <c r="B359">
        <v>35.844999999999999</v>
      </c>
      <c r="C359">
        <v>37456620</v>
      </c>
      <c r="D359">
        <v>36.255000000000003</v>
      </c>
      <c r="E359">
        <v>36.33</v>
      </c>
      <c r="F359">
        <v>35.75</v>
      </c>
    </row>
    <row r="360" spans="1:6" x14ac:dyDescent="0.25">
      <c r="A360" s="1">
        <v>44700</v>
      </c>
      <c r="B360">
        <v>35.770000000000003</v>
      </c>
      <c r="C360">
        <v>36552120</v>
      </c>
      <c r="D360">
        <v>35.68</v>
      </c>
      <c r="E360">
        <v>35.93</v>
      </c>
      <c r="F360">
        <v>35.265000000000001</v>
      </c>
    </row>
    <row r="361" spans="1:6" x14ac:dyDescent="0.25">
      <c r="A361" s="1">
        <v>44701</v>
      </c>
      <c r="B361">
        <v>35.869999999999997</v>
      </c>
      <c r="C361">
        <v>31358100</v>
      </c>
      <c r="D361">
        <v>35.865000000000002</v>
      </c>
      <c r="E361">
        <v>35.972499999999997</v>
      </c>
      <c r="F361">
        <v>35.375</v>
      </c>
    </row>
    <row r="362" spans="1:6" x14ac:dyDescent="0.25">
      <c r="A362" s="1">
        <v>44704</v>
      </c>
      <c r="B362">
        <v>36.299999999999997</v>
      </c>
      <c r="C362">
        <v>27082120</v>
      </c>
      <c r="D362">
        <v>36.28</v>
      </c>
      <c r="E362">
        <v>36.465000000000003</v>
      </c>
      <c r="F362">
        <v>35.94</v>
      </c>
    </row>
    <row r="363" spans="1:6" x14ac:dyDescent="0.25">
      <c r="A363" s="1">
        <v>44705</v>
      </c>
      <c r="B363">
        <v>37.024999999999999</v>
      </c>
      <c r="C363">
        <v>32311360</v>
      </c>
      <c r="D363">
        <v>36.369999999999997</v>
      </c>
      <c r="E363">
        <v>37.094999999999999</v>
      </c>
      <c r="F363">
        <v>36.092500000000001</v>
      </c>
    </row>
    <row r="364" spans="1:6" x14ac:dyDescent="0.25">
      <c r="A364" s="1">
        <v>44706</v>
      </c>
      <c r="B364">
        <v>37</v>
      </c>
      <c r="C364">
        <v>27723800</v>
      </c>
      <c r="D364">
        <v>37.064999999999998</v>
      </c>
      <c r="E364">
        <v>37.119999999999997</v>
      </c>
      <c r="F364">
        <v>36.76</v>
      </c>
    </row>
    <row r="365" spans="1:6" x14ac:dyDescent="0.25">
      <c r="A365" s="1">
        <v>44707</v>
      </c>
      <c r="B365">
        <v>37.104999999999997</v>
      </c>
      <c r="C365">
        <v>23290360</v>
      </c>
      <c r="D365">
        <v>37.229999999999997</v>
      </c>
      <c r="E365">
        <v>37.376300000000001</v>
      </c>
      <c r="F365">
        <v>37.075000000000003</v>
      </c>
    </row>
    <row r="366" spans="1:6" x14ac:dyDescent="0.25">
      <c r="A366" s="1">
        <v>44708</v>
      </c>
      <c r="B366">
        <v>37.685000000000002</v>
      </c>
      <c r="C366">
        <v>23241260</v>
      </c>
      <c r="D366">
        <v>37.075000000000003</v>
      </c>
      <c r="E366">
        <v>37.685000000000002</v>
      </c>
      <c r="F366">
        <v>36.914999999999999</v>
      </c>
    </row>
    <row r="367" spans="1:6" x14ac:dyDescent="0.25">
      <c r="A367" s="1">
        <v>44712</v>
      </c>
      <c r="B367">
        <v>37.164999999999999</v>
      </c>
      <c r="C367">
        <v>31041400</v>
      </c>
      <c r="D367">
        <v>37.335000000000001</v>
      </c>
      <c r="E367">
        <v>37.475000000000001</v>
      </c>
      <c r="F367">
        <v>37.005000000000003</v>
      </c>
    </row>
    <row r="368" spans="1:6" x14ac:dyDescent="0.25">
      <c r="A368" s="1">
        <v>44713</v>
      </c>
      <c r="B368">
        <v>37.104999999999997</v>
      </c>
      <c r="C368">
        <v>22422260</v>
      </c>
      <c r="D368">
        <v>37.299999999999997</v>
      </c>
      <c r="E368">
        <v>37.299999999999997</v>
      </c>
      <c r="F368">
        <v>36.765000000000001</v>
      </c>
    </row>
    <row r="369" spans="1:6" x14ac:dyDescent="0.25">
      <c r="A369" s="1">
        <v>44714</v>
      </c>
      <c r="B369">
        <v>37.354999999999997</v>
      </c>
      <c r="C369">
        <v>25038220</v>
      </c>
      <c r="D369">
        <v>37.284999999999997</v>
      </c>
      <c r="E369">
        <v>37.39</v>
      </c>
      <c r="F369">
        <v>36.53</v>
      </c>
    </row>
    <row r="370" spans="1:6" x14ac:dyDescent="0.25">
      <c r="A370" s="1">
        <v>44715</v>
      </c>
      <c r="B370">
        <v>37.174999999999997</v>
      </c>
      <c r="C370">
        <v>17691156</v>
      </c>
      <c r="D370">
        <v>37.200000000000003</v>
      </c>
      <c r="E370">
        <v>37.405000000000001</v>
      </c>
      <c r="F370">
        <v>37.104999999999997</v>
      </c>
    </row>
    <row r="371" spans="1:6" x14ac:dyDescent="0.25">
      <c r="A371" s="1">
        <v>44718</v>
      </c>
      <c r="B371">
        <v>37.340000000000003</v>
      </c>
      <c r="C371">
        <v>20345800</v>
      </c>
      <c r="D371">
        <v>37.51</v>
      </c>
      <c r="E371">
        <v>37.628100000000003</v>
      </c>
      <c r="F371">
        <v>37.295000000000002</v>
      </c>
    </row>
    <row r="372" spans="1:6" x14ac:dyDescent="0.25">
      <c r="A372" s="1">
        <v>44719</v>
      </c>
      <c r="B372">
        <v>37.564999999999998</v>
      </c>
      <c r="C372">
        <v>19819972</v>
      </c>
      <c r="D372">
        <v>37.244999999999997</v>
      </c>
      <c r="E372">
        <v>37.6</v>
      </c>
      <c r="F372">
        <v>37.015000000000001</v>
      </c>
    </row>
    <row r="373" spans="1:6" x14ac:dyDescent="0.25">
      <c r="A373" s="1">
        <v>44720</v>
      </c>
      <c r="B373">
        <v>36.83</v>
      </c>
      <c r="C373">
        <v>19971480</v>
      </c>
      <c r="D373">
        <v>37.4</v>
      </c>
      <c r="E373">
        <v>37.4009</v>
      </c>
      <c r="F373">
        <v>36.772500000000001</v>
      </c>
    </row>
    <row r="374" spans="1:6" x14ac:dyDescent="0.25">
      <c r="A374" s="1">
        <v>44721</v>
      </c>
      <c r="B374">
        <v>35.945</v>
      </c>
      <c r="C374">
        <v>25767520</v>
      </c>
      <c r="D374">
        <v>36.81</v>
      </c>
      <c r="E374">
        <v>36.987499999999997</v>
      </c>
      <c r="F374">
        <v>35.92</v>
      </c>
    </row>
    <row r="375" spans="1:6" x14ac:dyDescent="0.25">
      <c r="A375" s="1">
        <v>44722</v>
      </c>
      <c r="B375">
        <v>35.67</v>
      </c>
      <c r="C375">
        <v>32800640</v>
      </c>
      <c r="D375">
        <v>35.590000000000003</v>
      </c>
      <c r="E375">
        <v>35.99</v>
      </c>
      <c r="F375">
        <v>35.369999999999997</v>
      </c>
    </row>
    <row r="376" spans="1:6" x14ac:dyDescent="0.25">
      <c r="A376" s="1">
        <v>44725</v>
      </c>
      <c r="B376">
        <v>34.03</v>
      </c>
      <c r="C376">
        <v>52721340</v>
      </c>
      <c r="D376">
        <v>35.215000000000003</v>
      </c>
      <c r="E376">
        <v>35.295000000000002</v>
      </c>
      <c r="F376">
        <v>33.862499999999997</v>
      </c>
    </row>
    <row r="377" spans="1:6" x14ac:dyDescent="0.25">
      <c r="A377" s="1">
        <v>44726</v>
      </c>
      <c r="B377">
        <v>33.17</v>
      </c>
      <c r="C377">
        <v>51342780</v>
      </c>
      <c r="D377">
        <v>34.07</v>
      </c>
      <c r="E377">
        <v>34.195</v>
      </c>
      <c r="F377">
        <v>32.795000000000002</v>
      </c>
    </row>
    <row r="378" spans="1:6" x14ac:dyDescent="0.25">
      <c r="A378" s="1">
        <v>44727</v>
      </c>
      <c r="B378">
        <v>33.384999999999998</v>
      </c>
      <c r="C378">
        <v>51664880</v>
      </c>
      <c r="D378">
        <v>33.465000000000003</v>
      </c>
      <c r="E378">
        <v>33.895000000000003</v>
      </c>
      <c r="F378">
        <v>32.979999999999997</v>
      </c>
    </row>
    <row r="379" spans="1:6" x14ac:dyDescent="0.25">
      <c r="A379" s="1">
        <v>44728</v>
      </c>
      <c r="B379">
        <v>32.74</v>
      </c>
      <c r="C379">
        <v>48194000</v>
      </c>
      <c r="D379">
        <v>32.97</v>
      </c>
      <c r="E379">
        <v>32.97</v>
      </c>
      <c r="F379">
        <v>32.479999999999997</v>
      </c>
    </row>
    <row r="380" spans="1:6" x14ac:dyDescent="0.25">
      <c r="A380" s="1">
        <v>44729</v>
      </c>
      <c r="B380">
        <v>32.435000000000002</v>
      </c>
      <c r="C380">
        <v>43129440</v>
      </c>
      <c r="D380">
        <v>32.79</v>
      </c>
      <c r="E380">
        <v>33.020000000000003</v>
      </c>
      <c r="F380">
        <v>32.164999999999999</v>
      </c>
    </row>
    <row r="381" spans="1:6" x14ac:dyDescent="0.25">
      <c r="A381" s="1">
        <v>44733</v>
      </c>
      <c r="B381">
        <v>32.79</v>
      </c>
      <c r="C381">
        <v>37266400</v>
      </c>
      <c r="D381">
        <v>32.29</v>
      </c>
      <c r="E381">
        <v>32.97</v>
      </c>
      <c r="F381">
        <v>32.21</v>
      </c>
    </row>
    <row r="382" spans="1:6" x14ac:dyDescent="0.25">
      <c r="A382" s="1">
        <v>44734</v>
      </c>
      <c r="B382">
        <v>33.134999999999998</v>
      </c>
      <c r="C382">
        <v>28582100</v>
      </c>
      <c r="D382">
        <v>32.615000000000002</v>
      </c>
      <c r="E382">
        <v>33.377499999999998</v>
      </c>
      <c r="F382">
        <v>32.604999999999997</v>
      </c>
    </row>
    <row r="383" spans="1:6" x14ac:dyDescent="0.25">
      <c r="A383" s="1">
        <v>44735</v>
      </c>
      <c r="B383">
        <v>33.914999999999999</v>
      </c>
      <c r="C383">
        <v>41140240</v>
      </c>
      <c r="D383">
        <v>33.33</v>
      </c>
      <c r="E383">
        <v>33.975000000000001</v>
      </c>
      <c r="F383">
        <v>33.284999999999997</v>
      </c>
    </row>
    <row r="384" spans="1:6" x14ac:dyDescent="0.25">
      <c r="A384" s="1">
        <v>44736</v>
      </c>
      <c r="B384">
        <v>34.505000000000003</v>
      </c>
      <c r="C384">
        <v>30075260</v>
      </c>
      <c r="D384">
        <v>34.094999999999999</v>
      </c>
      <c r="E384">
        <v>34.575000000000003</v>
      </c>
      <c r="F384">
        <v>33.96</v>
      </c>
    </row>
    <row r="385" spans="1:6" x14ac:dyDescent="0.25">
      <c r="A385" s="1">
        <v>44739</v>
      </c>
      <c r="B385">
        <v>34.784999999999997</v>
      </c>
      <c r="C385">
        <v>23276980</v>
      </c>
      <c r="D385">
        <v>34.43</v>
      </c>
      <c r="E385">
        <v>34.865000000000002</v>
      </c>
      <c r="F385">
        <v>34.295000000000002</v>
      </c>
    </row>
    <row r="386" spans="1:6" x14ac:dyDescent="0.25">
      <c r="A386" s="1">
        <v>44740</v>
      </c>
      <c r="B386">
        <v>34.655000000000001</v>
      </c>
      <c r="C386">
        <v>26372300</v>
      </c>
      <c r="D386">
        <v>34.9</v>
      </c>
      <c r="E386">
        <v>35.17</v>
      </c>
      <c r="F386">
        <v>34.61</v>
      </c>
    </row>
    <row r="387" spans="1:6" x14ac:dyDescent="0.25">
      <c r="A387" s="1">
        <v>44741</v>
      </c>
      <c r="B387">
        <v>34.68</v>
      </c>
      <c r="C387">
        <v>30329900</v>
      </c>
      <c r="D387">
        <v>34.71</v>
      </c>
      <c r="E387">
        <v>34.814999999999998</v>
      </c>
      <c r="F387">
        <v>34.46</v>
      </c>
    </row>
    <row r="388" spans="1:6" x14ac:dyDescent="0.25">
      <c r="A388" s="1">
        <v>44742</v>
      </c>
      <c r="B388">
        <v>35.064999999999998</v>
      </c>
      <c r="C388">
        <v>37737900</v>
      </c>
      <c r="D388">
        <v>34.465000000000003</v>
      </c>
      <c r="E388">
        <v>35.325000000000003</v>
      </c>
      <c r="F388">
        <v>34.42</v>
      </c>
    </row>
    <row r="389" spans="1:6" x14ac:dyDescent="0.25">
      <c r="A389" s="1">
        <v>44743</v>
      </c>
      <c r="B389">
        <v>35.924999999999997</v>
      </c>
      <c r="C389">
        <v>34256240</v>
      </c>
      <c r="D389">
        <v>35.244999999999997</v>
      </c>
      <c r="E389">
        <v>35.982500000000002</v>
      </c>
      <c r="F389">
        <v>35.102499999999999</v>
      </c>
    </row>
    <row r="390" spans="1:6" x14ac:dyDescent="0.25">
      <c r="A390" s="1">
        <v>44747</v>
      </c>
      <c r="B390">
        <v>34.700000000000003</v>
      </c>
      <c r="C390">
        <v>44053560</v>
      </c>
      <c r="D390">
        <v>35.844999999999999</v>
      </c>
      <c r="E390">
        <v>35.869999999999997</v>
      </c>
      <c r="F390">
        <v>34.155000000000001</v>
      </c>
    </row>
    <row r="391" spans="1:6" x14ac:dyDescent="0.25">
      <c r="A391" s="1">
        <v>44748</v>
      </c>
      <c r="B391">
        <v>35.06</v>
      </c>
      <c r="C391">
        <v>28518160</v>
      </c>
      <c r="D391">
        <v>34.869999999999997</v>
      </c>
      <c r="E391">
        <v>35.380000000000003</v>
      </c>
      <c r="F391">
        <v>34.594999999999999</v>
      </c>
    </row>
    <row r="392" spans="1:6" x14ac:dyDescent="0.25">
      <c r="A392" s="1">
        <v>44749</v>
      </c>
      <c r="B392">
        <v>35.024999999999999</v>
      </c>
      <c r="C392">
        <v>16799614</v>
      </c>
      <c r="D392">
        <v>35.24</v>
      </c>
      <c r="E392">
        <v>35.354999999999997</v>
      </c>
      <c r="F392">
        <v>34.987499999999997</v>
      </c>
    </row>
    <row r="393" spans="1:6" x14ac:dyDescent="0.25">
      <c r="A393" s="1">
        <v>44750</v>
      </c>
      <c r="B393">
        <v>34.909999999999997</v>
      </c>
      <c r="C393">
        <v>12564632</v>
      </c>
      <c r="D393">
        <v>34.99</v>
      </c>
      <c r="E393">
        <v>35.064999999999998</v>
      </c>
      <c r="F393">
        <v>34.795000000000002</v>
      </c>
    </row>
    <row r="394" spans="1:6" x14ac:dyDescent="0.25">
      <c r="A394" s="1">
        <v>44753</v>
      </c>
      <c r="B394">
        <v>35.130000000000003</v>
      </c>
      <c r="C394">
        <v>13233006</v>
      </c>
      <c r="D394">
        <v>34.774999999999999</v>
      </c>
      <c r="E394">
        <v>35.192500000000003</v>
      </c>
      <c r="F394">
        <v>34.695</v>
      </c>
    </row>
    <row r="395" spans="1:6" x14ac:dyDescent="0.25">
      <c r="A395" s="1">
        <v>44754</v>
      </c>
      <c r="B395">
        <v>34.96</v>
      </c>
      <c r="C395">
        <v>19141106</v>
      </c>
      <c r="D395">
        <v>34.924999999999997</v>
      </c>
      <c r="E395">
        <v>35.405000000000001</v>
      </c>
      <c r="F395">
        <v>34.8125</v>
      </c>
    </row>
    <row r="396" spans="1:6" x14ac:dyDescent="0.25">
      <c r="A396" s="1">
        <v>44755</v>
      </c>
      <c r="B396">
        <v>34.814999999999998</v>
      </c>
      <c r="C396">
        <v>38159200</v>
      </c>
      <c r="D396">
        <v>34.634999999999998</v>
      </c>
      <c r="E396">
        <v>35.19</v>
      </c>
      <c r="F396">
        <v>34.602499999999999</v>
      </c>
    </row>
    <row r="397" spans="1:6" x14ac:dyDescent="0.25">
      <c r="A397" s="1">
        <v>44756</v>
      </c>
      <c r="B397">
        <v>34.814999999999998</v>
      </c>
      <c r="C397">
        <v>18925232</v>
      </c>
      <c r="D397">
        <v>34.255000000000003</v>
      </c>
      <c r="E397">
        <v>34.865000000000002</v>
      </c>
      <c r="F397">
        <v>34.174999999999997</v>
      </c>
    </row>
    <row r="398" spans="1:6" x14ac:dyDescent="0.25">
      <c r="A398" s="1">
        <v>44757</v>
      </c>
      <c r="B398">
        <v>34.880000000000003</v>
      </c>
      <c r="C398">
        <v>17484418</v>
      </c>
      <c r="D398">
        <v>34.85</v>
      </c>
      <c r="E398">
        <v>34.93</v>
      </c>
      <c r="F398">
        <v>34.28</v>
      </c>
    </row>
    <row r="399" spans="1:6" x14ac:dyDescent="0.25">
      <c r="A399" s="1">
        <v>44760</v>
      </c>
      <c r="B399">
        <v>34.395000000000003</v>
      </c>
      <c r="C399">
        <v>15422168</v>
      </c>
      <c r="D399">
        <v>34.799999999999997</v>
      </c>
      <c r="E399">
        <v>34.85</v>
      </c>
      <c r="F399">
        <v>34.380000000000003</v>
      </c>
    </row>
    <row r="400" spans="1:6" x14ac:dyDescent="0.25">
      <c r="A400" s="1">
        <v>44761</v>
      </c>
      <c r="B400">
        <v>34.615000000000002</v>
      </c>
      <c r="C400">
        <v>22715600</v>
      </c>
      <c r="D400">
        <v>34.619999999999997</v>
      </c>
      <c r="E400">
        <v>34.805</v>
      </c>
      <c r="F400">
        <v>34.5</v>
      </c>
    </row>
    <row r="401" spans="1:6" x14ac:dyDescent="0.25">
      <c r="A401" s="1">
        <v>44762</v>
      </c>
      <c r="B401">
        <v>34.155000000000001</v>
      </c>
      <c r="C401">
        <v>34085220</v>
      </c>
      <c r="D401">
        <v>34.674999999999997</v>
      </c>
      <c r="E401">
        <v>34.69</v>
      </c>
      <c r="F401">
        <v>34.112499999999997</v>
      </c>
    </row>
    <row r="402" spans="1:6" x14ac:dyDescent="0.25">
      <c r="A402" s="1">
        <v>44763</v>
      </c>
      <c r="B402">
        <v>34.244999999999997</v>
      </c>
      <c r="C402">
        <v>26029760</v>
      </c>
      <c r="D402">
        <v>34.25</v>
      </c>
      <c r="E402">
        <v>34.26</v>
      </c>
      <c r="F402">
        <v>33.922499999999999</v>
      </c>
    </row>
    <row r="403" spans="1:6" x14ac:dyDescent="0.25">
      <c r="A403" s="1">
        <v>44764</v>
      </c>
      <c r="B403">
        <v>34.715000000000003</v>
      </c>
      <c r="C403">
        <v>19543170</v>
      </c>
      <c r="D403">
        <v>34.520000000000003</v>
      </c>
      <c r="E403">
        <v>34.85</v>
      </c>
      <c r="F403">
        <v>34.44</v>
      </c>
    </row>
    <row r="404" spans="1:6" x14ac:dyDescent="0.25">
      <c r="A404" s="1">
        <v>44767</v>
      </c>
      <c r="B404">
        <v>35.15</v>
      </c>
      <c r="C404">
        <v>17291912</v>
      </c>
      <c r="D404">
        <v>34.659999999999997</v>
      </c>
      <c r="E404">
        <v>35.159999999999997</v>
      </c>
      <c r="F404">
        <v>34.564999999999998</v>
      </c>
    </row>
    <row r="405" spans="1:6" x14ac:dyDescent="0.25">
      <c r="A405" s="1">
        <v>44768</v>
      </c>
      <c r="B405">
        <v>35.36</v>
      </c>
      <c r="C405">
        <v>17934406</v>
      </c>
      <c r="D405">
        <v>35.119999999999997</v>
      </c>
      <c r="E405">
        <v>35.469900000000003</v>
      </c>
      <c r="F405">
        <v>35.08</v>
      </c>
    </row>
    <row r="406" spans="1:6" x14ac:dyDescent="0.25">
      <c r="A406" s="1">
        <v>44769</v>
      </c>
      <c r="B406">
        <v>35.39</v>
      </c>
      <c r="C406">
        <v>20684400</v>
      </c>
      <c r="D406">
        <v>35.195</v>
      </c>
      <c r="E406">
        <v>35.487499999999997</v>
      </c>
      <c r="F406">
        <v>35.097499999999997</v>
      </c>
    </row>
    <row r="407" spans="1:6" x14ac:dyDescent="0.25">
      <c r="A407" s="1">
        <v>44770</v>
      </c>
      <c r="B407">
        <v>36.659999999999997</v>
      </c>
      <c r="C407">
        <v>29715540</v>
      </c>
      <c r="D407">
        <v>36.015000000000001</v>
      </c>
      <c r="E407">
        <v>36.734999999999999</v>
      </c>
      <c r="F407">
        <v>35.984999999999999</v>
      </c>
    </row>
    <row r="408" spans="1:6" x14ac:dyDescent="0.25">
      <c r="A408" s="1">
        <v>44771</v>
      </c>
      <c r="B408">
        <v>36.975000000000001</v>
      </c>
      <c r="C408">
        <v>24547580</v>
      </c>
      <c r="D408">
        <v>36.590000000000003</v>
      </c>
      <c r="E408">
        <v>37.130000000000003</v>
      </c>
      <c r="F408">
        <v>36.585000000000001</v>
      </c>
    </row>
    <row r="409" spans="1:6" x14ac:dyDescent="0.25">
      <c r="A409" s="1">
        <v>44774</v>
      </c>
      <c r="B409">
        <v>37.015000000000001</v>
      </c>
      <c r="C409">
        <v>23148760</v>
      </c>
      <c r="D409">
        <v>36.86</v>
      </c>
      <c r="E409">
        <v>37.045000000000002</v>
      </c>
      <c r="F409">
        <v>36.622500000000002</v>
      </c>
    </row>
    <row r="410" spans="1:6" x14ac:dyDescent="0.25">
      <c r="A410" s="1">
        <v>44775</v>
      </c>
      <c r="B410">
        <v>36.94</v>
      </c>
      <c r="C410">
        <v>22916580</v>
      </c>
      <c r="D410">
        <v>37.18</v>
      </c>
      <c r="E410">
        <v>37.395000000000003</v>
      </c>
      <c r="F410">
        <v>36.909999999999997</v>
      </c>
    </row>
    <row r="411" spans="1:6" x14ac:dyDescent="0.25">
      <c r="A411" s="1">
        <v>44776</v>
      </c>
      <c r="B411">
        <v>37.17</v>
      </c>
      <c r="C411">
        <v>21960440</v>
      </c>
      <c r="D411">
        <v>36.884999999999998</v>
      </c>
      <c r="E411">
        <v>37.2575</v>
      </c>
      <c r="F411">
        <v>36.31</v>
      </c>
    </row>
    <row r="412" spans="1:6" x14ac:dyDescent="0.25">
      <c r="A412" s="1">
        <v>44777</v>
      </c>
      <c r="B412">
        <v>37.25</v>
      </c>
      <c r="C412">
        <v>17328350</v>
      </c>
      <c r="D412">
        <v>37.19</v>
      </c>
      <c r="E412">
        <v>37.520000000000003</v>
      </c>
      <c r="F412">
        <v>37.07</v>
      </c>
    </row>
    <row r="413" spans="1:6" x14ac:dyDescent="0.25">
      <c r="A413" s="1">
        <v>44778</v>
      </c>
      <c r="B413">
        <v>37.115000000000002</v>
      </c>
      <c r="C413">
        <v>22050200</v>
      </c>
      <c r="D413">
        <v>37.15</v>
      </c>
      <c r="E413">
        <v>37.32</v>
      </c>
      <c r="F413">
        <v>36.765000000000001</v>
      </c>
    </row>
    <row r="414" spans="1:6" x14ac:dyDescent="0.25">
      <c r="A414" s="1">
        <v>44781</v>
      </c>
      <c r="B414">
        <v>37.17</v>
      </c>
      <c r="C414">
        <v>16898924</v>
      </c>
      <c r="D414">
        <v>37.435000000000002</v>
      </c>
      <c r="E414">
        <v>37.61</v>
      </c>
      <c r="F414">
        <v>36.994999999999997</v>
      </c>
    </row>
    <row r="415" spans="1:6" x14ac:dyDescent="0.25">
      <c r="A415" s="1">
        <v>44782</v>
      </c>
      <c r="B415">
        <v>37.585000000000001</v>
      </c>
      <c r="C415">
        <v>16214052</v>
      </c>
      <c r="D415">
        <v>37.284999999999997</v>
      </c>
      <c r="E415">
        <v>37.655000000000001</v>
      </c>
      <c r="F415">
        <v>37.26</v>
      </c>
    </row>
    <row r="416" spans="1:6" x14ac:dyDescent="0.25">
      <c r="A416" s="1">
        <v>44783</v>
      </c>
      <c r="B416">
        <v>37.75</v>
      </c>
      <c r="C416">
        <v>15778556</v>
      </c>
      <c r="D416">
        <v>37.755000000000003</v>
      </c>
      <c r="E416">
        <v>37.835000000000001</v>
      </c>
      <c r="F416">
        <v>37.475000000000001</v>
      </c>
    </row>
    <row r="417" spans="1:6" x14ac:dyDescent="0.25">
      <c r="A417" s="1">
        <v>44784</v>
      </c>
      <c r="B417">
        <v>37.744999999999997</v>
      </c>
      <c r="C417">
        <v>16048320</v>
      </c>
      <c r="D417">
        <v>37.805</v>
      </c>
      <c r="E417">
        <v>38.125</v>
      </c>
      <c r="F417">
        <v>37.634999999999998</v>
      </c>
    </row>
    <row r="418" spans="1:6" x14ac:dyDescent="0.25">
      <c r="A418" s="1">
        <v>44785</v>
      </c>
      <c r="B418">
        <v>38.36</v>
      </c>
      <c r="C418">
        <v>15798794</v>
      </c>
      <c r="D418">
        <v>38</v>
      </c>
      <c r="E418">
        <v>38.365000000000002</v>
      </c>
      <c r="F418">
        <v>37.924999999999997</v>
      </c>
    </row>
    <row r="419" spans="1:6" x14ac:dyDescent="0.25">
      <c r="A419" s="1">
        <v>44788</v>
      </c>
      <c r="B419">
        <v>38.68</v>
      </c>
      <c r="C419">
        <v>15570950</v>
      </c>
      <c r="D419">
        <v>38.284999999999997</v>
      </c>
      <c r="E419">
        <v>38.72</v>
      </c>
      <c r="F419">
        <v>38.215000000000003</v>
      </c>
    </row>
    <row r="420" spans="1:6" x14ac:dyDescent="0.25">
      <c r="A420" s="1">
        <v>44789</v>
      </c>
      <c r="B420">
        <v>38.79</v>
      </c>
      <c r="C420">
        <v>15577800</v>
      </c>
      <c r="D420">
        <v>38.594999999999999</v>
      </c>
      <c r="E420">
        <v>38.932499999999997</v>
      </c>
      <c r="F420">
        <v>38.552500000000002</v>
      </c>
    </row>
    <row r="421" spans="1:6" x14ac:dyDescent="0.25">
      <c r="A421" s="1">
        <v>44790</v>
      </c>
      <c r="B421">
        <v>38.725000000000001</v>
      </c>
      <c r="C421">
        <v>21285920</v>
      </c>
      <c r="D421">
        <v>38.630000000000003</v>
      </c>
      <c r="E421">
        <v>38.892499999999998</v>
      </c>
      <c r="F421">
        <v>38.6</v>
      </c>
    </row>
    <row r="422" spans="1:6" x14ac:dyDescent="0.25">
      <c r="A422" s="1">
        <v>44791</v>
      </c>
      <c r="B422">
        <v>38.869999999999997</v>
      </c>
      <c r="C422">
        <v>16558920</v>
      </c>
      <c r="D422">
        <v>38.76</v>
      </c>
      <c r="E422">
        <v>38.99</v>
      </c>
      <c r="F422">
        <v>38.732500000000002</v>
      </c>
    </row>
    <row r="423" spans="1:6" x14ac:dyDescent="0.25">
      <c r="A423" s="1">
        <v>44792</v>
      </c>
      <c r="B423">
        <v>38.85</v>
      </c>
      <c r="C423">
        <v>17286544</v>
      </c>
      <c r="D423">
        <v>38.82</v>
      </c>
      <c r="E423">
        <v>39.024999999999999</v>
      </c>
      <c r="F423">
        <v>38.674999999999997</v>
      </c>
    </row>
    <row r="424" spans="1:6" x14ac:dyDescent="0.25">
      <c r="A424" s="1">
        <v>44795</v>
      </c>
      <c r="B424">
        <v>38.32</v>
      </c>
      <c r="C424">
        <v>26453220</v>
      </c>
      <c r="D424">
        <v>38.664999999999999</v>
      </c>
      <c r="E424">
        <v>38.737499999999997</v>
      </c>
      <c r="F424">
        <v>38.22</v>
      </c>
    </row>
    <row r="425" spans="1:6" x14ac:dyDescent="0.25">
      <c r="A425" s="1">
        <v>44796</v>
      </c>
      <c r="B425">
        <v>38.090000000000003</v>
      </c>
      <c r="C425">
        <v>15747004</v>
      </c>
      <c r="D425">
        <v>38.25</v>
      </c>
      <c r="E425">
        <v>38.335000000000001</v>
      </c>
      <c r="F425">
        <v>37.935000000000002</v>
      </c>
    </row>
    <row r="426" spans="1:6" x14ac:dyDescent="0.25">
      <c r="A426" s="1">
        <v>44797</v>
      </c>
      <c r="B426">
        <v>38.21</v>
      </c>
      <c r="C426">
        <v>15002280</v>
      </c>
      <c r="D426">
        <v>38.04</v>
      </c>
      <c r="E426">
        <v>38.26</v>
      </c>
      <c r="F426">
        <v>37.944899999999997</v>
      </c>
    </row>
    <row r="427" spans="1:6" x14ac:dyDescent="0.25">
      <c r="A427" s="1">
        <v>44798</v>
      </c>
      <c r="B427">
        <v>38.445</v>
      </c>
      <c r="C427">
        <v>14601820</v>
      </c>
      <c r="D427">
        <v>38.299999999999997</v>
      </c>
      <c r="E427">
        <v>38.445</v>
      </c>
      <c r="F427">
        <v>38.01</v>
      </c>
    </row>
    <row r="428" spans="1:6" x14ac:dyDescent="0.25">
      <c r="A428" s="1">
        <v>44799</v>
      </c>
      <c r="B428">
        <v>37.854999999999997</v>
      </c>
      <c r="C428">
        <v>17732406</v>
      </c>
      <c r="D428">
        <v>38.46</v>
      </c>
      <c r="E428">
        <v>38.587499999999999</v>
      </c>
      <c r="F428">
        <v>37.817500000000003</v>
      </c>
    </row>
    <row r="429" spans="1:6" x14ac:dyDescent="0.25">
      <c r="A429" s="1">
        <v>44802</v>
      </c>
      <c r="B429">
        <v>37.97</v>
      </c>
      <c r="C429">
        <v>22477520</v>
      </c>
      <c r="D429">
        <v>37.659999999999997</v>
      </c>
      <c r="E429">
        <v>38.25</v>
      </c>
      <c r="F429">
        <v>37.44</v>
      </c>
    </row>
    <row r="430" spans="1:6" x14ac:dyDescent="0.25">
      <c r="A430" s="1">
        <v>44803</v>
      </c>
      <c r="B430">
        <v>37.414999999999999</v>
      </c>
      <c r="C430">
        <v>20561020</v>
      </c>
      <c r="D430">
        <v>37.96</v>
      </c>
      <c r="E430">
        <v>37.99</v>
      </c>
      <c r="F430">
        <v>37.274999999999999</v>
      </c>
    </row>
    <row r="431" spans="1:6" x14ac:dyDescent="0.25">
      <c r="A431" s="1">
        <v>44804</v>
      </c>
      <c r="B431">
        <v>37.17</v>
      </c>
      <c r="C431">
        <v>22012800</v>
      </c>
      <c r="D431">
        <v>37.435000000000002</v>
      </c>
      <c r="E431">
        <v>37.664999999999999</v>
      </c>
      <c r="F431">
        <v>37.152500000000003</v>
      </c>
    </row>
    <row r="432" spans="1:6" x14ac:dyDescent="0.25">
      <c r="A432" s="1">
        <v>44805</v>
      </c>
      <c r="B432">
        <v>37.704999999999998</v>
      </c>
      <c r="C432">
        <v>28160100</v>
      </c>
      <c r="D432">
        <v>37.024999999999999</v>
      </c>
      <c r="E432">
        <v>37.7575</v>
      </c>
      <c r="F432">
        <v>37.024999999999999</v>
      </c>
    </row>
    <row r="433" spans="1:6" x14ac:dyDescent="0.25">
      <c r="A433" s="1">
        <v>44806</v>
      </c>
      <c r="B433">
        <v>37.299999999999997</v>
      </c>
      <c r="C433">
        <v>25536700</v>
      </c>
      <c r="D433">
        <v>37.799999999999997</v>
      </c>
      <c r="E433">
        <v>38.155000000000001</v>
      </c>
      <c r="F433">
        <v>37.19</v>
      </c>
    </row>
    <row r="434" spans="1:6" x14ac:dyDescent="0.25">
      <c r="A434" s="1">
        <v>44810</v>
      </c>
      <c r="B434">
        <v>37.395000000000003</v>
      </c>
      <c r="C434">
        <v>32900400</v>
      </c>
      <c r="D434">
        <v>37.51</v>
      </c>
      <c r="E434">
        <v>37.917499999999997</v>
      </c>
      <c r="F434">
        <v>37.299999999999997</v>
      </c>
    </row>
    <row r="435" spans="1:6" x14ac:dyDescent="0.25">
      <c r="A435" s="1">
        <v>44811</v>
      </c>
      <c r="B435">
        <v>38.564999999999998</v>
      </c>
      <c r="C435">
        <v>31509720</v>
      </c>
      <c r="D435">
        <v>37.575000000000003</v>
      </c>
      <c r="E435">
        <v>38.619999999999997</v>
      </c>
      <c r="F435">
        <v>37.534999999999997</v>
      </c>
    </row>
    <row r="436" spans="1:6" x14ac:dyDescent="0.25">
      <c r="A436" s="1">
        <v>44812</v>
      </c>
      <c r="B436">
        <v>38.534999999999997</v>
      </c>
      <c r="C436">
        <v>25150660</v>
      </c>
      <c r="D436">
        <v>38.42</v>
      </c>
      <c r="E436">
        <v>38.788600000000002</v>
      </c>
      <c r="F436">
        <v>38.33</v>
      </c>
    </row>
    <row r="437" spans="1:6" x14ac:dyDescent="0.25">
      <c r="A437" s="1">
        <v>44813</v>
      </c>
      <c r="B437">
        <v>38.69</v>
      </c>
      <c r="C437">
        <v>21181400</v>
      </c>
      <c r="D437">
        <v>38.765000000000001</v>
      </c>
      <c r="E437">
        <v>38.909999999999997</v>
      </c>
      <c r="F437">
        <v>38.424999999999997</v>
      </c>
    </row>
    <row r="438" spans="1:6" x14ac:dyDescent="0.25">
      <c r="A438" s="1">
        <v>44816</v>
      </c>
      <c r="B438">
        <v>39.06</v>
      </c>
      <c r="C438">
        <v>22680580</v>
      </c>
      <c r="D438">
        <v>38.795000000000002</v>
      </c>
      <c r="E438">
        <v>39.11</v>
      </c>
      <c r="F438">
        <v>38.674999999999997</v>
      </c>
    </row>
    <row r="439" spans="1:6" x14ac:dyDescent="0.25">
      <c r="A439" s="1">
        <v>44817</v>
      </c>
      <c r="B439">
        <v>38.020000000000003</v>
      </c>
      <c r="C439">
        <v>35156180</v>
      </c>
      <c r="D439">
        <v>38.664999999999999</v>
      </c>
      <c r="E439">
        <v>38.825000000000003</v>
      </c>
      <c r="F439">
        <v>37.835000000000001</v>
      </c>
    </row>
    <row r="440" spans="1:6" x14ac:dyDescent="0.25">
      <c r="A440" s="1">
        <v>44818</v>
      </c>
      <c r="B440">
        <v>38.33</v>
      </c>
      <c r="C440">
        <v>22297440</v>
      </c>
      <c r="D440">
        <v>38.034999999999997</v>
      </c>
      <c r="E440">
        <v>38.545000000000002</v>
      </c>
      <c r="F440">
        <v>37.994999999999997</v>
      </c>
    </row>
    <row r="441" spans="1:6" x14ac:dyDescent="0.25">
      <c r="A441" s="1">
        <v>44819</v>
      </c>
      <c r="B441">
        <v>37.375</v>
      </c>
      <c r="C441">
        <v>36109980</v>
      </c>
      <c r="D441">
        <v>38.024999999999999</v>
      </c>
      <c r="E441">
        <v>38.024999999999999</v>
      </c>
      <c r="F441">
        <v>37.28</v>
      </c>
    </row>
    <row r="442" spans="1:6" x14ac:dyDescent="0.25">
      <c r="A442" s="1">
        <v>44820</v>
      </c>
      <c r="B442">
        <v>37.234999999999999</v>
      </c>
      <c r="C442">
        <v>32222460</v>
      </c>
      <c r="D442">
        <v>37.24</v>
      </c>
      <c r="E442">
        <v>37.524999999999999</v>
      </c>
      <c r="F442">
        <v>37.17</v>
      </c>
    </row>
    <row r="443" spans="1:6" x14ac:dyDescent="0.25">
      <c r="A443" s="1">
        <v>44823</v>
      </c>
      <c r="B443">
        <v>37.479999999999997</v>
      </c>
      <c r="C443">
        <v>21462900</v>
      </c>
      <c r="D443">
        <v>36.869999999999997</v>
      </c>
      <c r="E443">
        <v>37.484999999999999</v>
      </c>
      <c r="F443">
        <v>36.770000000000003</v>
      </c>
    </row>
    <row r="444" spans="1:6" x14ac:dyDescent="0.25">
      <c r="A444" s="1">
        <v>44824</v>
      </c>
      <c r="B444">
        <v>36.935000000000002</v>
      </c>
      <c r="C444">
        <v>23408380</v>
      </c>
      <c r="D444">
        <v>37.234999999999999</v>
      </c>
      <c r="E444">
        <v>37.234999999999999</v>
      </c>
      <c r="F444">
        <v>36.667499999999997</v>
      </c>
    </row>
    <row r="445" spans="1:6" x14ac:dyDescent="0.25">
      <c r="A445" s="1">
        <v>44825</v>
      </c>
      <c r="B445">
        <v>36.43</v>
      </c>
      <c r="C445">
        <v>30461140</v>
      </c>
      <c r="D445">
        <v>37.174999999999997</v>
      </c>
      <c r="E445">
        <v>37.424999999999997</v>
      </c>
      <c r="F445">
        <v>36.414999999999999</v>
      </c>
    </row>
    <row r="446" spans="1:6" x14ac:dyDescent="0.25">
      <c r="A446" s="1">
        <v>44826</v>
      </c>
      <c r="B446">
        <v>36.299999999999997</v>
      </c>
      <c r="C446">
        <v>34700700</v>
      </c>
      <c r="D446">
        <v>36.4</v>
      </c>
      <c r="E446">
        <v>36.545000000000002</v>
      </c>
      <c r="F446">
        <v>36.11</v>
      </c>
    </row>
    <row r="447" spans="1:6" x14ac:dyDescent="0.25">
      <c r="A447" s="1">
        <v>44827</v>
      </c>
      <c r="B447">
        <v>35.880000000000003</v>
      </c>
      <c r="C447">
        <v>32420600</v>
      </c>
      <c r="D447">
        <v>35.945</v>
      </c>
      <c r="E447">
        <v>35.994999999999997</v>
      </c>
      <c r="F447">
        <v>35.42</v>
      </c>
    </row>
    <row r="448" spans="1:6" x14ac:dyDescent="0.25">
      <c r="A448" s="1">
        <v>44830</v>
      </c>
      <c r="B448">
        <v>35.015000000000001</v>
      </c>
      <c r="C448">
        <v>35939000</v>
      </c>
      <c r="D448">
        <v>35.79</v>
      </c>
      <c r="E448">
        <v>35.835000000000001</v>
      </c>
      <c r="F448">
        <v>34.664299999999997</v>
      </c>
    </row>
    <row r="449" spans="1:6" x14ac:dyDescent="0.25">
      <c r="A449" s="1">
        <v>44831</v>
      </c>
      <c r="B449">
        <v>34.424999999999997</v>
      </c>
      <c r="C449">
        <v>38286060</v>
      </c>
      <c r="D449">
        <v>35.244999999999997</v>
      </c>
      <c r="E449">
        <v>35.299999999999997</v>
      </c>
      <c r="F449">
        <v>34.255000000000003</v>
      </c>
    </row>
    <row r="450" spans="1:6" x14ac:dyDescent="0.25">
      <c r="A450" s="1">
        <v>44832</v>
      </c>
      <c r="B450">
        <v>34.795000000000002</v>
      </c>
      <c r="C450">
        <v>45882620</v>
      </c>
      <c r="D450">
        <v>34.825000000000003</v>
      </c>
      <c r="E450">
        <v>35.008499999999998</v>
      </c>
      <c r="F450">
        <v>34.369999999999997</v>
      </c>
    </row>
    <row r="451" spans="1:6" x14ac:dyDescent="0.25">
      <c r="A451" s="1">
        <v>44833</v>
      </c>
      <c r="B451">
        <v>33.4</v>
      </c>
      <c r="C451">
        <v>40661940</v>
      </c>
      <c r="D451">
        <v>34.615000000000002</v>
      </c>
      <c r="E451">
        <v>34.695</v>
      </c>
      <c r="F451">
        <v>33.327500000000001</v>
      </c>
    </row>
    <row r="452" spans="1:6" x14ac:dyDescent="0.25">
      <c r="A452" s="1">
        <v>44834</v>
      </c>
      <c r="B452">
        <v>32.755000000000003</v>
      </c>
      <c r="C452">
        <v>45552980</v>
      </c>
      <c r="D452">
        <v>33.56</v>
      </c>
      <c r="E452">
        <v>33.69</v>
      </c>
      <c r="F452">
        <v>32.685000000000002</v>
      </c>
    </row>
    <row r="453" spans="1:6" x14ac:dyDescent="0.25">
      <c r="A453" s="1">
        <v>44837</v>
      </c>
      <c r="B453">
        <v>33.715000000000003</v>
      </c>
      <c r="C453">
        <v>50893920</v>
      </c>
      <c r="D453">
        <v>33.29</v>
      </c>
      <c r="E453">
        <v>33.897500000000001</v>
      </c>
      <c r="F453">
        <v>33.06</v>
      </c>
    </row>
    <row r="454" spans="1:6" x14ac:dyDescent="0.25">
      <c r="A454" s="1">
        <v>44838</v>
      </c>
      <c r="B454">
        <v>34.43</v>
      </c>
      <c r="C454">
        <v>33993020</v>
      </c>
      <c r="D454">
        <v>33.950000000000003</v>
      </c>
      <c r="E454">
        <v>34.46</v>
      </c>
      <c r="F454">
        <v>33.74</v>
      </c>
    </row>
    <row r="455" spans="1:6" x14ac:dyDescent="0.25">
      <c r="A455" s="1">
        <v>44839</v>
      </c>
      <c r="B455">
        <v>33.664999999999999</v>
      </c>
      <c r="C455">
        <v>34411460</v>
      </c>
      <c r="D455">
        <v>33.99</v>
      </c>
      <c r="E455">
        <v>33.99</v>
      </c>
      <c r="F455">
        <v>33.287500000000001</v>
      </c>
    </row>
    <row r="456" spans="1:6" x14ac:dyDescent="0.25">
      <c r="A456" s="1">
        <v>44840</v>
      </c>
      <c r="B456">
        <v>32.555</v>
      </c>
      <c r="C456">
        <v>51342080</v>
      </c>
      <c r="D456">
        <v>33.520000000000003</v>
      </c>
      <c r="E456">
        <v>33.575000000000003</v>
      </c>
      <c r="F456">
        <v>32.520000000000003</v>
      </c>
    </row>
    <row r="457" spans="1:6" x14ac:dyDescent="0.25">
      <c r="A457" s="1">
        <v>44841</v>
      </c>
      <c r="B457">
        <v>31.88</v>
      </c>
      <c r="C457">
        <v>42166760</v>
      </c>
      <c r="D457">
        <v>32.46</v>
      </c>
      <c r="E457">
        <v>32.58</v>
      </c>
      <c r="F457">
        <v>31.66</v>
      </c>
    </row>
    <row r="458" spans="1:6" x14ac:dyDescent="0.25">
      <c r="A458" s="1">
        <v>44844</v>
      </c>
      <c r="B458">
        <v>31.934999999999999</v>
      </c>
      <c r="C458">
        <v>33035560</v>
      </c>
      <c r="D458">
        <v>31.945</v>
      </c>
      <c r="E458">
        <v>32.314999999999998</v>
      </c>
      <c r="F458">
        <v>31.887499999999999</v>
      </c>
    </row>
    <row r="459" spans="1:6" x14ac:dyDescent="0.25">
      <c r="A459" s="1">
        <v>44845</v>
      </c>
      <c r="B459">
        <v>31.82</v>
      </c>
      <c r="C459">
        <v>34320260</v>
      </c>
      <c r="D459">
        <v>31.815000000000001</v>
      </c>
      <c r="E459">
        <v>32.234999999999999</v>
      </c>
      <c r="F459">
        <v>31.65</v>
      </c>
    </row>
    <row r="460" spans="1:6" x14ac:dyDescent="0.25">
      <c r="A460" s="1">
        <v>44846</v>
      </c>
      <c r="B460">
        <v>30.76</v>
      </c>
      <c r="C460">
        <v>41832960</v>
      </c>
      <c r="D460">
        <v>31.77</v>
      </c>
      <c r="E460">
        <v>31.83</v>
      </c>
      <c r="F460">
        <v>30.74</v>
      </c>
    </row>
    <row r="461" spans="1:6" x14ac:dyDescent="0.25">
      <c r="A461" s="1">
        <v>44847</v>
      </c>
      <c r="B461">
        <v>31.53</v>
      </c>
      <c r="C461">
        <v>61429820</v>
      </c>
      <c r="D461">
        <v>30.295000000000002</v>
      </c>
      <c r="E461">
        <v>31.655000000000001</v>
      </c>
      <c r="F461">
        <v>30.175000000000001</v>
      </c>
    </row>
    <row r="462" spans="1:6" x14ac:dyDescent="0.25">
      <c r="A462" s="1">
        <v>44848</v>
      </c>
      <c r="B462">
        <v>31.074999999999999</v>
      </c>
      <c r="C462">
        <v>39305860</v>
      </c>
      <c r="D462">
        <v>31.855</v>
      </c>
      <c r="E462">
        <v>32.085000000000001</v>
      </c>
      <c r="F462">
        <v>30.9175</v>
      </c>
    </row>
    <row r="463" spans="1:6" x14ac:dyDescent="0.25">
      <c r="A463" s="1">
        <v>44851</v>
      </c>
      <c r="B463">
        <v>31.725000000000001</v>
      </c>
      <c r="C463">
        <v>28247440</v>
      </c>
      <c r="D463">
        <v>31.5</v>
      </c>
      <c r="E463">
        <v>32.024999999999999</v>
      </c>
      <c r="F463">
        <v>31.5</v>
      </c>
    </row>
    <row r="464" spans="1:6" x14ac:dyDescent="0.25">
      <c r="A464" s="1">
        <v>44852</v>
      </c>
      <c r="B464">
        <v>32.305</v>
      </c>
      <c r="C464">
        <v>32083800</v>
      </c>
      <c r="D464">
        <v>32.354999999999997</v>
      </c>
      <c r="E464">
        <v>32.477499999999999</v>
      </c>
      <c r="F464">
        <v>31.984999999999999</v>
      </c>
    </row>
    <row r="465" spans="1:6" x14ac:dyDescent="0.25">
      <c r="A465" s="1">
        <v>44853</v>
      </c>
      <c r="B465">
        <v>31.885000000000002</v>
      </c>
      <c r="C465">
        <v>25686820</v>
      </c>
      <c r="D465">
        <v>31.885000000000002</v>
      </c>
      <c r="E465">
        <v>32.1</v>
      </c>
      <c r="F465">
        <v>31.607500000000002</v>
      </c>
    </row>
    <row r="466" spans="1:6" x14ac:dyDescent="0.25">
      <c r="A466" s="1">
        <v>44854</v>
      </c>
      <c r="B466">
        <v>31.08</v>
      </c>
      <c r="C466">
        <v>31036900</v>
      </c>
      <c r="D466">
        <v>31.895</v>
      </c>
      <c r="E466">
        <v>31.895</v>
      </c>
      <c r="F466">
        <v>30.93</v>
      </c>
    </row>
    <row r="467" spans="1:6" x14ac:dyDescent="0.25">
      <c r="A467" s="1">
        <v>44855</v>
      </c>
      <c r="B467">
        <v>31.655000000000001</v>
      </c>
      <c r="C467">
        <v>31087500</v>
      </c>
      <c r="D467">
        <v>31.195</v>
      </c>
      <c r="E467">
        <v>31.89</v>
      </c>
      <c r="F467">
        <v>30.98</v>
      </c>
    </row>
    <row r="468" spans="1:6" x14ac:dyDescent="0.25">
      <c r="A468" s="1">
        <v>44858</v>
      </c>
      <c r="B468">
        <v>31.92</v>
      </c>
      <c r="C468">
        <v>20061080</v>
      </c>
      <c r="D468">
        <v>31.824999999999999</v>
      </c>
      <c r="E468">
        <v>32.17</v>
      </c>
      <c r="F468">
        <v>31.572500000000002</v>
      </c>
    </row>
    <row r="469" spans="1:6" x14ac:dyDescent="0.25">
      <c r="A469" s="1">
        <v>44859</v>
      </c>
      <c r="B469">
        <v>32.56</v>
      </c>
      <c r="C469">
        <v>28403600</v>
      </c>
      <c r="D469">
        <v>32.024999999999999</v>
      </c>
      <c r="E469">
        <v>32.642499999999998</v>
      </c>
      <c r="F469">
        <v>31.95</v>
      </c>
    </row>
    <row r="470" spans="1:6" x14ac:dyDescent="0.25">
      <c r="A470" s="1">
        <v>44860</v>
      </c>
      <c r="B470">
        <v>32.545000000000002</v>
      </c>
      <c r="C470">
        <v>27069220</v>
      </c>
      <c r="D470">
        <v>32.734999999999999</v>
      </c>
      <c r="E470">
        <v>32.9</v>
      </c>
      <c r="F470">
        <v>32.405000000000001</v>
      </c>
    </row>
    <row r="471" spans="1:6" x14ac:dyDescent="0.25">
      <c r="A471" s="1">
        <v>44861</v>
      </c>
      <c r="B471">
        <v>32.805</v>
      </c>
      <c r="C471">
        <v>24514600</v>
      </c>
      <c r="D471">
        <v>32.78</v>
      </c>
      <c r="E471">
        <v>33.174999999999997</v>
      </c>
      <c r="F471">
        <v>32.71</v>
      </c>
    </row>
    <row r="472" spans="1:6" x14ac:dyDescent="0.25">
      <c r="A472" s="1">
        <v>44862</v>
      </c>
      <c r="B472">
        <v>33.704999999999998</v>
      </c>
      <c r="C472">
        <v>27185780</v>
      </c>
      <c r="D472">
        <v>32.94</v>
      </c>
      <c r="E472">
        <v>33.774999999999999</v>
      </c>
      <c r="F472">
        <v>32.895000000000003</v>
      </c>
    </row>
    <row r="473" spans="1:6" x14ac:dyDescent="0.25">
      <c r="A473" s="1">
        <v>44865</v>
      </c>
      <c r="B473">
        <v>33.39</v>
      </c>
      <c r="C473">
        <v>21789600</v>
      </c>
      <c r="D473">
        <v>33.619999999999997</v>
      </c>
      <c r="E473">
        <v>33.76</v>
      </c>
      <c r="F473">
        <v>33.188699999999997</v>
      </c>
    </row>
    <row r="474" spans="1:6" x14ac:dyDescent="0.25">
      <c r="A474" s="1">
        <v>44866</v>
      </c>
      <c r="B474">
        <v>33.520000000000003</v>
      </c>
      <c r="C474">
        <v>21479340</v>
      </c>
      <c r="D474">
        <v>33.590000000000003</v>
      </c>
      <c r="E474">
        <v>33.715000000000003</v>
      </c>
      <c r="F474">
        <v>33.255000000000003</v>
      </c>
    </row>
    <row r="475" spans="1:6" x14ac:dyDescent="0.25">
      <c r="A475" s="1">
        <v>44867</v>
      </c>
      <c r="B475">
        <v>33.195</v>
      </c>
      <c r="C475">
        <v>42680700</v>
      </c>
      <c r="D475">
        <v>33.409999999999997</v>
      </c>
      <c r="E475">
        <v>34.104999999999997</v>
      </c>
      <c r="F475">
        <v>33.182499999999997</v>
      </c>
    </row>
    <row r="476" spans="1:6" x14ac:dyDescent="0.25">
      <c r="A476" s="1">
        <v>44868</v>
      </c>
      <c r="B476">
        <v>33.340000000000003</v>
      </c>
      <c r="C476">
        <v>28656380</v>
      </c>
      <c r="D476">
        <v>32.880000000000003</v>
      </c>
      <c r="E476">
        <v>33.634999999999998</v>
      </c>
      <c r="F476">
        <v>32.700000000000003</v>
      </c>
    </row>
    <row r="477" spans="1:6" x14ac:dyDescent="0.25">
      <c r="A477" s="1">
        <v>44869</v>
      </c>
      <c r="B477">
        <v>33.545000000000002</v>
      </c>
      <c r="C477">
        <v>24298380</v>
      </c>
      <c r="D477">
        <v>33.409999999999997</v>
      </c>
      <c r="E477">
        <v>33.68</v>
      </c>
      <c r="F477">
        <v>32.960500000000003</v>
      </c>
    </row>
    <row r="478" spans="1:6" x14ac:dyDescent="0.25">
      <c r="A478" s="1">
        <v>44872</v>
      </c>
      <c r="B478">
        <v>32.905000000000001</v>
      </c>
      <c r="C478">
        <v>28592800</v>
      </c>
      <c r="D478">
        <v>33.479999999999997</v>
      </c>
      <c r="E478">
        <v>33.534999999999997</v>
      </c>
      <c r="F478">
        <v>32.3825</v>
      </c>
    </row>
    <row r="479" spans="1:6" x14ac:dyDescent="0.25">
      <c r="A479" s="1">
        <v>44873</v>
      </c>
      <c r="B479">
        <v>33.134999999999998</v>
      </c>
      <c r="C479">
        <v>24827880</v>
      </c>
      <c r="D479">
        <v>32.950000000000003</v>
      </c>
      <c r="E479">
        <v>33.340000000000003</v>
      </c>
      <c r="F479">
        <v>32.844999999999999</v>
      </c>
    </row>
    <row r="480" spans="1:6" x14ac:dyDescent="0.25">
      <c r="A480" s="1">
        <v>44874</v>
      </c>
      <c r="B480">
        <v>32.875</v>
      </c>
      <c r="C480">
        <v>25781720</v>
      </c>
      <c r="D480">
        <v>33</v>
      </c>
      <c r="E480">
        <v>33.252499999999998</v>
      </c>
      <c r="F480">
        <v>32.81</v>
      </c>
    </row>
    <row r="481" spans="1:6" x14ac:dyDescent="0.25">
      <c r="A481" s="1">
        <v>44875</v>
      </c>
      <c r="B481">
        <v>34.424999999999997</v>
      </c>
      <c r="C481">
        <v>35830380</v>
      </c>
      <c r="D481">
        <v>33.865000000000002</v>
      </c>
      <c r="E481">
        <v>34.487499999999997</v>
      </c>
      <c r="F481">
        <v>33.365000000000002</v>
      </c>
    </row>
    <row r="482" spans="1:6" x14ac:dyDescent="0.25">
      <c r="A482" s="1">
        <v>44876</v>
      </c>
      <c r="B482">
        <v>34.04</v>
      </c>
      <c r="C482">
        <v>30624300</v>
      </c>
      <c r="D482">
        <v>34.424999999999997</v>
      </c>
      <c r="E482">
        <v>34.515000000000001</v>
      </c>
      <c r="F482">
        <v>33.716900000000003</v>
      </c>
    </row>
    <row r="483" spans="1:6" x14ac:dyDescent="0.25">
      <c r="A483" s="1">
        <v>44879</v>
      </c>
      <c r="B483">
        <v>33.634999999999998</v>
      </c>
      <c r="C483">
        <v>20491060</v>
      </c>
      <c r="D483">
        <v>34.06</v>
      </c>
      <c r="E483">
        <v>34.244999999999997</v>
      </c>
      <c r="F483">
        <v>33.619999999999997</v>
      </c>
    </row>
    <row r="484" spans="1:6" x14ac:dyDescent="0.25">
      <c r="A484" s="1">
        <v>44880</v>
      </c>
      <c r="B484">
        <v>34.005000000000003</v>
      </c>
      <c r="C484">
        <v>27242000</v>
      </c>
      <c r="D484">
        <v>33.99</v>
      </c>
      <c r="E484">
        <v>34.24</v>
      </c>
      <c r="F484">
        <v>33.594999999999999</v>
      </c>
    </row>
    <row r="485" spans="1:6" x14ac:dyDescent="0.25">
      <c r="A485" s="1">
        <v>44881</v>
      </c>
      <c r="B485">
        <v>34.31</v>
      </c>
      <c r="C485">
        <v>26462640</v>
      </c>
      <c r="D485">
        <v>34.020000000000003</v>
      </c>
      <c r="E485">
        <v>34.484999999999999</v>
      </c>
      <c r="F485">
        <v>34.020000000000003</v>
      </c>
    </row>
    <row r="486" spans="1:6" x14ac:dyDescent="0.25">
      <c r="A486" s="1">
        <v>44882</v>
      </c>
      <c r="B486">
        <v>33.71</v>
      </c>
      <c r="C486">
        <v>23247380</v>
      </c>
      <c r="D486">
        <v>33.935000000000002</v>
      </c>
      <c r="E486">
        <v>34.03</v>
      </c>
      <c r="F486">
        <v>33.545000000000002</v>
      </c>
    </row>
    <row r="487" spans="1:6" x14ac:dyDescent="0.25">
      <c r="A487" s="1">
        <v>44883</v>
      </c>
      <c r="B487">
        <v>34.424999999999997</v>
      </c>
      <c r="C487">
        <v>23483040</v>
      </c>
      <c r="D487">
        <v>34.024999999999999</v>
      </c>
      <c r="E487">
        <v>34.46</v>
      </c>
      <c r="F487">
        <v>34.01</v>
      </c>
    </row>
    <row r="488" spans="1:6" x14ac:dyDescent="0.25">
      <c r="A488" s="1">
        <v>44886</v>
      </c>
      <c r="B488">
        <v>34.58</v>
      </c>
      <c r="C488">
        <v>22877220</v>
      </c>
      <c r="D488">
        <v>34.369999999999997</v>
      </c>
      <c r="E488">
        <v>34.682499999999997</v>
      </c>
      <c r="F488">
        <v>34.344999999999999</v>
      </c>
    </row>
    <row r="489" spans="1:6" x14ac:dyDescent="0.25">
      <c r="A489" s="1">
        <v>44887</v>
      </c>
      <c r="B489">
        <v>34.875</v>
      </c>
      <c r="C489">
        <v>14905586</v>
      </c>
      <c r="D489">
        <v>34.744999999999997</v>
      </c>
      <c r="E489">
        <v>35.090000000000003</v>
      </c>
      <c r="F489">
        <v>34.652500000000003</v>
      </c>
    </row>
    <row r="490" spans="1:6" x14ac:dyDescent="0.25">
      <c r="A490" s="1">
        <v>44888</v>
      </c>
      <c r="B490">
        <v>35.265000000000001</v>
      </c>
      <c r="C490">
        <v>14333548</v>
      </c>
      <c r="D490">
        <v>34.774999999999999</v>
      </c>
      <c r="E490">
        <v>35.28</v>
      </c>
      <c r="F490">
        <v>34.774999999999999</v>
      </c>
    </row>
    <row r="491" spans="1:6" x14ac:dyDescent="0.25">
      <c r="A491" s="1">
        <v>44890</v>
      </c>
      <c r="B491">
        <v>35.47</v>
      </c>
      <c r="C491">
        <v>8982966</v>
      </c>
      <c r="D491">
        <v>35.395000000000003</v>
      </c>
      <c r="E491">
        <v>35.58</v>
      </c>
      <c r="F491">
        <v>35.369999999999997</v>
      </c>
    </row>
    <row r="492" spans="1:6" x14ac:dyDescent="0.25">
      <c r="A492" s="1">
        <v>44893</v>
      </c>
      <c r="B492">
        <v>35.104999999999997</v>
      </c>
      <c r="C492">
        <v>18263948</v>
      </c>
      <c r="D492">
        <v>35.225000000000001</v>
      </c>
      <c r="E492">
        <v>35.36</v>
      </c>
      <c r="F492">
        <v>34.954999999999998</v>
      </c>
    </row>
    <row r="493" spans="1:6" x14ac:dyDescent="0.25">
      <c r="A493" s="1">
        <v>44894</v>
      </c>
      <c r="B493">
        <v>34.844999999999999</v>
      </c>
      <c r="C493">
        <v>19004810</v>
      </c>
      <c r="D493">
        <v>34.89</v>
      </c>
      <c r="E493">
        <v>34.92</v>
      </c>
      <c r="F493">
        <v>34.64</v>
      </c>
    </row>
    <row r="494" spans="1:6" x14ac:dyDescent="0.25">
      <c r="A494" s="1">
        <v>44895</v>
      </c>
      <c r="B494">
        <v>35.715000000000003</v>
      </c>
      <c r="C494">
        <v>32946320</v>
      </c>
      <c r="D494">
        <v>34.78</v>
      </c>
      <c r="E494">
        <v>35.79</v>
      </c>
      <c r="F494">
        <v>34.744999999999997</v>
      </c>
    </row>
    <row r="495" spans="1:6" x14ac:dyDescent="0.25">
      <c r="A495" s="1">
        <v>44896</v>
      </c>
      <c r="B495">
        <v>35.685000000000002</v>
      </c>
      <c r="C495">
        <v>30706260</v>
      </c>
      <c r="D495">
        <v>36.064999999999998</v>
      </c>
      <c r="E495">
        <v>36.255000000000003</v>
      </c>
      <c r="F495">
        <v>35.592500000000001</v>
      </c>
    </row>
    <row r="496" spans="1:6" x14ac:dyDescent="0.25">
      <c r="A496" s="1">
        <v>44897</v>
      </c>
      <c r="B496">
        <v>35.515000000000001</v>
      </c>
      <c r="C496">
        <v>20708640</v>
      </c>
      <c r="D496">
        <v>35.305</v>
      </c>
      <c r="E496">
        <v>35.607500000000002</v>
      </c>
      <c r="F496">
        <v>35.159999999999997</v>
      </c>
    </row>
    <row r="497" spans="1:6" x14ac:dyDescent="0.25">
      <c r="A497" s="1">
        <v>44900</v>
      </c>
      <c r="B497">
        <v>35.314999999999998</v>
      </c>
      <c r="C497">
        <v>22903060</v>
      </c>
      <c r="D497">
        <v>35.244999999999997</v>
      </c>
      <c r="E497">
        <v>35.450000000000003</v>
      </c>
      <c r="F497">
        <v>35.18</v>
      </c>
    </row>
    <row r="498" spans="1:6" x14ac:dyDescent="0.25">
      <c r="A498" s="1">
        <v>44901</v>
      </c>
      <c r="B498">
        <v>35.534999999999997</v>
      </c>
      <c r="C498">
        <v>25649540</v>
      </c>
      <c r="D498">
        <v>35.265000000000001</v>
      </c>
      <c r="E498">
        <v>35.555</v>
      </c>
      <c r="F498">
        <v>35.130499999999998</v>
      </c>
    </row>
    <row r="499" spans="1:6" x14ac:dyDescent="0.25">
      <c r="A499" s="1">
        <v>44902</v>
      </c>
      <c r="B499">
        <v>35.369999999999997</v>
      </c>
      <c r="C499">
        <v>28297920</v>
      </c>
      <c r="D499">
        <v>35.564999999999998</v>
      </c>
      <c r="E499">
        <v>35.805</v>
      </c>
      <c r="F499">
        <v>35.24</v>
      </c>
    </row>
    <row r="500" spans="1:6" x14ac:dyDescent="0.25">
      <c r="A500" s="1">
        <v>44903</v>
      </c>
      <c r="B500">
        <v>35.6</v>
      </c>
      <c r="C500">
        <v>19920116</v>
      </c>
      <c r="D500">
        <v>35.375</v>
      </c>
      <c r="E500">
        <v>35.729999999999997</v>
      </c>
      <c r="F500">
        <v>35.244999999999997</v>
      </c>
    </row>
    <row r="501" spans="1:6" x14ac:dyDescent="0.25">
      <c r="A501" s="1">
        <v>44904</v>
      </c>
      <c r="B501">
        <v>35.414999999999999</v>
      </c>
      <c r="C501">
        <v>23837280</v>
      </c>
      <c r="D501">
        <v>35.475000000000001</v>
      </c>
      <c r="E501">
        <v>35.725000000000001</v>
      </c>
      <c r="F501">
        <v>35.380000000000003</v>
      </c>
    </row>
    <row r="502" spans="1:6" x14ac:dyDescent="0.25">
      <c r="A502" s="1">
        <v>44907</v>
      </c>
      <c r="B502">
        <v>36.225000000000001</v>
      </c>
      <c r="C502">
        <v>22763840</v>
      </c>
      <c r="D502">
        <v>35.604999999999997</v>
      </c>
      <c r="E502">
        <v>36.234999999999999</v>
      </c>
      <c r="F502">
        <v>35.472499999999997</v>
      </c>
    </row>
    <row r="503" spans="1:6" x14ac:dyDescent="0.25">
      <c r="A503" s="1">
        <v>44908</v>
      </c>
      <c r="B503">
        <v>36.335000000000001</v>
      </c>
      <c r="C503">
        <v>27388420</v>
      </c>
      <c r="D503">
        <v>36.734999999999999</v>
      </c>
      <c r="E503">
        <v>36.895000000000003</v>
      </c>
      <c r="F503">
        <v>35.9375</v>
      </c>
    </row>
    <row r="504" spans="1:6" x14ac:dyDescent="0.25">
      <c r="A504" s="1">
        <v>44909</v>
      </c>
      <c r="B504">
        <v>36.29</v>
      </c>
      <c r="C504">
        <v>26637440</v>
      </c>
      <c r="D504">
        <v>36.46</v>
      </c>
      <c r="E504">
        <v>36.847499999999997</v>
      </c>
      <c r="F504">
        <v>36.024999999999999</v>
      </c>
    </row>
    <row r="505" spans="1:6" x14ac:dyDescent="0.25">
      <c r="A505" s="1">
        <v>44910</v>
      </c>
      <c r="B505">
        <v>35.85</v>
      </c>
      <c r="C505">
        <v>26308580</v>
      </c>
      <c r="D505">
        <v>36.15</v>
      </c>
      <c r="E505">
        <v>36.21</v>
      </c>
      <c r="F505">
        <v>35.68</v>
      </c>
    </row>
    <row r="506" spans="1:6" x14ac:dyDescent="0.25">
      <c r="A506" s="1">
        <v>44911</v>
      </c>
      <c r="B506">
        <v>35.24</v>
      </c>
      <c r="C506">
        <v>39263420</v>
      </c>
      <c r="D506">
        <v>35.58</v>
      </c>
      <c r="E506">
        <v>35.58</v>
      </c>
      <c r="F506">
        <v>34.799999999999997</v>
      </c>
    </row>
    <row r="507" spans="1:6" x14ac:dyDescent="0.25">
      <c r="A507" s="1">
        <v>44914</v>
      </c>
      <c r="B507">
        <v>34.814999999999998</v>
      </c>
      <c r="C507">
        <v>19664570</v>
      </c>
      <c r="D507">
        <v>34.774999999999999</v>
      </c>
      <c r="E507">
        <v>35.15</v>
      </c>
      <c r="F507">
        <v>34.590000000000003</v>
      </c>
    </row>
    <row r="508" spans="1:6" x14ac:dyDescent="0.25">
      <c r="A508" s="1">
        <v>44915</v>
      </c>
      <c r="B508">
        <v>34.825000000000003</v>
      </c>
      <c r="C508">
        <v>15964072</v>
      </c>
      <c r="D508">
        <v>34.795000000000002</v>
      </c>
      <c r="E508">
        <v>35.015000000000001</v>
      </c>
      <c r="F508">
        <v>34.57</v>
      </c>
    </row>
    <row r="509" spans="1:6" x14ac:dyDescent="0.25">
      <c r="A509" s="1">
        <v>44916</v>
      </c>
      <c r="B509">
        <v>35.31</v>
      </c>
      <c r="C509">
        <v>16484728</v>
      </c>
      <c r="D509">
        <v>35.034999999999997</v>
      </c>
      <c r="E509">
        <v>35.322499999999998</v>
      </c>
      <c r="F509">
        <v>34.92</v>
      </c>
    </row>
    <row r="510" spans="1:6" x14ac:dyDescent="0.25">
      <c r="A510" s="1">
        <v>44917</v>
      </c>
      <c r="B510">
        <v>35.094999999999999</v>
      </c>
      <c r="C510">
        <v>14103904</v>
      </c>
      <c r="D510">
        <v>35.255000000000003</v>
      </c>
      <c r="E510">
        <v>35.255000000000003</v>
      </c>
      <c r="F510">
        <v>34.515000000000001</v>
      </c>
    </row>
    <row r="511" spans="1:6" x14ac:dyDescent="0.25">
      <c r="A511" s="1">
        <v>44918</v>
      </c>
      <c r="B511">
        <v>35.454999999999998</v>
      </c>
      <c r="C511">
        <v>11349494</v>
      </c>
      <c r="D511">
        <v>35.03</v>
      </c>
      <c r="E511">
        <v>35.477499999999999</v>
      </c>
      <c r="F511">
        <v>35.024999999999999</v>
      </c>
    </row>
    <row r="512" spans="1:6" x14ac:dyDescent="0.25">
      <c r="A512" s="1">
        <v>44922</v>
      </c>
      <c r="B512">
        <v>35.674999999999997</v>
      </c>
      <c r="C512">
        <v>12211302</v>
      </c>
      <c r="D512">
        <v>35.534999999999997</v>
      </c>
      <c r="E512">
        <v>35.75</v>
      </c>
      <c r="F512">
        <v>35.31</v>
      </c>
    </row>
    <row r="513" spans="1:6" x14ac:dyDescent="0.25">
      <c r="A513" s="1">
        <v>44923</v>
      </c>
      <c r="B513">
        <v>35.335000000000001</v>
      </c>
      <c r="C513">
        <v>14431324</v>
      </c>
      <c r="D513">
        <v>35.755000000000003</v>
      </c>
      <c r="E513">
        <v>35.905000000000001</v>
      </c>
      <c r="F513">
        <v>35.277500000000003</v>
      </c>
    </row>
    <row r="514" spans="1:6" x14ac:dyDescent="0.25">
      <c r="A514" s="1">
        <v>44924</v>
      </c>
      <c r="B514">
        <v>35.590000000000003</v>
      </c>
      <c r="C514">
        <v>11555294</v>
      </c>
      <c r="D514">
        <v>35.51</v>
      </c>
      <c r="E514">
        <v>35.787799999999997</v>
      </c>
      <c r="F514">
        <v>35.484999999999999</v>
      </c>
    </row>
    <row r="515" spans="1:6" x14ac:dyDescent="0.25">
      <c r="A515" s="1">
        <v>44925</v>
      </c>
      <c r="B515">
        <v>35.25</v>
      </c>
      <c r="C515">
        <v>14700214</v>
      </c>
      <c r="D515">
        <v>35.555</v>
      </c>
      <c r="E515">
        <v>35.615000000000002</v>
      </c>
      <c r="F515">
        <v>34.92</v>
      </c>
    </row>
    <row r="516" spans="1:6" x14ac:dyDescent="0.25">
      <c r="A516" s="1">
        <v>44929</v>
      </c>
      <c r="B516">
        <v>35.25</v>
      </c>
      <c r="C516">
        <v>25774240</v>
      </c>
      <c r="D516">
        <v>35.35</v>
      </c>
      <c r="E516">
        <v>35.47</v>
      </c>
      <c r="F516">
        <v>34.768500000000003</v>
      </c>
    </row>
    <row r="517" spans="1:6" x14ac:dyDescent="0.25">
      <c r="A517" s="1">
        <v>44930</v>
      </c>
      <c r="B517">
        <v>35.57</v>
      </c>
      <c r="C517">
        <v>20872700</v>
      </c>
      <c r="D517">
        <v>35.409999999999997</v>
      </c>
      <c r="E517">
        <v>35.887500000000003</v>
      </c>
      <c r="F517">
        <v>35.352499999999999</v>
      </c>
    </row>
    <row r="518" spans="1:6" x14ac:dyDescent="0.25">
      <c r="A518" s="1">
        <v>44931</v>
      </c>
      <c r="B518">
        <v>34.799999999999997</v>
      </c>
      <c r="C518">
        <v>19572860</v>
      </c>
      <c r="D518">
        <v>35.299999999999997</v>
      </c>
      <c r="E518">
        <v>35.435000000000002</v>
      </c>
      <c r="F518">
        <v>34.692500000000003</v>
      </c>
    </row>
    <row r="519" spans="1:6" x14ac:dyDescent="0.25">
      <c r="A519" s="1">
        <v>44932</v>
      </c>
      <c r="B519">
        <v>35.5</v>
      </c>
      <c r="C519">
        <v>19620574</v>
      </c>
      <c r="D519">
        <v>35.195</v>
      </c>
      <c r="E519">
        <v>35.67</v>
      </c>
      <c r="F519">
        <v>35.145000000000003</v>
      </c>
    </row>
    <row r="520" spans="1:6" x14ac:dyDescent="0.25">
      <c r="A520" s="1">
        <v>44935</v>
      </c>
      <c r="B520">
        <v>35.74</v>
      </c>
      <c r="C520">
        <v>23438720</v>
      </c>
      <c r="D520">
        <v>35.494999999999997</v>
      </c>
      <c r="E520">
        <v>36.01</v>
      </c>
      <c r="F520">
        <v>35.39</v>
      </c>
    </row>
    <row r="521" spans="1:6" x14ac:dyDescent="0.25">
      <c r="A521" s="1">
        <v>44936</v>
      </c>
      <c r="B521">
        <v>35.75</v>
      </c>
      <c r="C521">
        <v>17214952</v>
      </c>
      <c r="D521">
        <v>35.645000000000003</v>
      </c>
      <c r="E521">
        <v>35.770000000000003</v>
      </c>
      <c r="F521">
        <v>35.33</v>
      </c>
    </row>
    <row r="522" spans="1:6" x14ac:dyDescent="0.25">
      <c r="A522" s="1">
        <v>44937</v>
      </c>
      <c r="B522">
        <v>36.04</v>
      </c>
      <c r="C522">
        <v>21371840</v>
      </c>
      <c r="D522">
        <v>35.75</v>
      </c>
      <c r="E522">
        <v>36.090000000000003</v>
      </c>
      <c r="F522">
        <v>35.744999999999997</v>
      </c>
    </row>
    <row r="523" spans="1:6" x14ac:dyDescent="0.25">
      <c r="A523" s="1">
        <v>44938</v>
      </c>
      <c r="B523">
        <v>35.795000000000002</v>
      </c>
      <c r="C523">
        <v>25797760</v>
      </c>
      <c r="D523">
        <v>36.085000000000001</v>
      </c>
      <c r="E523">
        <v>36.134999999999998</v>
      </c>
      <c r="F523">
        <v>35.765000000000001</v>
      </c>
    </row>
    <row r="524" spans="1:6" x14ac:dyDescent="0.25">
      <c r="A524" s="1">
        <v>44939</v>
      </c>
      <c r="B524">
        <v>35.664999999999999</v>
      </c>
      <c r="C524">
        <v>23793580</v>
      </c>
      <c r="D524">
        <v>35.645000000000003</v>
      </c>
      <c r="E524">
        <v>35.784999999999997</v>
      </c>
      <c r="F524">
        <v>35.4</v>
      </c>
    </row>
    <row r="525" spans="1:6" x14ac:dyDescent="0.25">
      <c r="A525" s="1">
        <v>44943</v>
      </c>
      <c r="B525">
        <v>35.615000000000002</v>
      </c>
      <c r="C525">
        <v>19530468</v>
      </c>
      <c r="D525">
        <v>35.69</v>
      </c>
      <c r="E525">
        <v>35.945</v>
      </c>
      <c r="F525">
        <v>35.555</v>
      </c>
    </row>
    <row r="526" spans="1:6" x14ac:dyDescent="0.25">
      <c r="A526" s="1">
        <v>44944</v>
      </c>
      <c r="B526">
        <v>34.76</v>
      </c>
      <c r="C526">
        <v>29020460</v>
      </c>
      <c r="D526">
        <v>35.770000000000003</v>
      </c>
      <c r="E526">
        <v>35.770000000000003</v>
      </c>
      <c r="F526">
        <v>34.715000000000003</v>
      </c>
    </row>
    <row r="527" spans="1:6" x14ac:dyDescent="0.25">
      <c r="A527" s="1">
        <v>44945</v>
      </c>
      <c r="B527">
        <v>34.409999999999997</v>
      </c>
      <c r="C527">
        <v>28393960</v>
      </c>
      <c r="D527">
        <v>34.744999999999997</v>
      </c>
      <c r="E527">
        <v>34.78</v>
      </c>
      <c r="F527">
        <v>34.325000000000003</v>
      </c>
    </row>
    <row r="528" spans="1:6" x14ac:dyDescent="0.25">
      <c r="A528" s="1">
        <v>44946</v>
      </c>
      <c r="B528">
        <v>34.615000000000002</v>
      </c>
      <c r="C528">
        <v>26620960</v>
      </c>
      <c r="D528">
        <v>34.39</v>
      </c>
      <c r="E528">
        <v>34.627499999999998</v>
      </c>
      <c r="F528">
        <v>33.92</v>
      </c>
    </row>
    <row r="529" spans="1:6" x14ac:dyDescent="0.25">
      <c r="A529" s="1">
        <v>44949</v>
      </c>
      <c r="B529">
        <v>34.625</v>
      </c>
      <c r="C529">
        <v>19652876</v>
      </c>
      <c r="D529">
        <v>34.494999999999997</v>
      </c>
      <c r="E529">
        <v>34.96</v>
      </c>
      <c r="F529">
        <v>34.344999999999999</v>
      </c>
    </row>
    <row r="530" spans="1:6" x14ac:dyDescent="0.25">
      <c r="A530" s="1">
        <v>44950</v>
      </c>
      <c r="B530">
        <v>34.799999999999997</v>
      </c>
      <c r="C530">
        <v>20658720</v>
      </c>
      <c r="D530">
        <v>34.659999999999997</v>
      </c>
      <c r="E530">
        <v>34.905000000000001</v>
      </c>
      <c r="F530">
        <v>34.215000000000003</v>
      </c>
    </row>
    <row r="531" spans="1:6" x14ac:dyDescent="0.25">
      <c r="A531" s="1">
        <v>44951</v>
      </c>
      <c r="B531">
        <v>34.33</v>
      </c>
      <c r="C531">
        <v>25982980</v>
      </c>
      <c r="D531">
        <v>34.29</v>
      </c>
      <c r="E531">
        <v>34.409999999999997</v>
      </c>
      <c r="F531">
        <v>33.979999999999997</v>
      </c>
    </row>
    <row r="532" spans="1:6" x14ac:dyDescent="0.25">
      <c r="A532" s="1">
        <v>44952</v>
      </c>
      <c r="B532">
        <v>34.445</v>
      </c>
      <c r="C532">
        <v>20360080</v>
      </c>
      <c r="D532">
        <v>34.15</v>
      </c>
      <c r="E532">
        <v>34.5</v>
      </c>
      <c r="F532">
        <v>34.085000000000001</v>
      </c>
    </row>
    <row r="533" spans="1:6" x14ac:dyDescent="0.25">
      <c r="A533" s="1">
        <v>44953</v>
      </c>
      <c r="B533">
        <v>34.445</v>
      </c>
      <c r="C533">
        <v>15425768</v>
      </c>
      <c r="D533">
        <v>34.369999999999997</v>
      </c>
      <c r="E533">
        <v>34.592500000000001</v>
      </c>
      <c r="F533">
        <v>34.234999999999999</v>
      </c>
    </row>
    <row r="534" spans="1:6" x14ac:dyDescent="0.25">
      <c r="A534" s="1">
        <v>44956</v>
      </c>
      <c r="B534">
        <v>34.29</v>
      </c>
      <c r="C534">
        <v>15561042</v>
      </c>
      <c r="D534">
        <v>34.32</v>
      </c>
      <c r="E534">
        <v>34.68</v>
      </c>
      <c r="F534">
        <v>34.262500000000003</v>
      </c>
    </row>
    <row r="535" spans="1:6" x14ac:dyDescent="0.25">
      <c r="A535" s="1">
        <v>44957</v>
      </c>
      <c r="B535">
        <v>34.545000000000002</v>
      </c>
      <c r="C535">
        <v>19442306</v>
      </c>
      <c r="D535">
        <v>34.384999999999998</v>
      </c>
      <c r="E535">
        <v>34.555</v>
      </c>
      <c r="F535">
        <v>33.979999999999997</v>
      </c>
    </row>
    <row r="536" spans="1:6" x14ac:dyDescent="0.25">
      <c r="A536" s="1">
        <v>44958</v>
      </c>
      <c r="B536">
        <v>34.604999999999997</v>
      </c>
      <c r="C536">
        <v>30944980</v>
      </c>
      <c r="D536">
        <v>34.380000000000003</v>
      </c>
      <c r="E536">
        <v>34.85</v>
      </c>
      <c r="F536">
        <v>34.134999999999998</v>
      </c>
    </row>
    <row r="537" spans="1:6" x14ac:dyDescent="0.25">
      <c r="A537" s="1">
        <v>44959</v>
      </c>
      <c r="B537">
        <v>34.68</v>
      </c>
      <c r="C537">
        <v>24997080</v>
      </c>
      <c r="D537">
        <v>34.625</v>
      </c>
      <c r="E537">
        <v>35.064999999999998</v>
      </c>
      <c r="F537">
        <v>34.354999999999997</v>
      </c>
    </row>
    <row r="538" spans="1:6" x14ac:dyDescent="0.25">
      <c r="A538" s="1">
        <v>44960</v>
      </c>
      <c r="B538">
        <v>33.954999999999998</v>
      </c>
      <c r="C538">
        <v>25362280</v>
      </c>
      <c r="D538">
        <v>34.369999999999997</v>
      </c>
      <c r="E538">
        <v>34.505000000000003</v>
      </c>
      <c r="F538">
        <v>33.5</v>
      </c>
    </row>
    <row r="539" spans="1:6" x14ac:dyDescent="0.25">
      <c r="A539" s="1">
        <v>44963</v>
      </c>
      <c r="B539">
        <v>34.244999999999997</v>
      </c>
      <c r="C539">
        <v>31414140</v>
      </c>
      <c r="D539">
        <v>33.83</v>
      </c>
      <c r="E539">
        <v>34.272500000000001</v>
      </c>
      <c r="F539">
        <v>33.770000000000003</v>
      </c>
    </row>
    <row r="540" spans="1:6" x14ac:dyDescent="0.25">
      <c r="A540" s="1">
        <v>44964</v>
      </c>
      <c r="B540">
        <v>34.229999999999997</v>
      </c>
      <c r="C540">
        <v>21124620</v>
      </c>
      <c r="D540">
        <v>34.090000000000003</v>
      </c>
      <c r="E540">
        <v>34.340000000000003</v>
      </c>
      <c r="F540">
        <v>33.755000000000003</v>
      </c>
    </row>
    <row r="541" spans="1:6" x14ac:dyDescent="0.25">
      <c r="A541" s="1">
        <v>44965</v>
      </c>
      <c r="B541">
        <v>33.655000000000001</v>
      </c>
      <c r="C541">
        <v>22471700</v>
      </c>
      <c r="D541">
        <v>34.03</v>
      </c>
      <c r="E541">
        <v>34.045000000000002</v>
      </c>
      <c r="F541">
        <v>33.484999999999999</v>
      </c>
    </row>
    <row r="542" spans="1:6" x14ac:dyDescent="0.25">
      <c r="A542" s="1">
        <v>44966</v>
      </c>
      <c r="B542">
        <v>33.195</v>
      </c>
      <c r="C542">
        <v>20715520</v>
      </c>
      <c r="D542">
        <v>33.734999999999999</v>
      </c>
      <c r="E542">
        <v>33.92</v>
      </c>
      <c r="F542">
        <v>33.137500000000003</v>
      </c>
    </row>
    <row r="543" spans="1:6" x14ac:dyDescent="0.25">
      <c r="A543" s="1">
        <v>44967</v>
      </c>
      <c r="B543">
        <v>33.854999999999997</v>
      </c>
      <c r="C543">
        <v>30963480</v>
      </c>
      <c r="D543">
        <v>33.229999999999997</v>
      </c>
      <c r="E543">
        <v>33.884999999999998</v>
      </c>
      <c r="F543">
        <v>33.19</v>
      </c>
    </row>
    <row r="544" spans="1:6" x14ac:dyDescent="0.25">
      <c r="A544" s="1">
        <v>44970</v>
      </c>
      <c r="B544">
        <v>34.06</v>
      </c>
      <c r="C544">
        <v>16183864</v>
      </c>
      <c r="D544">
        <v>33.869999999999997</v>
      </c>
      <c r="E544">
        <v>34.145000000000003</v>
      </c>
      <c r="F544">
        <v>33.869999999999997</v>
      </c>
    </row>
    <row r="545" spans="1:6" x14ac:dyDescent="0.25">
      <c r="A545" s="1">
        <v>44971</v>
      </c>
      <c r="B545">
        <v>33.914999999999999</v>
      </c>
      <c r="C545">
        <v>14150444</v>
      </c>
      <c r="D545">
        <v>34.024999999999999</v>
      </c>
      <c r="E545">
        <v>34.26</v>
      </c>
      <c r="F545">
        <v>33.734999999999999</v>
      </c>
    </row>
    <row r="546" spans="1:6" x14ac:dyDescent="0.25">
      <c r="A546" s="1">
        <v>44972</v>
      </c>
      <c r="B546">
        <v>34.134999999999998</v>
      </c>
      <c r="C546">
        <v>11020018</v>
      </c>
      <c r="D546">
        <v>33.72</v>
      </c>
      <c r="E546">
        <v>34.157499999999999</v>
      </c>
      <c r="F546">
        <v>33.72</v>
      </c>
    </row>
    <row r="547" spans="1:6" x14ac:dyDescent="0.25">
      <c r="A547" s="1">
        <v>44973</v>
      </c>
      <c r="B547">
        <v>33.875</v>
      </c>
      <c r="C547">
        <v>18399566</v>
      </c>
      <c r="D547">
        <v>33.799999999999997</v>
      </c>
      <c r="E547">
        <v>34.033700000000003</v>
      </c>
      <c r="F547">
        <v>33.512500000000003</v>
      </c>
    </row>
    <row r="548" spans="1:6" x14ac:dyDescent="0.25">
      <c r="A548" s="1">
        <v>44974</v>
      </c>
      <c r="B548">
        <v>34.24</v>
      </c>
      <c r="C548">
        <v>21873460</v>
      </c>
      <c r="D548">
        <v>33.884999999999998</v>
      </c>
      <c r="E548">
        <v>34.4</v>
      </c>
      <c r="F548">
        <v>33.704999999999998</v>
      </c>
    </row>
    <row r="549" spans="1:6" x14ac:dyDescent="0.25">
      <c r="A549" s="1">
        <v>44978</v>
      </c>
      <c r="B549">
        <v>33.6</v>
      </c>
      <c r="C549">
        <v>16969068</v>
      </c>
      <c r="D549">
        <v>33.99</v>
      </c>
      <c r="E549">
        <v>34.085000000000001</v>
      </c>
      <c r="F549">
        <v>33.575000000000003</v>
      </c>
    </row>
    <row r="550" spans="1:6" x14ac:dyDescent="0.25">
      <c r="A550" s="1">
        <v>44979</v>
      </c>
      <c r="B550">
        <v>33.47</v>
      </c>
      <c r="C550">
        <v>26750120</v>
      </c>
      <c r="D550">
        <v>33.594999999999999</v>
      </c>
      <c r="E550">
        <v>33.852499999999999</v>
      </c>
      <c r="F550">
        <v>33.377499999999998</v>
      </c>
    </row>
    <row r="551" spans="1:6" x14ac:dyDescent="0.25">
      <c r="A551" s="1">
        <v>44980</v>
      </c>
      <c r="B551">
        <v>33.295000000000002</v>
      </c>
      <c r="C551">
        <v>21406700</v>
      </c>
      <c r="D551">
        <v>33.619999999999997</v>
      </c>
      <c r="E551">
        <v>33.619999999999997</v>
      </c>
      <c r="F551">
        <v>33.147500000000001</v>
      </c>
    </row>
    <row r="552" spans="1:6" x14ac:dyDescent="0.25">
      <c r="A552" s="1">
        <v>44981</v>
      </c>
      <c r="B552">
        <v>33.305</v>
      </c>
      <c r="C552">
        <v>23150380</v>
      </c>
      <c r="D552">
        <v>33.005000000000003</v>
      </c>
      <c r="E552">
        <v>33.422499999999999</v>
      </c>
      <c r="F552">
        <v>32.869999999999997</v>
      </c>
    </row>
    <row r="553" spans="1:6" x14ac:dyDescent="0.25">
      <c r="A553" s="1">
        <v>44984</v>
      </c>
      <c r="B553">
        <v>33.08</v>
      </c>
      <c r="C553">
        <v>21720640</v>
      </c>
      <c r="D553">
        <v>33.47</v>
      </c>
      <c r="E553">
        <v>33.79</v>
      </c>
      <c r="F553">
        <v>33.010199999999998</v>
      </c>
    </row>
    <row r="554" spans="1:6" x14ac:dyDescent="0.25">
      <c r="A554" s="1">
        <v>44985</v>
      </c>
      <c r="B554">
        <v>32.5</v>
      </c>
      <c r="C554">
        <v>41151880</v>
      </c>
      <c r="D554">
        <v>32.93</v>
      </c>
      <c r="E554">
        <v>33.090000000000003</v>
      </c>
      <c r="F554">
        <v>32.5</v>
      </c>
    </row>
    <row r="555" spans="1:6" x14ac:dyDescent="0.25">
      <c r="A555" s="1">
        <v>44986</v>
      </c>
      <c r="B555">
        <v>31.965</v>
      </c>
      <c r="C555">
        <v>47275900</v>
      </c>
      <c r="D555">
        <v>32.33</v>
      </c>
      <c r="E555">
        <v>32.36</v>
      </c>
      <c r="F555">
        <v>31.8125</v>
      </c>
    </row>
    <row r="556" spans="1:6" x14ac:dyDescent="0.25">
      <c r="A556" s="1">
        <v>44987</v>
      </c>
      <c r="B556">
        <v>32.57</v>
      </c>
      <c r="C556">
        <v>30694980</v>
      </c>
      <c r="D556">
        <v>31.92</v>
      </c>
      <c r="E556">
        <v>32.590000000000003</v>
      </c>
      <c r="F556">
        <v>31.875</v>
      </c>
    </row>
    <row r="557" spans="1:6" x14ac:dyDescent="0.25">
      <c r="A557" s="1">
        <v>44988</v>
      </c>
      <c r="B557">
        <v>33.125</v>
      </c>
      <c r="C557">
        <v>30175220</v>
      </c>
      <c r="D557">
        <v>32.700000000000003</v>
      </c>
      <c r="E557">
        <v>33.145000000000003</v>
      </c>
      <c r="F557">
        <v>32.380000000000003</v>
      </c>
    </row>
    <row r="558" spans="1:6" x14ac:dyDescent="0.25">
      <c r="A558" s="1">
        <v>44991</v>
      </c>
      <c r="B558">
        <v>33.284999999999997</v>
      </c>
      <c r="C558">
        <v>24243440</v>
      </c>
      <c r="D558">
        <v>33.145000000000003</v>
      </c>
      <c r="E558">
        <v>33.384999999999998</v>
      </c>
      <c r="F558">
        <v>33.1</v>
      </c>
    </row>
    <row r="559" spans="1:6" x14ac:dyDescent="0.25">
      <c r="A559" s="1">
        <v>44992</v>
      </c>
      <c r="B559">
        <v>32.74</v>
      </c>
      <c r="C559">
        <v>24055280</v>
      </c>
      <c r="D559">
        <v>33.314999999999998</v>
      </c>
      <c r="E559">
        <v>33.397500000000001</v>
      </c>
      <c r="F559">
        <v>32.577500000000001</v>
      </c>
    </row>
    <row r="560" spans="1:6" x14ac:dyDescent="0.25">
      <c r="A560" s="1">
        <v>44993</v>
      </c>
      <c r="B560">
        <v>32.99</v>
      </c>
      <c r="C560">
        <v>27407540</v>
      </c>
      <c r="D560">
        <v>32.729999999999997</v>
      </c>
      <c r="E560">
        <v>33.055</v>
      </c>
      <c r="F560">
        <v>32.604999999999997</v>
      </c>
    </row>
    <row r="561" spans="1:6" x14ac:dyDescent="0.25">
      <c r="A561" s="1">
        <v>44994</v>
      </c>
      <c r="B561">
        <v>32.725000000000001</v>
      </c>
      <c r="C561">
        <v>34067120</v>
      </c>
      <c r="D561">
        <v>33.08</v>
      </c>
      <c r="E561">
        <v>33.384999999999998</v>
      </c>
      <c r="F561">
        <v>32.615000000000002</v>
      </c>
    </row>
    <row r="562" spans="1:6" x14ac:dyDescent="0.25">
      <c r="A562" s="1">
        <v>44995</v>
      </c>
      <c r="B562">
        <v>32.21</v>
      </c>
      <c r="C562">
        <v>41666500</v>
      </c>
      <c r="D562">
        <v>32.884999999999998</v>
      </c>
      <c r="E562">
        <v>32.884999999999998</v>
      </c>
      <c r="F562">
        <v>32.045000000000002</v>
      </c>
    </row>
    <row r="563" spans="1:6" x14ac:dyDescent="0.25">
      <c r="A563" s="1">
        <v>44998</v>
      </c>
      <c r="B563">
        <v>32.704999999999998</v>
      </c>
      <c r="C563">
        <v>67671460</v>
      </c>
      <c r="D563">
        <v>32.17</v>
      </c>
      <c r="E563">
        <v>33.424999999999997</v>
      </c>
      <c r="F563">
        <v>32.125</v>
      </c>
    </row>
    <row r="564" spans="1:6" x14ac:dyDescent="0.25">
      <c r="A564" s="1">
        <v>44999</v>
      </c>
      <c r="B564">
        <v>33.134999999999998</v>
      </c>
      <c r="C564">
        <v>35118480</v>
      </c>
      <c r="D564">
        <v>32.950000000000003</v>
      </c>
      <c r="E564">
        <v>33.405000000000001</v>
      </c>
      <c r="F564">
        <v>32.81</v>
      </c>
    </row>
    <row r="565" spans="1:6" x14ac:dyDescent="0.25">
      <c r="A565" s="1">
        <v>45000</v>
      </c>
      <c r="B565">
        <v>33.585000000000001</v>
      </c>
      <c r="C565">
        <v>48336760</v>
      </c>
      <c r="D565">
        <v>33.04</v>
      </c>
      <c r="E565">
        <v>33.799999999999997</v>
      </c>
      <c r="F565">
        <v>32.880000000000003</v>
      </c>
    </row>
    <row r="566" spans="1:6" x14ac:dyDescent="0.25">
      <c r="A566" s="1">
        <v>45001</v>
      </c>
      <c r="B566">
        <v>33.81</v>
      </c>
      <c r="C566">
        <v>31649140</v>
      </c>
      <c r="D566">
        <v>33.46</v>
      </c>
      <c r="E566">
        <v>34.005000000000003</v>
      </c>
      <c r="F566">
        <v>33.33</v>
      </c>
    </row>
    <row r="567" spans="1:6" x14ac:dyDescent="0.25">
      <c r="A567" s="1">
        <v>45002</v>
      </c>
      <c r="B567">
        <v>33.484999999999999</v>
      </c>
      <c r="C567">
        <v>35814540</v>
      </c>
      <c r="D567">
        <v>33.729999999999997</v>
      </c>
      <c r="E567">
        <v>33.799999999999997</v>
      </c>
      <c r="F567">
        <v>33.234999999999999</v>
      </c>
    </row>
    <row r="568" spans="1:6" x14ac:dyDescent="0.25">
      <c r="A568" s="1">
        <v>45005</v>
      </c>
      <c r="B568">
        <v>33.5</v>
      </c>
      <c r="C568">
        <v>38838140</v>
      </c>
      <c r="D568">
        <v>33.29</v>
      </c>
      <c r="E568">
        <v>33.61</v>
      </c>
      <c r="F568">
        <v>33.28</v>
      </c>
    </row>
    <row r="569" spans="1:6" x14ac:dyDescent="0.25">
      <c r="A569" s="1">
        <v>45006</v>
      </c>
      <c r="B569">
        <v>32.825000000000003</v>
      </c>
      <c r="C569">
        <v>51865080</v>
      </c>
      <c r="D569">
        <v>33.555</v>
      </c>
      <c r="E569">
        <v>33.594999999999999</v>
      </c>
      <c r="F569">
        <v>32.384999999999998</v>
      </c>
    </row>
    <row r="570" spans="1:6" x14ac:dyDescent="0.25">
      <c r="A570" s="1">
        <v>45007</v>
      </c>
      <c r="B570">
        <v>32.18</v>
      </c>
      <c r="C570">
        <v>35793280</v>
      </c>
      <c r="D570">
        <v>32.78</v>
      </c>
      <c r="E570">
        <v>32.952500000000001</v>
      </c>
      <c r="F570">
        <v>32.164999999999999</v>
      </c>
    </row>
    <row r="571" spans="1:6" x14ac:dyDescent="0.25">
      <c r="A571" s="1">
        <v>45008</v>
      </c>
      <c r="B571">
        <v>31.85</v>
      </c>
      <c r="C571">
        <v>33769020</v>
      </c>
      <c r="D571">
        <v>32.19</v>
      </c>
      <c r="E571">
        <v>32.5</v>
      </c>
      <c r="F571">
        <v>31.69</v>
      </c>
    </row>
    <row r="572" spans="1:6" x14ac:dyDescent="0.25">
      <c r="A572" s="1">
        <v>45009</v>
      </c>
      <c r="B572">
        <v>32.844999999999999</v>
      </c>
      <c r="C572">
        <v>36112440</v>
      </c>
      <c r="D572">
        <v>31.885000000000002</v>
      </c>
      <c r="E572">
        <v>32.854999999999997</v>
      </c>
      <c r="F572">
        <v>31.855</v>
      </c>
    </row>
    <row r="573" spans="1:6" x14ac:dyDescent="0.25">
      <c r="A573" s="1">
        <v>45012</v>
      </c>
      <c r="B573">
        <v>32.884999999999998</v>
      </c>
      <c r="C573">
        <v>28273880</v>
      </c>
      <c r="D573">
        <v>32.945</v>
      </c>
      <c r="E573">
        <v>33.182499999999997</v>
      </c>
      <c r="F573">
        <v>32.795000000000002</v>
      </c>
    </row>
    <row r="574" spans="1:6" x14ac:dyDescent="0.25">
      <c r="A574" s="1">
        <v>45013</v>
      </c>
      <c r="B574">
        <v>32.975000000000001</v>
      </c>
      <c r="C574">
        <v>22038980</v>
      </c>
      <c r="D574">
        <v>32.805</v>
      </c>
      <c r="E574">
        <v>33.322699999999998</v>
      </c>
      <c r="F574">
        <v>32.805</v>
      </c>
    </row>
    <row r="575" spans="1:6" x14ac:dyDescent="0.25">
      <c r="A575" s="1">
        <v>45014</v>
      </c>
      <c r="B575">
        <v>33.454999999999998</v>
      </c>
      <c r="C575">
        <v>19808036</v>
      </c>
      <c r="D575">
        <v>33.15</v>
      </c>
      <c r="E575">
        <v>33.5075</v>
      </c>
      <c r="F575">
        <v>33.15</v>
      </c>
    </row>
    <row r="576" spans="1:6" x14ac:dyDescent="0.25">
      <c r="A576" s="1">
        <v>45015</v>
      </c>
      <c r="B576">
        <v>33.6</v>
      </c>
      <c r="C576">
        <v>20585700</v>
      </c>
      <c r="D576">
        <v>33.534999999999997</v>
      </c>
      <c r="E576">
        <v>33.765000000000001</v>
      </c>
      <c r="F576">
        <v>33.409999999999997</v>
      </c>
    </row>
    <row r="577" spans="1:6" x14ac:dyDescent="0.25">
      <c r="A577" s="1">
        <v>45016</v>
      </c>
      <c r="B577">
        <v>33.844999999999999</v>
      </c>
      <c r="C577">
        <v>23444300</v>
      </c>
      <c r="D577">
        <v>33.71</v>
      </c>
      <c r="E577">
        <v>33.86</v>
      </c>
      <c r="F577">
        <v>33.515000000000001</v>
      </c>
    </row>
    <row r="578" spans="1:6" x14ac:dyDescent="0.25">
      <c r="A578" s="1">
        <v>45019</v>
      </c>
      <c r="B578">
        <v>33.615000000000002</v>
      </c>
      <c r="C578">
        <v>24071640</v>
      </c>
      <c r="D578">
        <v>33.72</v>
      </c>
      <c r="E578">
        <v>33.865000000000002</v>
      </c>
      <c r="F578">
        <v>33.424999999999997</v>
      </c>
    </row>
    <row r="579" spans="1:6" x14ac:dyDescent="0.25">
      <c r="A579" s="1">
        <v>45020</v>
      </c>
      <c r="B579">
        <v>33.784999999999997</v>
      </c>
      <c r="C579">
        <v>21614020</v>
      </c>
      <c r="D579">
        <v>33.594999999999999</v>
      </c>
      <c r="E579">
        <v>33.847499999999997</v>
      </c>
      <c r="F579">
        <v>33.505000000000003</v>
      </c>
    </row>
    <row r="580" spans="1:6" x14ac:dyDescent="0.25">
      <c r="A580" s="1">
        <v>45021</v>
      </c>
      <c r="B580">
        <v>34.659999999999997</v>
      </c>
      <c r="C580">
        <v>37674360</v>
      </c>
      <c r="D580">
        <v>33.93</v>
      </c>
      <c r="E580">
        <v>34.755000000000003</v>
      </c>
      <c r="F580">
        <v>33.924999999999997</v>
      </c>
    </row>
    <row r="581" spans="1:6" x14ac:dyDescent="0.25">
      <c r="A581" s="1">
        <v>45022</v>
      </c>
      <c r="B581">
        <v>34.905000000000001</v>
      </c>
      <c r="C581">
        <v>33350460</v>
      </c>
      <c r="D581">
        <v>34.94</v>
      </c>
      <c r="E581">
        <v>34.977499999999999</v>
      </c>
      <c r="F581">
        <v>34.549999999999997</v>
      </c>
    </row>
    <row r="582" spans="1:6" x14ac:dyDescent="0.25">
      <c r="A582" s="1">
        <v>45026</v>
      </c>
      <c r="B582">
        <v>34.835000000000001</v>
      </c>
      <c r="C582">
        <v>20462940</v>
      </c>
      <c r="D582">
        <v>34.704999999999998</v>
      </c>
      <c r="E582">
        <v>34.844999999999999</v>
      </c>
      <c r="F582">
        <v>34.357500000000002</v>
      </c>
    </row>
    <row r="583" spans="1:6" x14ac:dyDescent="0.25">
      <c r="A583" s="1">
        <v>45027</v>
      </c>
      <c r="B583">
        <v>34.865000000000002</v>
      </c>
      <c r="C583">
        <v>17274078</v>
      </c>
      <c r="D583">
        <v>34.784999999999997</v>
      </c>
      <c r="E583">
        <v>34.962499999999999</v>
      </c>
      <c r="F583">
        <v>34.695</v>
      </c>
    </row>
    <row r="584" spans="1:6" x14ac:dyDescent="0.25">
      <c r="A584" s="1">
        <v>45028</v>
      </c>
      <c r="B584">
        <v>34.83</v>
      </c>
      <c r="C584">
        <v>25109440</v>
      </c>
      <c r="D584">
        <v>34.93</v>
      </c>
      <c r="E584">
        <v>35.08</v>
      </c>
      <c r="F584">
        <v>34.704999999999998</v>
      </c>
    </row>
    <row r="585" spans="1:6" x14ac:dyDescent="0.25">
      <c r="A585" s="1">
        <v>45029</v>
      </c>
      <c r="B585">
        <v>34.835000000000001</v>
      </c>
      <c r="C585">
        <v>32892420</v>
      </c>
      <c r="D585">
        <v>34.674999999999997</v>
      </c>
      <c r="E585">
        <v>34.927500000000002</v>
      </c>
      <c r="F585">
        <v>34.174999999999997</v>
      </c>
    </row>
    <row r="586" spans="1:6" x14ac:dyDescent="0.25">
      <c r="A586" s="1">
        <v>45030</v>
      </c>
      <c r="B586">
        <v>34.445</v>
      </c>
      <c r="C586">
        <v>18129448</v>
      </c>
      <c r="D586">
        <v>34.58</v>
      </c>
      <c r="E586">
        <v>34.65</v>
      </c>
      <c r="F586">
        <v>34.282499999999999</v>
      </c>
    </row>
    <row r="587" spans="1:6" x14ac:dyDescent="0.25">
      <c r="A587" s="1">
        <v>45033</v>
      </c>
      <c r="B587">
        <v>34.634999999999998</v>
      </c>
      <c r="C587">
        <v>15613702</v>
      </c>
      <c r="D587">
        <v>34.505000000000003</v>
      </c>
      <c r="E587">
        <v>34.695</v>
      </c>
      <c r="F587">
        <v>34.29</v>
      </c>
    </row>
    <row r="588" spans="1:6" x14ac:dyDescent="0.25">
      <c r="A588" s="1">
        <v>45034</v>
      </c>
      <c r="B588">
        <v>34.454999999999998</v>
      </c>
      <c r="C588">
        <v>15566454</v>
      </c>
      <c r="D588">
        <v>34.65</v>
      </c>
      <c r="E588">
        <v>34.72</v>
      </c>
      <c r="F588">
        <v>34.325000000000003</v>
      </c>
    </row>
    <row r="589" spans="1:6" x14ac:dyDescent="0.25">
      <c r="A589" s="1">
        <v>45035</v>
      </c>
      <c r="B589">
        <v>34.72</v>
      </c>
      <c r="C589">
        <v>20634580</v>
      </c>
      <c r="D589">
        <v>34.54</v>
      </c>
      <c r="E589">
        <v>34.825000000000003</v>
      </c>
      <c r="F589">
        <v>34.49</v>
      </c>
    </row>
    <row r="590" spans="1:6" x14ac:dyDescent="0.25">
      <c r="A590" s="1">
        <v>45036</v>
      </c>
      <c r="B590">
        <v>34.71</v>
      </c>
      <c r="C590">
        <v>14737478</v>
      </c>
      <c r="D590">
        <v>34.75</v>
      </c>
      <c r="E590">
        <v>34.847499999999997</v>
      </c>
      <c r="F590">
        <v>34.505000000000003</v>
      </c>
    </row>
    <row r="591" spans="1:6" x14ac:dyDescent="0.25">
      <c r="A591" s="1">
        <v>45037</v>
      </c>
      <c r="B591">
        <v>34.81</v>
      </c>
      <c r="C591">
        <v>14075608</v>
      </c>
      <c r="D591">
        <v>34.935000000000002</v>
      </c>
      <c r="E591">
        <v>35.055</v>
      </c>
      <c r="F591">
        <v>34.604999999999997</v>
      </c>
    </row>
    <row r="592" spans="1:6" x14ac:dyDescent="0.25">
      <c r="A592" s="1">
        <v>45040</v>
      </c>
      <c r="B592">
        <v>34.984999999999999</v>
      </c>
      <c r="C592">
        <v>13578940</v>
      </c>
      <c r="D592">
        <v>34.799999999999997</v>
      </c>
      <c r="E592">
        <v>35.045000000000002</v>
      </c>
      <c r="F592">
        <v>34.590499999999999</v>
      </c>
    </row>
    <row r="593" spans="1:6" x14ac:dyDescent="0.25">
      <c r="A593" s="1">
        <v>45041</v>
      </c>
      <c r="B593">
        <v>34.950000000000003</v>
      </c>
      <c r="C593">
        <v>20503520</v>
      </c>
      <c r="D593">
        <v>34.854999999999997</v>
      </c>
      <c r="E593">
        <v>35.14</v>
      </c>
      <c r="F593">
        <v>34.844999999999999</v>
      </c>
    </row>
    <row r="594" spans="1:6" x14ac:dyDescent="0.25">
      <c r="A594" s="1">
        <v>45042</v>
      </c>
      <c r="B594">
        <v>34.130000000000003</v>
      </c>
      <c r="C594">
        <v>29513740</v>
      </c>
      <c r="D594">
        <v>34.68</v>
      </c>
      <c r="E594">
        <v>34.787500000000001</v>
      </c>
      <c r="F594">
        <v>34.090000000000003</v>
      </c>
    </row>
    <row r="595" spans="1:6" x14ac:dyDescent="0.25">
      <c r="A595" s="1">
        <v>45043</v>
      </c>
      <c r="B595">
        <v>34.54</v>
      </c>
      <c r="C595">
        <v>24933360</v>
      </c>
      <c r="D595">
        <v>34.229999999999997</v>
      </c>
      <c r="E595">
        <v>34.57</v>
      </c>
      <c r="F595">
        <v>34.200000000000003</v>
      </c>
    </row>
    <row r="596" spans="1:6" x14ac:dyDescent="0.25">
      <c r="A596" s="1">
        <v>45044</v>
      </c>
      <c r="B596">
        <v>34.49</v>
      </c>
      <c r="C596">
        <v>24247160</v>
      </c>
      <c r="D596">
        <v>34.44</v>
      </c>
      <c r="E596">
        <v>34.695</v>
      </c>
      <c r="F596">
        <v>34.274999999999999</v>
      </c>
    </row>
    <row r="597" spans="1:6" x14ac:dyDescent="0.25">
      <c r="A597" s="1">
        <v>45047</v>
      </c>
      <c r="B597">
        <v>34.549999999999997</v>
      </c>
      <c r="C597">
        <v>21016120</v>
      </c>
      <c r="D597">
        <v>34.409999999999997</v>
      </c>
      <c r="E597">
        <v>34.884999999999998</v>
      </c>
      <c r="F597">
        <v>34.380000000000003</v>
      </c>
    </row>
    <row r="598" spans="1:6" x14ac:dyDescent="0.25">
      <c r="A598" s="1">
        <v>45048</v>
      </c>
      <c r="B598">
        <v>34.130000000000003</v>
      </c>
      <c r="C598">
        <v>22931460</v>
      </c>
      <c r="D598">
        <v>34.520000000000003</v>
      </c>
      <c r="E598">
        <v>34.61</v>
      </c>
      <c r="F598">
        <v>33.935000000000002</v>
      </c>
    </row>
    <row r="599" spans="1:6" x14ac:dyDescent="0.25">
      <c r="A599" s="1">
        <v>45049</v>
      </c>
      <c r="B599">
        <v>34.034999999999997</v>
      </c>
      <c r="C599">
        <v>23714380</v>
      </c>
      <c r="D599">
        <v>34.32</v>
      </c>
      <c r="E599">
        <v>34.524999999999999</v>
      </c>
      <c r="F599">
        <v>33.994999999999997</v>
      </c>
    </row>
    <row r="600" spans="1:6" x14ac:dyDescent="0.25">
      <c r="A600" s="1">
        <v>45050</v>
      </c>
      <c r="B600">
        <v>34.295000000000002</v>
      </c>
      <c r="C600">
        <v>29262320</v>
      </c>
      <c r="D600">
        <v>34.094999999999999</v>
      </c>
      <c r="E600">
        <v>34.427500000000002</v>
      </c>
      <c r="F600">
        <v>33.774999999999999</v>
      </c>
    </row>
    <row r="601" spans="1:6" x14ac:dyDescent="0.25">
      <c r="A601" s="1">
        <v>45051</v>
      </c>
      <c r="B601">
        <v>34.515000000000001</v>
      </c>
      <c r="C601">
        <v>22833500</v>
      </c>
      <c r="D601">
        <v>34.18</v>
      </c>
      <c r="E601">
        <v>34.6</v>
      </c>
      <c r="F601">
        <v>34.18</v>
      </c>
    </row>
    <row r="602" spans="1:6" x14ac:dyDescent="0.25">
      <c r="A602" s="1">
        <v>45054</v>
      </c>
      <c r="B602">
        <v>34.409999999999997</v>
      </c>
      <c r="C602">
        <v>16573444</v>
      </c>
      <c r="D602">
        <v>34.479999999999997</v>
      </c>
      <c r="E602">
        <v>34.729999999999997</v>
      </c>
      <c r="F602">
        <v>34.295000000000002</v>
      </c>
    </row>
    <row r="603" spans="1:6" x14ac:dyDescent="0.25">
      <c r="A603" s="1">
        <v>45055</v>
      </c>
      <c r="B603">
        <v>34.365000000000002</v>
      </c>
      <c r="C603">
        <v>20562440</v>
      </c>
      <c r="D603">
        <v>34.33</v>
      </c>
      <c r="E603">
        <v>34.454999999999998</v>
      </c>
      <c r="F603">
        <v>34.119999999999997</v>
      </c>
    </row>
    <row r="604" spans="1:6" x14ac:dyDescent="0.25">
      <c r="A604" s="1">
        <v>45056</v>
      </c>
      <c r="B604">
        <v>34.68</v>
      </c>
      <c r="C604">
        <v>21416860</v>
      </c>
      <c r="D604">
        <v>34.58</v>
      </c>
      <c r="E604">
        <v>34.770000000000003</v>
      </c>
      <c r="F604">
        <v>34.33</v>
      </c>
    </row>
    <row r="605" spans="1:6" x14ac:dyDescent="0.25">
      <c r="A605" s="1">
        <v>45057</v>
      </c>
      <c r="B605">
        <v>34.325000000000003</v>
      </c>
      <c r="C605">
        <v>29748160</v>
      </c>
      <c r="D605">
        <v>34.700000000000003</v>
      </c>
      <c r="E605">
        <v>34.71</v>
      </c>
      <c r="F605">
        <v>34.164999999999999</v>
      </c>
    </row>
    <row r="606" spans="1:6" x14ac:dyDescent="0.25">
      <c r="A606" s="1">
        <v>45058</v>
      </c>
      <c r="B606">
        <v>34.515000000000001</v>
      </c>
      <c r="C606">
        <v>23748560</v>
      </c>
      <c r="D606">
        <v>34.515000000000001</v>
      </c>
      <c r="E606">
        <v>34.734999999999999</v>
      </c>
      <c r="F606">
        <v>34.31</v>
      </c>
    </row>
    <row r="607" spans="1:6" x14ac:dyDescent="0.25">
      <c r="A607" s="1">
        <v>45061</v>
      </c>
      <c r="B607">
        <v>34.08</v>
      </c>
      <c r="C607">
        <v>26370280</v>
      </c>
      <c r="D607">
        <v>34.645000000000003</v>
      </c>
      <c r="E607">
        <v>34.695</v>
      </c>
      <c r="F607">
        <v>33.94</v>
      </c>
    </row>
    <row r="608" spans="1:6" x14ac:dyDescent="0.25">
      <c r="A608" s="1">
        <v>45062</v>
      </c>
      <c r="B608">
        <v>33.325000000000003</v>
      </c>
      <c r="C608">
        <v>28008020</v>
      </c>
      <c r="D608">
        <v>34.04</v>
      </c>
      <c r="E608">
        <v>34.104999999999997</v>
      </c>
      <c r="F608">
        <v>33.305</v>
      </c>
    </row>
    <row r="609" spans="1:6" x14ac:dyDescent="0.25">
      <c r="A609" s="1">
        <v>45063</v>
      </c>
      <c r="B609">
        <v>33.204999999999998</v>
      </c>
      <c r="C609">
        <v>34176640</v>
      </c>
      <c r="D609">
        <v>33.43</v>
      </c>
      <c r="E609">
        <v>33.44</v>
      </c>
      <c r="F609">
        <v>33.064999999999998</v>
      </c>
    </row>
    <row r="610" spans="1:6" x14ac:dyDescent="0.25">
      <c r="A610" s="1">
        <v>45064</v>
      </c>
      <c r="B610">
        <v>33.104999999999997</v>
      </c>
      <c r="C610">
        <v>32335580</v>
      </c>
      <c r="D610">
        <v>33.049999999999997</v>
      </c>
      <c r="E610">
        <v>33.137500000000003</v>
      </c>
      <c r="F610">
        <v>32.8125</v>
      </c>
    </row>
    <row r="611" spans="1:6" x14ac:dyDescent="0.25">
      <c r="A611" s="1">
        <v>45065</v>
      </c>
      <c r="B611">
        <v>33.055</v>
      </c>
      <c r="C611">
        <v>24944940</v>
      </c>
      <c r="D611">
        <v>33.26</v>
      </c>
      <c r="E611">
        <v>33.445</v>
      </c>
      <c r="F611">
        <v>33.032499999999999</v>
      </c>
    </row>
    <row r="612" spans="1:6" x14ac:dyDescent="0.25">
      <c r="A612" s="1">
        <v>45068</v>
      </c>
      <c r="B612">
        <v>33.064999999999998</v>
      </c>
      <c r="C612">
        <v>18989338</v>
      </c>
      <c r="D612">
        <v>33.14</v>
      </c>
      <c r="E612">
        <v>33.31</v>
      </c>
      <c r="F612">
        <v>32.945</v>
      </c>
    </row>
    <row r="613" spans="1:6" x14ac:dyDescent="0.25">
      <c r="A613" s="1">
        <v>45069</v>
      </c>
      <c r="B613">
        <v>32.950000000000003</v>
      </c>
      <c r="C613">
        <v>24128040</v>
      </c>
      <c r="D613">
        <v>32.94</v>
      </c>
      <c r="E613">
        <v>33.274999999999999</v>
      </c>
      <c r="F613">
        <v>32.86</v>
      </c>
    </row>
    <row r="614" spans="1:6" x14ac:dyDescent="0.25">
      <c r="A614" s="1">
        <v>45070</v>
      </c>
      <c r="B614">
        <v>32.734999999999999</v>
      </c>
      <c r="C614">
        <v>23127600</v>
      </c>
      <c r="D614">
        <v>32.905000000000001</v>
      </c>
      <c r="E614">
        <v>33.024999999999999</v>
      </c>
      <c r="F614">
        <v>32.68</v>
      </c>
    </row>
    <row r="615" spans="1:6" x14ac:dyDescent="0.25">
      <c r="A615" s="1">
        <v>45071</v>
      </c>
      <c r="B615">
        <v>32.295000000000002</v>
      </c>
      <c r="C615">
        <v>32252140</v>
      </c>
      <c r="D615">
        <v>32.672499999999999</v>
      </c>
      <c r="E615">
        <v>32.6875</v>
      </c>
      <c r="F615">
        <v>32.064999999999998</v>
      </c>
    </row>
    <row r="616" spans="1:6" x14ac:dyDescent="0.25">
      <c r="A616" s="1">
        <v>45072</v>
      </c>
      <c r="B616">
        <v>32.295000000000002</v>
      </c>
      <c r="C616">
        <v>33187920</v>
      </c>
      <c r="D616">
        <v>32.244999999999997</v>
      </c>
      <c r="E616">
        <v>32.32</v>
      </c>
      <c r="F616">
        <v>31.965</v>
      </c>
    </row>
    <row r="617" spans="1:6" x14ac:dyDescent="0.25">
      <c r="A617" s="1">
        <v>45076</v>
      </c>
      <c r="B617">
        <v>32.17</v>
      </c>
      <c r="C617">
        <v>31165740</v>
      </c>
      <c r="D617">
        <v>32.35</v>
      </c>
      <c r="E617">
        <v>32.515000000000001</v>
      </c>
      <c r="F617">
        <v>32.119999999999997</v>
      </c>
    </row>
    <row r="618" spans="1:6" x14ac:dyDescent="0.25">
      <c r="A618" s="1">
        <v>45077</v>
      </c>
      <c r="B618">
        <v>32.465000000000003</v>
      </c>
      <c r="C618">
        <v>34266220</v>
      </c>
      <c r="D618">
        <v>32.185000000000002</v>
      </c>
      <c r="E618">
        <v>32.61</v>
      </c>
      <c r="F618">
        <v>31.977499999999999</v>
      </c>
    </row>
    <row r="619" spans="1:6" x14ac:dyDescent="0.25">
      <c r="A619" s="1">
        <v>45078</v>
      </c>
      <c r="B619">
        <v>32.225000000000001</v>
      </c>
      <c r="C619">
        <v>37306380</v>
      </c>
      <c r="D619">
        <v>32.524999999999999</v>
      </c>
      <c r="E619">
        <v>32.57</v>
      </c>
      <c r="F619">
        <v>32.024999999999999</v>
      </c>
    </row>
    <row r="620" spans="1:6" x14ac:dyDescent="0.25">
      <c r="A620" s="1">
        <v>45079</v>
      </c>
      <c r="B620">
        <v>32.56</v>
      </c>
      <c r="C620">
        <v>46091960</v>
      </c>
      <c r="D620">
        <v>32.06</v>
      </c>
      <c r="E620">
        <v>32.685000000000002</v>
      </c>
      <c r="F620">
        <v>31.984999999999999</v>
      </c>
    </row>
    <row r="621" spans="1:6" x14ac:dyDescent="0.25">
      <c r="A621" s="1">
        <v>45082</v>
      </c>
      <c r="B621">
        <v>32.715000000000003</v>
      </c>
      <c r="C621">
        <v>24088900</v>
      </c>
      <c r="D621">
        <v>32.630000000000003</v>
      </c>
      <c r="E621">
        <v>33.07</v>
      </c>
      <c r="F621">
        <v>32.56</v>
      </c>
    </row>
    <row r="622" spans="1:6" x14ac:dyDescent="0.25">
      <c r="A622" s="1">
        <v>45083</v>
      </c>
      <c r="B622">
        <v>32.69</v>
      </c>
      <c r="C622">
        <v>25723220</v>
      </c>
      <c r="D622">
        <v>32.865000000000002</v>
      </c>
      <c r="E622">
        <v>32.92</v>
      </c>
      <c r="F622">
        <v>32.6</v>
      </c>
    </row>
    <row r="623" spans="1:6" x14ac:dyDescent="0.25">
      <c r="A623" s="1">
        <v>45084</v>
      </c>
      <c r="B623">
        <v>33.244999999999997</v>
      </c>
      <c r="C623">
        <v>38457680</v>
      </c>
      <c r="D623">
        <v>32.715000000000003</v>
      </c>
      <c r="E623">
        <v>33.325000000000003</v>
      </c>
      <c r="F623">
        <v>32.512500000000003</v>
      </c>
    </row>
    <row r="624" spans="1:6" x14ac:dyDescent="0.25">
      <c r="A624" s="1">
        <v>45085</v>
      </c>
      <c r="B624">
        <v>33.39</v>
      </c>
      <c r="C624">
        <v>29319760</v>
      </c>
      <c r="D624">
        <v>33.234999999999999</v>
      </c>
      <c r="E624">
        <v>33.44</v>
      </c>
      <c r="F624">
        <v>32.987499999999997</v>
      </c>
    </row>
    <row r="625" spans="1:6" x14ac:dyDescent="0.25">
      <c r="A625" s="1">
        <v>45086</v>
      </c>
      <c r="B625">
        <v>33.195</v>
      </c>
      <c r="C625">
        <v>26633380</v>
      </c>
      <c r="D625">
        <v>33.4</v>
      </c>
      <c r="E625">
        <v>33.424999999999997</v>
      </c>
      <c r="F625">
        <v>33.174999999999997</v>
      </c>
    </row>
    <row r="626" spans="1:6" x14ac:dyDescent="0.25">
      <c r="A626" s="1">
        <v>45089</v>
      </c>
      <c r="B626">
        <v>33.134999999999998</v>
      </c>
      <c r="C626">
        <v>22967800</v>
      </c>
      <c r="D626">
        <v>33.22</v>
      </c>
      <c r="E626">
        <v>33.31</v>
      </c>
      <c r="F626">
        <v>33</v>
      </c>
    </row>
    <row r="627" spans="1:6" x14ac:dyDescent="0.25">
      <c r="A627" s="1">
        <v>45090</v>
      </c>
      <c r="B627">
        <v>33.130000000000003</v>
      </c>
      <c r="C627">
        <v>23737400</v>
      </c>
      <c r="D627">
        <v>32.935000000000002</v>
      </c>
      <c r="E627">
        <v>33.2425</v>
      </c>
      <c r="F627">
        <v>32.880000000000003</v>
      </c>
    </row>
    <row r="628" spans="1:6" x14ac:dyDescent="0.25">
      <c r="A628" s="1">
        <v>45091</v>
      </c>
      <c r="B628">
        <v>33.11</v>
      </c>
      <c r="C628">
        <v>28047380</v>
      </c>
      <c r="D628">
        <v>33.25</v>
      </c>
      <c r="E628">
        <v>33.505000000000003</v>
      </c>
      <c r="F628">
        <v>33.045000000000002</v>
      </c>
    </row>
    <row r="629" spans="1:6" x14ac:dyDescent="0.25">
      <c r="A629" s="1">
        <v>45092</v>
      </c>
      <c r="B629">
        <v>33.47</v>
      </c>
      <c r="C629">
        <v>27402340</v>
      </c>
      <c r="D629">
        <v>33.234999999999999</v>
      </c>
      <c r="E629">
        <v>33.549999999999997</v>
      </c>
      <c r="F629">
        <v>33.164999999999999</v>
      </c>
    </row>
    <row r="630" spans="1:6" x14ac:dyDescent="0.25">
      <c r="A630" s="1">
        <v>45093</v>
      </c>
      <c r="B630">
        <v>33.65</v>
      </c>
      <c r="C630">
        <v>27370760</v>
      </c>
      <c r="D630">
        <v>33.549999999999997</v>
      </c>
      <c r="E630">
        <v>33.92</v>
      </c>
      <c r="F630">
        <v>33.522500000000001</v>
      </c>
    </row>
    <row r="631" spans="1:6" x14ac:dyDescent="0.25">
      <c r="A631" s="1">
        <v>45097</v>
      </c>
      <c r="B631">
        <v>32.99</v>
      </c>
      <c r="C631">
        <v>25851300</v>
      </c>
      <c r="D631">
        <v>33.284999999999997</v>
      </c>
      <c r="E631">
        <v>33.354999999999997</v>
      </c>
      <c r="F631">
        <v>32.952500000000001</v>
      </c>
    </row>
    <row r="632" spans="1:6" x14ac:dyDescent="0.25">
      <c r="A632" s="1">
        <v>45098</v>
      </c>
      <c r="B632">
        <v>33.255000000000003</v>
      </c>
      <c r="C632">
        <v>21445900</v>
      </c>
      <c r="D632">
        <v>32.875</v>
      </c>
      <c r="E632">
        <v>33.29</v>
      </c>
      <c r="F632">
        <v>32.515000000000001</v>
      </c>
    </row>
    <row r="633" spans="1:6" x14ac:dyDescent="0.25">
      <c r="A633" s="1">
        <v>45099</v>
      </c>
      <c r="B633">
        <v>33</v>
      </c>
      <c r="C633">
        <v>20002160</v>
      </c>
      <c r="D633">
        <v>33.380000000000003</v>
      </c>
      <c r="E633">
        <v>33.445</v>
      </c>
      <c r="F633">
        <v>32.905000000000001</v>
      </c>
    </row>
    <row r="634" spans="1:6" x14ac:dyDescent="0.25">
      <c r="A634" s="1">
        <v>45100</v>
      </c>
      <c r="B634">
        <v>32.515000000000001</v>
      </c>
      <c r="C634">
        <v>25439280</v>
      </c>
      <c r="D634">
        <v>33.094999999999999</v>
      </c>
      <c r="E634">
        <v>33.21</v>
      </c>
      <c r="F634">
        <v>32.472499999999997</v>
      </c>
    </row>
    <row r="635" spans="1:6" x14ac:dyDescent="0.25">
      <c r="A635" s="1">
        <v>45103</v>
      </c>
      <c r="B635">
        <v>32.835000000000001</v>
      </c>
      <c r="C635">
        <v>20535160</v>
      </c>
      <c r="D635">
        <v>32.57</v>
      </c>
      <c r="E635">
        <v>32.935000000000002</v>
      </c>
      <c r="F635">
        <v>32.442500000000003</v>
      </c>
    </row>
    <row r="636" spans="1:6" x14ac:dyDescent="0.25">
      <c r="A636" s="1">
        <v>45104</v>
      </c>
      <c r="B636">
        <v>32.844999999999999</v>
      </c>
      <c r="C636">
        <v>17020886</v>
      </c>
      <c r="D636">
        <v>32.86</v>
      </c>
      <c r="E636">
        <v>32.96</v>
      </c>
      <c r="F636">
        <v>32.741700000000002</v>
      </c>
    </row>
    <row r="637" spans="1:6" x14ac:dyDescent="0.25">
      <c r="A637" s="1">
        <v>45105</v>
      </c>
      <c r="B637">
        <v>32.36</v>
      </c>
      <c r="C637">
        <v>29447660</v>
      </c>
      <c r="D637">
        <v>32.835000000000001</v>
      </c>
      <c r="E637">
        <v>32.835000000000001</v>
      </c>
      <c r="F637">
        <v>32.274999999999999</v>
      </c>
    </row>
    <row r="638" spans="1:6" x14ac:dyDescent="0.25">
      <c r="A638" s="1">
        <v>45106</v>
      </c>
      <c r="B638">
        <v>32.36</v>
      </c>
      <c r="C638">
        <v>29307860</v>
      </c>
      <c r="D638">
        <v>32.104999999999997</v>
      </c>
      <c r="E638">
        <v>32.54</v>
      </c>
      <c r="F638">
        <v>32.034999999999997</v>
      </c>
    </row>
    <row r="639" spans="1:6" x14ac:dyDescent="0.25">
      <c r="A639" s="1">
        <v>45107</v>
      </c>
      <c r="B639">
        <v>32.72</v>
      </c>
      <c r="C639">
        <v>27858500</v>
      </c>
      <c r="D639">
        <v>32.405000000000001</v>
      </c>
      <c r="E639">
        <v>32.755000000000003</v>
      </c>
      <c r="F639">
        <v>32.39</v>
      </c>
    </row>
    <row r="640" spans="1:6" x14ac:dyDescent="0.25">
      <c r="A640" s="1">
        <v>45110</v>
      </c>
      <c r="B640">
        <v>32.965000000000003</v>
      </c>
      <c r="C640">
        <v>16329128</v>
      </c>
      <c r="D640">
        <v>32.65</v>
      </c>
      <c r="E640">
        <v>32.979999999999997</v>
      </c>
      <c r="F640">
        <v>32.54</v>
      </c>
    </row>
    <row r="641" spans="1:6" x14ac:dyDescent="0.25">
      <c r="A641" s="1">
        <v>45112</v>
      </c>
      <c r="B641">
        <v>33.340000000000003</v>
      </c>
      <c r="C641">
        <v>38338640</v>
      </c>
      <c r="D641">
        <v>32.85</v>
      </c>
      <c r="E641">
        <v>33.590000000000003</v>
      </c>
      <c r="F641">
        <v>32.805</v>
      </c>
    </row>
    <row r="642" spans="1:6" x14ac:dyDescent="0.25">
      <c r="A642" s="1">
        <v>45113</v>
      </c>
      <c r="B642">
        <v>32.935000000000002</v>
      </c>
      <c r="C642">
        <v>30846100</v>
      </c>
      <c r="D642">
        <v>33.075000000000003</v>
      </c>
      <c r="E642">
        <v>33.17</v>
      </c>
      <c r="F642">
        <v>32.755000000000003</v>
      </c>
    </row>
    <row r="643" spans="1:6" x14ac:dyDescent="0.25">
      <c r="A643" s="1">
        <v>45114</v>
      </c>
      <c r="B643">
        <v>32.695</v>
      </c>
      <c r="C643">
        <v>25787540</v>
      </c>
      <c r="D643">
        <v>32.72</v>
      </c>
      <c r="E643">
        <v>32.926200000000001</v>
      </c>
      <c r="F643">
        <v>32.61</v>
      </c>
    </row>
    <row r="644" spans="1:6" x14ac:dyDescent="0.25">
      <c r="A644" s="1">
        <v>45117</v>
      </c>
      <c r="B644">
        <v>32.555</v>
      </c>
      <c r="C644">
        <v>24820280</v>
      </c>
      <c r="D644">
        <v>32.64</v>
      </c>
      <c r="E644">
        <v>32.75</v>
      </c>
      <c r="F644">
        <v>32.295000000000002</v>
      </c>
    </row>
    <row r="645" spans="1:6" x14ac:dyDescent="0.25">
      <c r="A645" s="1">
        <v>45118</v>
      </c>
      <c r="B645">
        <v>32.96</v>
      </c>
      <c r="C645">
        <v>22874400</v>
      </c>
      <c r="D645">
        <v>32.619999999999997</v>
      </c>
      <c r="E645">
        <v>32.97</v>
      </c>
      <c r="F645">
        <v>32.5</v>
      </c>
    </row>
    <row r="646" spans="1:6" x14ac:dyDescent="0.25">
      <c r="A646" s="1">
        <v>45119</v>
      </c>
      <c r="B646">
        <v>33.44</v>
      </c>
      <c r="C646">
        <v>26655440</v>
      </c>
      <c r="D646">
        <v>33.06</v>
      </c>
      <c r="E646">
        <v>33.479999999999997</v>
      </c>
      <c r="F646">
        <v>33</v>
      </c>
    </row>
    <row r="647" spans="1:6" x14ac:dyDescent="0.25">
      <c r="A647" s="1">
        <v>45120</v>
      </c>
      <c r="B647">
        <v>33.555</v>
      </c>
      <c r="C647">
        <v>19835442</v>
      </c>
      <c r="D647">
        <v>33.44</v>
      </c>
      <c r="E647">
        <v>33.564999999999998</v>
      </c>
      <c r="F647">
        <v>33.317500000000003</v>
      </c>
    </row>
    <row r="648" spans="1:6" x14ac:dyDescent="0.25">
      <c r="A648" s="1">
        <v>45121</v>
      </c>
      <c r="B648">
        <v>33.424999999999997</v>
      </c>
      <c r="C648">
        <v>20285660</v>
      </c>
      <c r="D648">
        <v>33.47</v>
      </c>
      <c r="E648">
        <v>33.570500000000003</v>
      </c>
      <c r="F648">
        <v>33.234999999999999</v>
      </c>
    </row>
    <row r="649" spans="1:6" x14ac:dyDescent="0.25">
      <c r="A649" s="1">
        <v>45124</v>
      </c>
      <c r="B649">
        <v>33.04</v>
      </c>
      <c r="C649">
        <v>21261700</v>
      </c>
      <c r="D649">
        <v>33.314999999999998</v>
      </c>
      <c r="E649">
        <v>33.39</v>
      </c>
      <c r="F649">
        <v>33.022500000000001</v>
      </c>
    </row>
    <row r="650" spans="1:6" x14ac:dyDescent="0.25">
      <c r="A650" s="1">
        <v>45125</v>
      </c>
      <c r="B650">
        <v>32.784999999999997</v>
      </c>
      <c r="C650">
        <v>36265880</v>
      </c>
      <c r="D650">
        <v>33.01</v>
      </c>
      <c r="E650">
        <v>33.295000000000002</v>
      </c>
      <c r="F650">
        <v>32.494999999999997</v>
      </c>
    </row>
    <row r="651" spans="1:6" x14ac:dyDescent="0.25">
      <c r="A651" s="1">
        <v>45126</v>
      </c>
      <c r="B651">
        <v>33.119999999999997</v>
      </c>
      <c r="C651">
        <v>27153980</v>
      </c>
      <c r="D651">
        <v>32.81</v>
      </c>
      <c r="E651">
        <v>33.314999999999998</v>
      </c>
      <c r="F651">
        <v>32.81</v>
      </c>
    </row>
    <row r="652" spans="1:6" x14ac:dyDescent="0.25">
      <c r="A652" s="1">
        <v>45127</v>
      </c>
      <c r="B652">
        <v>33.725000000000001</v>
      </c>
      <c r="C652">
        <v>33328940</v>
      </c>
      <c r="D652">
        <v>33.21</v>
      </c>
      <c r="E652">
        <v>33.774999999999999</v>
      </c>
      <c r="F652">
        <v>33.037500000000001</v>
      </c>
    </row>
    <row r="653" spans="1:6" x14ac:dyDescent="0.25">
      <c r="A653" s="1">
        <v>45128</v>
      </c>
      <c r="B653">
        <v>34.229999999999997</v>
      </c>
      <c r="C653">
        <v>36745960</v>
      </c>
      <c r="D653">
        <v>33.86</v>
      </c>
      <c r="E653">
        <v>34.365000000000002</v>
      </c>
      <c r="F653">
        <v>33.799999999999997</v>
      </c>
    </row>
    <row r="654" spans="1:6" x14ac:dyDescent="0.25">
      <c r="A654" s="1">
        <v>45131</v>
      </c>
      <c r="B654">
        <v>34.14</v>
      </c>
      <c r="C654">
        <v>26484520</v>
      </c>
      <c r="D654">
        <v>34.28</v>
      </c>
      <c r="E654">
        <v>34.340000000000003</v>
      </c>
      <c r="F654">
        <v>33.979999999999997</v>
      </c>
    </row>
    <row r="655" spans="1:6" x14ac:dyDescent="0.25">
      <c r="A655" s="1">
        <v>45132</v>
      </c>
      <c r="B655">
        <v>34.200000000000003</v>
      </c>
      <c r="C655">
        <v>16701670</v>
      </c>
      <c r="D655">
        <v>34.1</v>
      </c>
      <c r="E655">
        <v>34.305</v>
      </c>
      <c r="F655">
        <v>33.994999999999997</v>
      </c>
    </row>
    <row r="656" spans="1:6" x14ac:dyDescent="0.25">
      <c r="A656" s="1">
        <v>45133</v>
      </c>
      <c r="B656">
        <v>34.200000000000003</v>
      </c>
      <c r="C656">
        <v>23158180</v>
      </c>
      <c r="D656">
        <v>34.11</v>
      </c>
      <c r="E656">
        <v>34.577500000000001</v>
      </c>
      <c r="F656">
        <v>34.042499999999997</v>
      </c>
    </row>
    <row r="657" spans="1:6" x14ac:dyDescent="0.25">
      <c r="A657" s="1">
        <v>45134</v>
      </c>
      <c r="B657">
        <v>33.594999999999999</v>
      </c>
      <c r="C657">
        <v>32130100</v>
      </c>
      <c r="D657">
        <v>34.064999999999998</v>
      </c>
      <c r="E657">
        <v>34.21</v>
      </c>
      <c r="F657">
        <v>33.524999999999999</v>
      </c>
    </row>
    <row r="658" spans="1:6" x14ac:dyDescent="0.25">
      <c r="A658" s="1">
        <v>45135</v>
      </c>
      <c r="B658">
        <v>33.520000000000003</v>
      </c>
      <c r="C658">
        <v>26432140</v>
      </c>
      <c r="D658">
        <v>33.814999999999998</v>
      </c>
      <c r="E658">
        <v>33.950000000000003</v>
      </c>
      <c r="F658">
        <v>33.352499999999999</v>
      </c>
    </row>
    <row r="659" spans="1:6" x14ac:dyDescent="0.25">
      <c r="A659" s="1">
        <v>45138</v>
      </c>
      <c r="B659">
        <v>33.534999999999997</v>
      </c>
      <c r="C659">
        <v>25047480</v>
      </c>
      <c r="D659">
        <v>33.655000000000001</v>
      </c>
      <c r="E659">
        <v>33.79</v>
      </c>
      <c r="F659">
        <v>33.377499999999998</v>
      </c>
    </row>
    <row r="660" spans="1:6" x14ac:dyDescent="0.25">
      <c r="A660" s="1">
        <v>45139</v>
      </c>
      <c r="B660">
        <v>33.125</v>
      </c>
      <c r="C660">
        <v>26919680</v>
      </c>
      <c r="D660">
        <v>33.494999999999997</v>
      </c>
      <c r="E660">
        <v>33.67</v>
      </c>
      <c r="F660">
        <v>33.104999999999997</v>
      </c>
    </row>
    <row r="661" spans="1:6" x14ac:dyDescent="0.25">
      <c r="A661" s="1">
        <v>45140</v>
      </c>
      <c r="B661">
        <v>33.125</v>
      </c>
      <c r="C661">
        <v>30336560</v>
      </c>
      <c r="D661">
        <v>32.99</v>
      </c>
      <c r="E661">
        <v>33.28</v>
      </c>
      <c r="F661">
        <v>32.936799999999998</v>
      </c>
    </row>
    <row r="662" spans="1:6" x14ac:dyDescent="0.25">
      <c r="A662" s="1">
        <v>45141</v>
      </c>
      <c r="B662">
        <v>32.369999999999997</v>
      </c>
      <c r="C662">
        <v>41269360</v>
      </c>
      <c r="D662">
        <v>33.024999999999999</v>
      </c>
      <c r="E662">
        <v>33.049999999999997</v>
      </c>
      <c r="F662">
        <v>32.337499999999999</v>
      </c>
    </row>
    <row r="663" spans="1:6" x14ac:dyDescent="0.25">
      <c r="A663" s="1">
        <v>45142</v>
      </c>
      <c r="B663">
        <v>31.995000000000001</v>
      </c>
      <c r="C663">
        <v>36497840</v>
      </c>
      <c r="D663">
        <v>32.454999999999998</v>
      </c>
      <c r="E663">
        <v>32.664999999999999</v>
      </c>
      <c r="F663">
        <v>31.852499999999999</v>
      </c>
    </row>
    <row r="664" spans="1:6" x14ac:dyDescent="0.25">
      <c r="A664" s="1">
        <v>45145</v>
      </c>
      <c r="B664">
        <v>31.99</v>
      </c>
      <c r="C664">
        <v>25131740</v>
      </c>
      <c r="D664">
        <v>32.115000000000002</v>
      </c>
      <c r="E664">
        <v>32.262500000000003</v>
      </c>
      <c r="F664">
        <v>31.98</v>
      </c>
    </row>
    <row r="665" spans="1:6" x14ac:dyDescent="0.25">
      <c r="A665" s="1">
        <v>45146</v>
      </c>
      <c r="B665">
        <v>32.14</v>
      </c>
      <c r="C665">
        <v>30350200</v>
      </c>
      <c r="D665">
        <v>31.984999999999999</v>
      </c>
      <c r="E665">
        <v>32.152500000000003</v>
      </c>
      <c r="F665">
        <v>31.69</v>
      </c>
    </row>
    <row r="666" spans="1:6" x14ac:dyDescent="0.25">
      <c r="A666" s="1">
        <v>45147</v>
      </c>
      <c r="B666">
        <v>32.21</v>
      </c>
      <c r="C666">
        <v>26387360</v>
      </c>
      <c r="D666">
        <v>32.125</v>
      </c>
      <c r="E666">
        <v>32.494999999999997</v>
      </c>
      <c r="F666">
        <v>32.07</v>
      </c>
    </row>
    <row r="667" spans="1:6" x14ac:dyDescent="0.25">
      <c r="A667" s="1">
        <v>45148</v>
      </c>
      <c r="B667">
        <v>32.11</v>
      </c>
      <c r="C667">
        <v>27384640</v>
      </c>
      <c r="D667">
        <v>32.340000000000003</v>
      </c>
      <c r="E667">
        <v>32.534999999999997</v>
      </c>
      <c r="F667">
        <v>32.017000000000003</v>
      </c>
    </row>
    <row r="668" spans="1:6" x14ac:dyDescent="0.25">
      <c r="A668" s="1">
        <v>45149</v>
      </c>
      <c r="B668">
        <v>32.284999999999997</v>
      </c>
      <c r="C668">
        <v>24336620</v>
      </c>
      <c r="D668">
        <v>32.14</v>
      </c>
      <c r="E668">
        <v>32.33</v>
      </c>
      <c r="F668">
        <v>32.041499999999999</v>
      </c>
    </row>
    <row r="669" spans="1:6" x14ac:dyDescent="0.25">
      <c r="A669" s="1">
        <v>45152</v>
      </c>
      <c r="B669">
        <v>32.03</v>
      </c>
      <c r="C669">
        <v>21549680</v>
      </c>
      <c r="D669">
        <v>32.265000000000001</v>
      </c>
      <c r="E669">
        <v>32.284999999999997</v>
      </c>
      <c r="F669">
        <v>31.89</v>
      </c>
    </row>
    <row r="670" spans="1:6" x14ac:dyDescent="0.25">
      <c r="A670" s="1">
        <v>45153</v>
      </c>
      <c r="B670">
        <v>31.51</v>
      </c>
      <c r="C670">
        <v>30379280</v>
      </c>
      <c r="D670">
        <v>31.844999999999999</v>
      </c>
      <c r="E670">
        <v>31.86</v>
      </c>
      <c r="F670">
        <v>31.487500000000001</v>
      </c>
    </row>
    <row r="671" spans="1:6" x14ac:dyDescent="0.25">
      <c r="A671" s="1">
        <v>45154</v>
      </c>
      <c r="B671">
        <v>31.65</v>
      </c>
      <c r="C671">
        <v>25028320</v>
      </c>
      <c r="D671">
        <v>31.645</v>
      </c>
      <c r="E671">
        <v>31.79</v>
      </c>
      <c r="F671">
        <v>31.524999999999999</v>
      </c>
    </row>
    <row r="672" spans="1:6" x14ac:dyDescent="0.25">
      <c r="A672" s="1">
        <v>45155</v>
      </c>
      <c r="B672">
        <v>31.58</v>
      </c>
      <c r="C672">
        <v>23753120</v>
      </c>
      <c r="D672">
        <v>31.684999999999999</v>
      </c>
      <c r="E672">
        <v>31.9925</v>
      </c>
      <c r="F672">
        <v>31.5625</v>
      </c>
    </row>
    <row r="673" spans="1:6" x14ac:dyDescent="0.25">
      <c r="A673" s="1">
        <v>45156</v>
      </c>
      <c r="B673">
        <v>31.745000000000001</v>
      </c>
      <c r="C673">
        <v>25675580</v>
      </c>
      <c r="D673">
        <v>31.574999999999999</v>
      </c>
      <c r="E673">
        <v>31.817499999999999</v>
      </c>
      <c r="F673">
        <v>31.545000000000002</v>
      </c>
    </row>
    <row r="674" spans="1:6" x14ac:dyDescent="0.25">
      <c r="A674" s="1">
        <v>45159</v>
      </c>
      <c r="B674">
        <v>31.545000000000002</v>
      </c>
      <c r="C674">
        <v>24162000</v>
      </c>
      <c r="D674">
        <v>31.65</v>
      </c>
      <c r="E674">
        <v>31.736000000000001</v>
      </c>
      <c r="F674">
        <v>31.2925</v>
      </c>
    </row>
    <row r="675" spans="1:6" x14ac:dyDescent="0.25">
      <c r="A675" s="1">
        <v>45160</v>
      </c>
      <c r="B675">
        <v>31.635000000000002</v>
      </c>
      <c r="C675">
        <v>27062220</v>
      </c>
      <c r="D675">
        <v>31.524999999999999</v>
      </c>
      <c r="E675">
        <v>31.725000000000001</v>
      </c>
      <c r="F675">
        <v>31.405000000000001</v>
      </c>
    </row>
    <row r="676" spans="1:6" x14ac:dyDescent="0.25">
      <c r="A676" s="1">
        <v>45161</v>
      </c>
      <c r="B676">
        <v>31.76</v>
      </c>
      <c r="C676">
        <v>26772060</v>
      </c>
      <c r="D676">
        <v>31.805</v>
      </c>
      <c r="E676">
        <v>31.84</v>
      </c>
      <c r="F676">
        <v>31.54</v>
      </c>
    </row>
    <row r="677" spans="1:6" x14ac:dyDescent="0.25">
      <c r="A677" s="1">
        <v>45162</v>
      </c>
      <c r="B677">
        <v>31.574999999999999</v>
      </c>
      <c r="C677">
        <v>25934280</v>
      </c>
      <c r="D677">
        <v>31.704999999999998</v>
      </c>
      <c r="E677">
        <v>32.14</v>
      </c>
      <c r="F677">
        <v>31.5425</v>
      </c>
    </row>
    <row r="678" spans="1:6" x14ac:dyDescent="0.25">
      <c r="A678" s="1">
        <v>45163</v>
      </c>
      <c r="B678">
        <v>31.815000000000001</v>
      </c>
      <c r="C678">
        <v>24981260</v>
      </c>
      <c r="D678">
        <v>31.62</v>
      </c>
      <c r="E678">
        <v>31.975000000000001</v>
      </c>
      <c r="F678">
        <v>31.6</v>
      </c>
    </row>
    <row r="679" spans="1:6" x14ac:dyDescent="0.25">
      <c r="A679" s="1">
        <v>45166</v>
      </c>
      <c r="B679">
        <v>31.81</v>
      </c>
      <c r="C679">
        <v>17326488</v>
      </c>
      <c r="D679">
        <v>31.87</v>
      </c>
      <c r="E679">
        <v>32.045000000000002</v>
      </c>
      <c r="F679">
        <v>31.745000000000001</v>
      </c>
    </row>
    <row r="680" spans="1:6" x14ac:dyDescent="0.25">
      <c r="A680" s="1">
        <v>45167</v>
      </c>
      <c r="B680">
        <v>31.93</v>
      </c>
      <c r="C680">
        <v>23746200</v>
      </c>
      <c r="D680">
        <v>31.85</v>
      </c>
      <c r="E680">
        <v>32.022500000000001</v>
      </c>
      <c r="F680">
        <v>31.72</v>
      </c>
    </row>
    <row r="681" spans="1:6" x14ac:dyDescent="0.25">
      <c r="A681" s="1">
        <v>45168</v>
      </c>
      <c r="B681">
        <v>31.785</v>
      </c>
      <c r="C681">
        <v>22481260</v>
      </c>
      <c r="D681">
        <v>31.824999999999999</v>
      </c>
      <c r="E681">
        <v>32.034599999999998</v>
      </c>
      <c r="F681">
        <v>31.662500000000001</v>
      </c>
    </row>
    <row r="682" spans="1:6" x14ac:dyDescent="0.25">
      <c r="A682" s="1">
        <v>45169</v>
      </c>
      <c r="B682">
        <v>31.48</v>
      </c>
      <c r="C682">
        <v>27542120</v>
      </c>
      <c r="D682">
        <v>31.91</v>
      </c>
      <c r="E682">
        <v>31.9375</v>
      </c>
      <c r="F682">
        <v>31.47</v>
      </c>
    </row>
    <row r="683" spans="1:6" x14ac:dyDescent="0.25">
      <c r="A683" s="1">
        <v>45170</v>
      </c>
      <c r="B683">
        <v>31.32</v>
      </c>
      <c r="C683">
        <v>28775600</v>
      </c>
      <c r="D683">
        <v>31.645</v>
      </c>
      <c r="E683">
        <v>31.752500000000001</v>
      </c>
      <c r="F683">
        <v>31.072500000000002</v>
      </c>
    </row>
    <row r="684" spans="1:6" x14ac:dyDescent="0.25">
      <c r="A684" s="1">
        <v>45174</v>
      </c>
      <c r="B684">
        <v>30.84</v>
      </c>
      <c r="C684">
        <v>37650620</v>
      </c>
      <c r="D684">
        <v>31.3</v>
      </c>
      <c r="E684">
        <v>31.32</v>
      </c>
      <c r="F684">
        <v>30.6721</v>
      </c>
    </row>
    <row r="685" spans="1:6" x14ac:dyDescent="0.25">
      <c r="A685" s="1">
        <v>45175</v>
      </c>
      <c r="B685">
        <v>30.91</v>
      </c>
      <c r="C685">
        <v>38940120</v>
      </c>
      <c r="D685">
        <v>30.885000000000002</v>
      </c>
      <c r="E685">
        <v>30.945</v>
      </c>
      <c r="F685">
        <v>30.709900000000001</v>
      </c>
    </row>
    <row r="686" spans="1:6" x14ac:dyDescent="0.25">
      <c r="A686" s="1">
        <v>45176</v>
      </c>
      <c r="B686">
        <v>31.315000000000001</v>
      </c>
      <c r="C686">
        <v>33748520</v>
      </c>
      <c r="D686">
        <v>31.175000000000001</v>
      </c>
      <c r="E686">
        <v>31.565000000000001</v>
      </c>
      <c r="F686">
        <v>31.094999999999999</v>
      </c>
    </row>
    <row r="687" spans="1:6" x14ac:dyDescent="0.25">
      <c r="A687" s="1">
        <v>45177</v>
      </c>
      <c r="B687">
        <v>31.59</v>
      </c>
      <c r="C687">
        <v>32522240</v>
      </c>
      <c r="D687">
        <v>31.37</v>
      </c>
      <c r="E687">
        <v>31.645</v>
      </c>
      <c r="F687">
        <v>31.27</v>
      </c>
    </row>
    <row r="688" spans="1:6" x14ac:dyDescent="0.25">
      <c r="A688" s="1">
        <v>45180</v>
      </c>
      <c r="B688">
        <v>31.72</v>
      </c>
      <c r="C688">
        <v>26796500</v>
      </c>
      <c r="D688">
        <v>31.555</v>
      </c>
      <c r="E688">
        <v>31.883900000000001</v>
      </c>
      <c r="F688">
        <v>31.545000000000002</v>
      </c>
    </row>
    <row r="689" spans="1:6" x14ac:dyDescent="0.25">
      <c r="A689" s="1">
        <v>45181</v>
      </c>
      <c r="B689">
        <v>31.76</v>
      </c>
      <c r="C689">
        <v>22094960</v>
      </c>
      <c r="D689">
        <v>31.715</v>
      </c>
      <c r="E689">
        <v>31.85</v>
      </c>
      <c r="F689">
        <v>31.504999999999999</v>
      </c>
    </row>
    <row r="690" spans="1:6" x14ac:dyDescent="0.25">
      <c r="A690" s="1">
        <v>45182</v>
      </c>
      <c r="B690">
        <v>32.14</v>
      </c>
      <c r="C690">
        <v>30120860</v>
      </c>
      <c r="D690">
        <v>31.774999999999999</v>
      </c>
      <c r="E690">
        <v>32.284999999999997</v>
      </c>
      <c r="F690">
        <v>31.774999999999999</v>
      </c>
    </row>
    <row r="691" spans="1:6" x14ac:dyDescent="0.25">
      <c r="A691" s="1">
        <v>45183</v>
      </c>
      <c r="B691">
        <v>32.61</v>
      </c>
      <c r="C691">
        <v>26200980</v>
      </c>
      <c r="D691">
        <v>32.340000000000003</v>
      </c>
      <c r="E691">
        <v>32.630000000000003</v>
      </c>
      <c r="F691">
        <v>32.295000000000002</v>
      </c>
    </row>
    <row r="692" spans="1:6" x14ac:dyDescent="0.25">
      <c r="A692" s="1">
        <v>45184</v>
      </c>
      <c r="B692">
        <v>32.47</v>
      </c>
      <c r="C692">
        <v>34801980</v>
      </c>
      <c r="D692">
        <v>32.555</v>
      </c>
      <c r="E692">
        <v>32.805</v>
      </c>
      <c r="F692">
        <v>32.435000000000002</v>
      </c>
    </row>
    <row r="693" spans="1:6" x14ac:dyDescent="0.25">
      <c r="A693" s="1">
        <v>45187</v>
      </c>
      <c r="B693">
        <v>32.185000000000002</v>
      </c>
      <c r="C693">
        <v>19134956</v>
      </c>
      <c r="D693">
        <v>32.229999999999997</v>
      </c>
      <c r="E693">
        <v>32.29</v>
      </c>
      <c r="F693">
        <v>31.96</v>
      </c>
    </row>
    <row r="694" spans="1:6" x14ac:dyDescent="0.25">
      <c r="A694" s="1">
        <v>45188</v>
      </c>
      <c r="B694">
        <v>32.01</v>
      </c>
      <c r="C694">
        <v>24889260</v>
      </c>
      <c r="D694">
        <v>32.159999999999997</v>
      </c>
      <c r="E694">
        <v>32.274999999999999</v>
      </c>
      <c r="F694">
        <v>32</v>
      </c>
    </row>
    <row r="695" spans="1:6" x14ac:dyDescent="0.25">
      <c r="A695" s="1">
        <v>45189</v>
      </c>
      <c r="B695">
        <v>32.04</v>
      </c>
      <c r="C695">
        <v>18736186</v>
      </c>
      <c r="D695">
        <v>32.14</v>
      </c>
      <c r="E695">
        <v>32.375</v>
      </c>
      <c r="F695">
        <v>31.945</v>
      </c>
    </row>
    <row r="696" spans="1:6" x14ac:dyDescent="0.25">
      <c r="A696" s="1">
        <v>45190</v>
      </c>
      <c r="B696">
        <v>31.704999999999998</v>
      </c>
      <c r="C696">
        <v>25629380</v>
      </c>
      <c r="D696">
        <v>32.015000000000001</v>
      </c>
      <c r="E696">
        <v>32.072499999999998</v>
      </c>
      <c r="F696">
        <v>31.69</v>
      </c>
    </row>
    <row r="697" spans="1:6" x14ac:dyDescent="0.25">
      <c r="A697" s="1">
        <v>45191</v>
      </c>
      <c r="B697">
        <v>31.645</v>
      </c>
      <c r="C697">
        <v>24599580</v>
      </c>
      <c r="D697">
        <v>31.565000000000001</v>
      </c>
      <c r="E697">
        <v>31.852499999999999</v>
      </c>
      <c r="F697">
        <v>31.434999999999999</v>
      </c>
    </row>
    <row r="698" spans="1:6" x14ac:dyDescent="0.25">
      <c r="A698" s="1">
        <v>45194</v>
      </c>
      <c r="B698">
        <v>31.6</v>
      </c>
      <c r="C698">
        <v>24729820</v>
      </c>
      <c r="D698">
        <v>31.46</v>
      </c>
      <c r="E698">
        <v>31.622800000000002</v>
      </c>
      <c r="F698">
        <v>31.267499999999998</v>
      </c>
    </row>
    <row r="699" spans="1:6" x14ac:dyDescent="0.25">
      <c r="A699" s="1">
        <v>45195</v>
      </c>
      <c r="B699">
        <v>30.655000000000001</v>
      </c>
      <c r="C699">
        <v>46833320</v>
      </c>
      <c r="D699">
        <v>31.47</v>
      </c>
      <c r="E699">
        <v>31.504999999999999</v>
      </c>
      <c r="F699">
        <v>30.57</v>
      </c>
    </row>
    <row r="700" spans="1:6" x14ac:dyDescent="0.25">
      <c r="A700" s="1">
        <v>45196</v>
      </c>
      <c r="B700">
        <v>30.065000000000001</v>
      </c>
      <c r="C700">
        <v>52033540</v>
      </c>
      <c r="D700">
        <v>30.594999999999999</v>
      </c>
      <c r="E700">
        <v>30.67</v>
      </c>
      <c r="F700">
        <v>29.982500000000002</v>
      </c>
    </row>
    <row r="701" spans="1:6" x14ac:dyDescent="0.25">
      <c r="A701" s="1">
        <v>45197</v>
      </c>
      <c r="B701">
        <v>29.414999999999999</v>
      </c>
      <c r="C701">
        <v>77189720</v>
      </c>
      <c r="D701">
        <v>30.18</v>
      </c>
      <c r="E701">
        <v>30.24</v>
      </c>
      <c r="F701">
        <v>29.3675</v>
      </c>
    </row>
    <row r="702" spans="1:6" x14ac:dyDescent="0.25">
      <c r="A702" s="1">
        <v>45198</v>
      </c>
      <c r="B702">
        <v>29.465</v>
      </c>
      <c r="C702">
        <v>45737800</v>
      </c>
      <c r="D702">
        <v>29.67</v>
      </c>
      <c r="E702">
        <v>29.91</v>
      </c>
      <c r="F702">
        <v>29.302499999999998</v>
      </c>
    </row>
    <row r="703" spans="1:6" x14ac:dyDescent="0.25">
      <c r="A703" s="1">
        <v>45201</v>
      </c>
      <c r="B703">
        <v>28.094999999999999</v>
      </c>
      <c r="C703">
        <v>111645440</v>
      </c>
      <c r="D703">
        <v>29.295000000000002</v>
      </c>
      <c r="E703">
        <v>29.295000000000002</v>
      </c>
      <c r="F703">
        <v>27.7575</v>
      </c>
    </row>
    <row r="704" spans="1:6" x14ac:dyDescent="0.25">
      <c r="A704" s="1">
        <v>45202</v>
      </c>
      <c r="B704">
        <v>28.42</v>
      </c>
      <c r="C704">
        <v>115236440</v>
      </c>
      <c r="D704">
        <v>27.875</v>
      </c>
      <c r="E704">
        <v>28.515000000000001</v>
      </c>
      <c r="F704">
        <v>27.462499999999999</v>
      </c>
    </row>
    <row r="705" spans="1:6" x14ac:dyDescent="0.25">
      <c r="A705" s="1">
        <v>45203</v>
      </c>
      <c r="B705">
        <v>28.39</v>
      </c>
      <c r="C705">
        <v>58997280</v>
      </c>
      <c r="D705">
        <v>28.565000000000001</v>
      </c>
      <c r="E705">
        <v>28.6205</v>
      </c>
      <c r="F705">
        <v>27.945</v>
      </c>
    </row>
    <row r="706" spans="1:6" x14ac:dyDescent="0.25">
      <c r="A706" s="1">
        <v>45204</v>
      </c>
      <c r="B706">
        <v>28.225000000000001</v>
      </c>
      <c r="C706">
        <v>56290020</v>
      </c>
      <c r="D706">
        <v>28.315000000000001</v>
      </c>
      <c r="E706">
        <v>28.4</v>
      </c>
      <c r="F706">
        <v>27.95</v>
      </c>
    </row>
    <row r="707" spans="1:6" x14ac:dyDescent="0.25">
      <c r="A707" s="1">
        <v>45205</v>
      </c>
      <c r="B707">
        <v>28.625</v>
      </c>
      <c r="C707">
        <v>68207400</v>
      </c>
      <c r="D707">
        <v>27.875</v>
      </c>
      <c r="E707">
        <v>28.695</v>
      </c>
      <c r="F707">
        <v>27.385000000000002</v>
      </c>
    </row>
    <row r="708" spans="1:6" x14ac:dyDescent="0.25">
      <c r="A708" s="1">
        <v>45208</v>
      </c>
      <c r="B708">
        <v>28.91</v>
      </c>
      <c r="C708">
        <v>40487660</v>
      </c>
      <c r="D708">
        <v>28.574999999999999</v>
      </c>
      <c r="E708">
        <v>28.91</v>
      </c>
      <c r="F708">
        <v>28.454999999999998</v>
      </c>
    </row>
    <row r="709" spans="1:6" x14ac:dyDescent="0.25">
      <c r="A709" s="1">
        <v>45209</v>
      </c>
      <c r="B709">
        <v>29.305</v>
      </c>
      <c r="C709">
        <v>61414440</v>
      </c>
      <c r="D709">
        <v>28.91</v>
      </c>
      <c r="E709">
        <v>29.317499999999999</v>
      </c>
      <c r="F709">
        <v>28.91</v>
      </c>
    </row>
    <row r="710" spans="1:6" x14ac:dyDescent="0.25">
      <c r="A710" s="1">
        <v>45210</v>
      </c>
      <c r="B710">
        <v>29.78</v>
      </c>
      <c r="C710">
        <v>53347320</v>
      </c>
      <c r="D710">
        <v>29.47</v>
      </c>
      <c r="E710">
        <v>29.805</v>
      </c>
      <c r="F710">
        <v>29.26</v>
      </c>
    </row>
    <row r="711" spans="1:6" x14ac:dyDescent="0.25">
      <c r="A711" s="1">
        <v>45211</v>
      </c>
      <c r="B711">
        <v>29.32</v>
      </c>
      <c r="C711">
        <v>55086620</v>
      </c>
      <c r="D711">
        <v>29.63</v>
      </c>
      <c r="E711">
        <v>29.805</v>
      </c>
      <c r="F711">
        <v>29.055</v>
      </c>
    </row>
    <row r="712" spans="1:6" x14ac:dyDescent="0.25">
      <c r="A712" s="1">
        <v>45212</v>
      </c>
      <c r="B712">
        <v>29.65</v>
      </c>
      <c r="C712">
        <v>39574460</v>
      </c>
      <c r="D712">
        <v>29.515000000000001</v>
      </c>
      <c r="E712">
        <v>29.84</v>
      </c>
      <c r="F712">
        <v>29.44</v>
      </c>
    </row>
    <row r="713" spans="1:6" x14ac:dyDescent="0.25">
      <c r="A713" s="1">
        <v>45215</v>
      </c>
      <c r="B713">
        <v>29.954999999999998</v>
      </c>
      <c r="C713">
        <v>39554800</v>
      </c>
      <c r="D713">
        <v>29.71</v>
      </c>
      <c r="E713">
        <v>30.065000000000001</v>
      </c>
      <c r="F713">
        <v>29.48</v>
      </c>
    </row>
    <row r="714" spans="1:6" x14ac:dyDescent="0.25">
      <c r="A714" s="1">
        <v>45216</v>
      </c>
      <c r="B714">
        <v>29.875</v>
      </c>
      <c r="C714">
        <v>36960440</v>
      </c>
      <c r="D714">
        <v>29.7</v>
      </c>
      <c r="E714">
        <v>30.065000000000001</v>
      </c>
      <c r="F714">
        <v>29.6525</v>
      </c>
    </row>
    <row r="715" spans="1:6" x14ac:dyDescent="0.25">
      <c r="A715" s="1">
        <v>45217</v>
      </c>
      <c r="B715">
        <v>29.614999999999998</v>
      </c>
      <c r="C715">
        <v>46726980</v>
      </c>
      <c r="D715">
        <v>29.844999999999999</v>
      </c>
      <c r="E715">
        <v>30.022500000000001</v>
      </c>
      <c r="F715">
        <v>29.425000000000001</v>
      </c>
    </row>
    <row r="716" spans="1:6" x14ac:dyDescent="0.25">
      <c r="A716" s="1">
        <v>45218</v>
      </c>
      <c r="B716">
        <v>29.32</v>
      </c>
      <c r="C716">
        <v>39363880</v>
      </c>
      <c r="D716">
        <v>29.52</v>
      </c>
      <c r="E716">
        <v>29.795000000000002</v>
      </c>
      <c r="F716">
        <v>29.297499999999999</v>
      </c>
    </row>
    <row r="717" spans="1:6" x14ac:dyDescent="0.25">
      <c r="A717" s="1">
        <v>45219</v>
      </c>
      <c r="B717">
        <v>29.015000000000001</v>
      </c>
      <c r="C717">
        <v>40044820</v>
      </c>
      <c r="D717">
        <v>29.25</v>
      </c>
      <c r="E717">
        <v>29.535</v>
      </c>
      <c r="F717">
        <v>29.01</v>
      </c>
    </row>
    <row r="718" spans="1:6" x14ac:dyDescent="0.25">
      <c r="A718" s="1">
        <v>45222</v>
      </c>
      <c r="B718">
        <v>28.77</v>
      </c>
      <c r="C718">
        <v>41041280</v>
      </c>
      <c r="D718">
        <v>28.75</v>
      </c>
      <c r="E718">
        <v>29.184999999999999</v>
      </c>
      <c r="F718">
        <v>28.52</v>
      </c>
    </row>
    <row r="719" spans="1:6" x14ac:dyDescent="0.25">
      <c r="A719" s="1">
        <v>45223</v>
      </c>
      <c r="B719">
        <v>29.51</v>
      </c>
      <c r="C719">
        <v>47194420</v>
      </c>
      <c r="D719">
        <v>29.204999999999998</v>
      </c>
      <c r="E719">
        <v>29.63</v>
      </c>
      <c r="F719">
        <v>29.114999999999998</v>
      </c>
    </row>
    <row r="720" spans="1:6" x14ac:dyDescent="0.25">
      <c r="A720" s="1">
        <v>45224</v>
      </c>
      <c r="B720">
        <v>29.675000000000001</v>
      </c>
      <c r="C720">
        <v>41309440</v>
      </c>
      <c r="D720">
        <v>29.46</v>
      </c>
      <c r="E720">
        <v>29.734999999999999</v>
      </c>
      <c r="F720">
        <v>29.34</v>
      </c>
    </row>
    <row r="721" spans="1:6" x14ac:dyDescent="0.25">
      <c r="A721" s="1">
        <v>45225</v>
      </c>
      <c r="B721">
        <v>29.93</v>
      </c>
      <c r="C721">
        <v>47174640</v>
      </c>
      <c r="D721">
        <v>29.754999999999999</v>
      </c>
      <c r="E721">
        <v>30.195</v>
      </c>
      <c r="F721">
        <v>29.744900000000001</v>
      </c>
    </row>
    <row r="722" spans="1:6" x14ac:dyDescent="0.25">
      <c r="A722" s="1">
        <v>45226</v>
      </c>
      <c r="B722">
        <v>29.364999999999998</v>
      </c>
      <c r="C722">
        <v>40502420</v>
      </c>
      <c r="D722">
        <v>29.8</v>
      </c>
      <c r="E722">
        <v>29.97</v>
      </c>
      <c r="F722">
        <v>29.274999999999999</v>
      </c>
    </row>
    <row r="723" spans="1:6" x14ac:dyDescent="0.25">
      <c r="A723" s="1">
        <v>45229</v>
      </c>
      <c r="B723">
        <v>29.59</v>
      </c>
      <c r="C723">
        <v>28539640</v>
      </c>
      <c r="D723">
        <v>29.49</v>
      </c>
      <c r="E723">
        <v>29.785</v>
      </c>
      <c r="F723">
        <v>29.265000000000001</v>
      </c>
    </row>
    <row r="724" spans="1:6" x14ac:dyDescent="0.25">
      <c r="A724" s="1">
        <v>45230</v>
      </c>
      <c r="B724">
        <v>29.844999999999999</v>
      </c>
      <c r="C724">
        <v>21364540</v>
      </c>
      <c r="D724">
        <v>29.71</v>
      </c>
      <c r="E724">
        <v>29.875</v>
      </c>
      <c r="F724">
        <v>29.5</v>
      </c>
    </row>
    <row r="725" spans="1:6" x14ac:dyDescent="0.25">
      <c r="A725" s="1">
        <v>45231</v>
      </c>
      <c r="B725">
        <v>30.184999999999999</v>
      </c>
      <c r="C725">
        <v>46523000</v>
      </c>
      <c r="D725">
        <v>29.885000000000002</v>
      </c>
      <c r="E725">
        <v>30.364999999999998</v>
      </c>
      <c r="F725">
        <v>29.594999999999999</v>
      </c>
    </row>
    <row r="726" spans="1:6" x14ac:dyDescent="0.25">
      <c r="A726" s="1">
        <v>45232</v>
      </c>
      <c r="B726">
        <v>30.75</v>
      </c>
      <c r="C726">
        <v>51100140</v>
      </c>
      <c r="D726">
        <v>30.25</v>
      </c>
      <c r="E726">
        <v>30.91</v>
      </c>
      <c r="F726">
        <v>30.2</v>
      </c>
    </row>
    <row r="727" spans="1:6" x14ac:dyDescent="0.25">
      <c r="A727" s="1">
        <v>45233</v>
      </c>
      <c r="B727">
        <v>30.93</v>
      </c>
      <c r="C727">
        <v>45147360</v>
      </c>
      <c r="D727">
        <v>31.285</v>
      </c>
      <c r="E727">
        <v>31.324999999999999</v>
      </c>
      <c r="F727">
        <v>30.92</v>
      </c>
    </row>
    <row r="728" spans="1:6" x14ac:dyDescent="0.25">
      <c r="A728" s="1">
        <v>45236</v>
      </c>
      <c r="B728">
        <v>30.85</v>
      </c>
      <c r="C728">
        <v>38240100</v>
      </c>
      <c r="D728">
        <v>30.984999999999999</v>
      </c>
      <c r="E728">
        <v>31.085000000000001</v>
      </c>
      <c r="F728">
        <v>30.82</v>
      </c>
    </row>
    <row r="729" spans="1:6" x14ac:dyDescent="0.25">
      <c r="A729" s="1">
        <v>45237</v>
      </c>
      <c r="B729">
        <v>30.625</v>
      </c>
      <c r="C729">
        <v>37684560</v>
      </c>
      <c r="D729">
        <v>30.864999999999998</v>
      </c>
      <c r="E729">
        <v>30.905000000000001</v>
      </c>
      <c r="F729">
        <v>30.574999999999999</v>
      </c>
    </row>
    <row r="730" spans="1:6" x14ac:dyDescent="0.25">
      <c r="A730" s="1">
        <v>45238</v>
      </c>
      <c r="B730">
        <v>30.4</v>
      </c>
      <c r="C730">
        <v>43295700</v>
      </c>
      <c r="D730">
        <v>30.495000000000001</v>
      </c>
      <c r="E730">
        <v>30.502500000000001</v>
      </c>
      <c r="F730">
        <v>30.06</v>
      </c>
    </row>
    <row r="731" spans="1:6" x14ac:dyDescent="0.25">
      <c r="A731" s="1">
        <v>45239</v>
      </c>
      <c r="B731">
        <v>30</v>
      </c>
      <c r="C731">
        <v>32195660</v>
      </c>
      <c r="D731">
        <v>30.454999999999998</v>
      </c>
      <c r="E731">
        <v>30.55</v>
      </c>
      <c r="F731">
        <v>29.984999999999999</v>
      </c>
    </row>
    <row r="732" spans="1:6" x14ac:dyDescent="0.25">
      <c r="A732" s="1">
        <v>45240</v>
      </c>
      <c r="B732">
        <v>30.16</v>
      </c>
      <c r="C732">
        <v>28031060</v>
      </c>
      <c r="D732">
        <v>30.135000000000002</v>
      </c>
      <c r="E732">
        <v>30.245000000000001</v>
      </c>
      <c r="F732">
        <v>29.96</v>
      </c>
    </row>
    <row r="733" spans="1:6" x14ac:dyDescent="0.25">
      <c r="A733" s="1">
        <v>45243</v>
      </c>
      <c r="B733">
        <v>29.8</v>
      </c>
      <c r="C733">
        <v>31159620</v>
      </c>
      <c r="D733">
        <v>30.094999999999999</v>
      </c>
      <c r="E733">
        <v>30.164999999999999</v>
      </c>
      <c r="F733">
        <v>29.754300000000001</v>
      </c>
    </row>
    <row r="734" spans="1:6" x14ac:dyDescent="0.25">
      <c r="A734" s="1">
        <v>45244</v>
      </c>
      <c r="B734">
        <v>30.99</v>
      </c>
      <c r="C734">
        <v>57318160</v>
      </c>
      <c r="D734">
        <v>30.47</v>
      </c>
      <c r="E734">
        <v>31.015000000000001</v>
      </c>
      <c r="F734">
        <v>30.407499999999999</v>
      </c>
    </row>
    <row r="735" spans="1:6" x14ac:dyDescent="0.25">
      <c r="A735" s="1">
        <v>45245</v>
      </c>
      <c r="B735">
        <v>30.895</v>
      </c>
      <c r="C735">
        <v>49662760</v>
      </c>
      <c r="D735">
        <v>30.905000000000001</v>
      </c>
      <c r="E735">
        <v>31.344999999999999</v>
      </c>
      <c r="F735">
        <v>30.824999999999999</v>
      </c>
    </row>
    <row r="736" spans="1:6" x14ac:dyDescent="0.25">
      <c r="A736" s="1">
        <v>45246</v>
      </c>
      <c r="B736">
        <v>31.06</v>
      </c>
      <c r="C736">
        <v>34650520</v>
      </c>
      <c r="D736">
        <v>31.15</v>
      </c>
      <c r="E736">
        <v>31.307500000000001</v>
      </c>
      <c r="F736">
        <v>31.035</v>
      </c>
    </row>
    <row r="737" spans="1:6" x14ac:dyDescent="0.25">
      <c r="A737" s="1">
        <v>45247</v>
      </c>
      <c r="B737">
        <v>31.145</v>
      </c>
      <c r="C737">
        <v>23879200</v>
      </c>
      <c r="D737">
        <v>31.23</v>
      </c>
      <c r="E737">
        <v>31.265000000000001</v>
      </c>
      <c r="F737">
        <v>30.9725</v>
      </c>
    </row>
    <row r="738" spans="1:6" x14ac:dyDescent="0.25">
      <c r="A738" s="1">
        <v>45250</v>
      </c>
      <c r="B738">
        <v>31.05</v>
      </c>
      <c r="C738">
        <v>28316520</v>
      </c>
      <c r="D738">
        <v>31</v>
      </c>
      <c r="E738">
        <v>31.169899999999998</v>
      </c>
      <c r="F738">
        <v>30.64</v>
      </c>
    </row>
    <row r="739" spans="1:6" x14ac:dyDescent="0.25">
      <c r="A739" s="1">
        <v>45251</v>
      </c>
      <c r="B739">
        <v>31.114999999999998</v>
      </c>
      <c r="C739">
        <v>20288500</v>
      </c>
      <c r="D739">
        <v>31.024999999999999</v>
      </c>
      <c r="E739">
        <v>31.177499999999998</v>
      </c>
      <c r="F739">
        <v>30.824999999999999</v>
      </c>
    </row>
    <row r="740" spans="1:6" x14ac:dyDescent="0.25">
      <c r="A740" s="1">
        <v>45252</v>
      </c>
      <c r="B740">
        <v>31.265000000000001</v>
      </c>
      <c r="C740">
        <v>17919658</v>
      </c>
      <c r="D740">
        <v>31.225000000000001</v>
      </c>
      <c r="E740">
        <v>31.274999999999999</v>
      </c>
      <c r="F740">
        <v>30.97</v>
      </c>
    </row>
    <row r="741" spans="1:6" x14ac:dyDescent="0.25">
      <c r="A741" s="1">
        <v>45254</v>
      </c>
      <c r="B741">
        <v>31.344999999999999</v>
      </c>
      <c r="C741">
        <v>9798534</v>
      </c>
      <c r="D741">
        <v>31.26</v>
      </c>
      <c r="E741">
        <v>31.350100000000001</v>
      </c>
      <c r="F741">
        <v>31.14</v>
      </c>
    </row>
    <row r="742" spans="1:6" x14ac:dyDescent="0.25">
      <c r="A742" s="1">
        <v>45257</v>
      </c>
      <c r="B742">
        <v>31.395</v>
      </c>
      <c r="C742">
        <v>24833160</v>
      </c>
      <c r="D742">
        <v>31.37</v>
      </c>
      <c r="E742">
        <v>31.46</v>
      </c>
      <c r="F742">
        <v>31.145</v>
      </c>
    </row>
    <row r="743" spans="1:6" x14ac:dyDescent="0.25">
      <c r="A743" s="1">
        <v>45258</v>
      </c>
      <c r="B743">
        <v>31.495000000000001</v>
      </c>
      <c r="C743">
        <v>29415120</v>
      </c>
      <c r="D743">
        <v>31.4</v>
      </c>
      <c r="E743">
        <v>31.7225</v>
      </c>
      <c r="F743">
        <v>31.274999999999999</v>
      </c>
    </row>
    <row r="744" spans="1:6" x14ac:dyDescent="0.25">
      <c r="A744" s="1">
        <v>45259</v>
      </c>
      <c r="B744">
        <v>31.245000000000001</v>
      </c>
      <c r="C744">
        <v>35806520</v>
      </c>
      <c r="D744">
        <v>31.504999999999999</v>
      </c>
      <c r="E744">
        <v>31.63</v>
      </c>
      <c r="F744">
        <v>31.1325</v>
      </c>
    </row>
    <row r="745" spans="1:6" x14ac:dyDescent="0.25">
      <c r="A745" s="1">
        <v>45260</v>
      </c>
      <c r="B745">
        <v>31.38</v>
      </c>
      <c r="C745">
        <v>30483520</v>
      </c>
      <c r="D745">
        <v>31.335000000000001</v>
      </c>
      <c r="E745">
        <v>31.42</v>
      </c>
      <c r="F745">
        <v>31.12</v>
      </c>
    </row>
    <row r="746" spans="1:6" x14ac:dyDescent="0.25">
      <c r="A746" s="1">
        <v>45261</v>
      </c>
      <c r="B746">
        <v>31.765000000000001</v>
      </c>
      <c r="C746">
        <v>29342760</v>
      </c>
      <c r="D746">
        <v>31.395</v>
      </c>
      <c r="E746">
        <v>31.77</v>
      </c>
      <c r="F746">
        <v>31.19</v>
      </c>
    </row>
    <row r="747" spans="1:6" x14ac:dyDescent="0.25">
      <c r="A747" s="1">
        <v>45264</v>
      </c>
      <c r="B747">
        <v>31.64</v>
      </c>
      <c r="C747">
        <v>30515820</v>
      </c>
      <c r="D747">
        <v>31.614999999999998</v>
      </c>
      <c r="E747">
        <v>31.905000000000001</v>
      </c>
      <c r="F747">
        <v>31.48</v>
      </c>
    </row>
    <row r="748" spans="1:6" x14ac:dyDescent="0.25">
      <c r="A748" s="1">
        <v>45265</v>
      </c>
      <c r="B748">
        <v>31.414999999999999</v>
      </c>
      <c r="C748">
        <v>22536560</v>
      </c>
      <c r="D748">
        <v>31.67</v>
      </c>
      <c r="E748">
        <v>31.675000000000001</v>
      </c>
      <c r="F748">
        <v>31.29</v>
      </c>
    </row>
    <row r="749" spans="1:6" x14ac:dyDescent="0.25">
      <c r="A749" s="1">
        <v>45266</v>
      </c>
      <c r="B749">
        <v>31.835000000000001</v>
      </c>
      <c r="C749">
        <v>26817760</v>
      </c>
      <c r="D749">
        <v>31.555</v>
      </c>
      <c r="E749">
        <v>31.844999999999999</v>
      </c>
      <c r="F749">
        <v>31.51</v>
      </c>
    </row>
    <row r="750" spans="1:6" x14ac:dyDescent="0.25">
      <c r="A750" s="1">
        <v>45267</v>
      </c>
      <c r="B750">
        <v>31.765000000000001</v>
      </c>
      <c r="C750">
        <v>21876520</v>
      </c>
      <c r="D750">
        <v>31.88</v>
      </c>
      <c r="E750">
        <v>31.995000000000001</v>
      </c>
      <c r="F750">
        <v>31.62</v>
      </c>
    </row>
    <row r="751" spans="1:6" x14ac:dyDescent="0.25">
      <c r="A751" s="1">
        <v>45268</v>
      </c>
      <c r="B751">
        <v>31.704999999999998</v>
      </c>
      <c r="C751">
        <v>24002920</v>
      </c>
      <c r="D751">
        <v>31.715</v>
      </c>
      <c r="E751">
        <v>31.85</v>
      </c>
      <c r="F751">
        <v>31.47</v>
      </c>
    </row>
    <row r="752" spans="1:6" x14ac:dyDescent="0.25">
      <c r="A752" s="1">
        <v>45271</v>
      </c>
      <c r="B752">
        <v>31.91</v>
      </c>
      <c r="C752">
        <v>22448720</v>
      </c>
      <c r="D752">
        <v>31.54</v>
      </c>
      <c r="E752">
        <v>31.95</v>
      </c>
      <c r="F752">
        <v>31.54</v>
      </c>
    </row>
    <row r="753" spans="1:6" x14ac:dyDescent="0.25">
      <c r="A753" s="1">
        <v>45272</v>
      </c>
      <c r="B753">
        <v>31.78</v>
      </c>
      <c r="C753">
        <v>21768260</v>
      </c>
      <c r="D753">
        <v>31.954999999999998</v>
      </c>
      <c r="E753">
        <v>31.97</v>
      </c>
      <c r="F753">
        <v>31.535</v>
      </c>
    </row>
    <row r="754" spans="1:6" x14ac:dyDescent="0.25">
      <c r="A754" s="1">
        <v>45273</v>
      </c>
      <c r="B754">
        <v>32.979999999999997</v>
      </c>
      <c r="C754">
        <v>43451900</v>
      </c>
      <c r="D754">
        <v>31.815000000000001</v>
      </c>
      <c r="E754">
        <v>32.979999999999997</v>
      </c>
      <c r="F754">
        <v>31.642499999999998</v>
      </c>
    </row>
    <row r="755" spans="1:6" x14ac:dyDescent="0.25">
      <c r="A755" s="1">
        <v>45274</v>
      </c>
      <c r="B755">
        <v>32.549999999999997</v>
      </c>
      <c r="C755">
        <v>64968180</v>
      </c>
      <c r="D755">
        <v>33.18</v>
      </c>
      <c r="E755">
        <v>33.35</v>
      </c>
      <c r="F755">
        <v>32.484999999999999</v>
      </c>
    </row>
    <row r="756" spans="1:6" x14ac:dyDescent="0.25">
      <c r="A756" s="1">
        <v>45275</v>
      </c>
      <c r="B756">
        <v>31.984999999999999</v>
      </c>
      <c r="C756">
        <v>53128920</v>
      </c>
      <c r="D756">
        <v>32.225000000000001</v>
      </c>
      <c r="E756">
        <v>32.39</v>
      </c>
      <c r="F756">
        <v>31.75</v>
      </c>
    </row>
    <row r="757" spans="1:6" x14ac:dyDescent="0.25">
      <c r="A757" s="1">
        <v>45278</v>
      </c>
      <c r="B757">
        <v>31.614999999999998</v>
      </c>
      <c r="C757">
        <v>32506920</v>
      </c>
      <c r="D757">
        <v>31.774999999999999</v>
      </c>
      <c r="E757">
        <v>31.952500000000001</v>
      </c>
      <c r="F757">
        <v>31.547499999999999</v>
      </c>
    </row>
    <row r="758" spans="1:6" x14ac:dyDescent="0.25">
      <c r="A758" s="1">
        <v>45279</v>
      </c>
      <c r="B758">
        <v>31.795000000000002</v>
      </c>
      <c r="C758">
        <v>25377860</v>
      </c>
      <c r="D758">
        <v>31.725000000000001</v>
      </c>
      <c r="E758">
        <v>31.835000000000001</v>
      </c>
      <c r="F758">
        <v>31.587499999999999</v>
      </c>
    </row>
    <row r="759" spans="1:6" x14ac:dyDescent="0.25">
      <c r="A759" s="1">
        <v>45280</v>
      </c>
      <c r="B759">
        <v>31.15</v>
      </c>
      <c r="C759">
        <v>36651860</v>
      </c>
      <c r="D759">
        <v>31.754999999999999</v>
      </c>
      <c r="E759">
        <v>31.844999999999999</v>
      </c>
      <c r="F759">
        <v>31.145</v>
      </c>
    </row>
    <row r="760" spans="1:6" x14ac:dyDescent="0.25">
      <c r="A760" s="1">
        <v>45281</v>
      </c>
      <c r="B760">
        <v>31.204999999999998</v>
      </c>
      <c r="C760">
        <v>31753900</v>
      </c>
      <c r="D760">
        <v>31.254999999999999</v>
      </c>
      <c r="E760">
        <v>31.42</v>
      </c>
      <c r="F760">
        <v>30.984999999999999</v>
      </c>
    </row>
    <row r="761" spans="1:6" x14ac:dyDescent="0.25">
      <c r="A761" s="1">
        <v>45282</v>
      </c>
      <c r="B761">
        <v>31.31</v>
      </c>
      <c r="C761">
        <v>26447640</v>
      </c>
      <c r="D761">
        <v>31.32</v>
      </c>
      <c r="E761">
        <v>31.6175</v>
      </c>
      <c r="F761">
        <v>31.25</v>
      </c>
    </row>
    <row r="762" spans="1:6" x14ac:dyDescent="0.25">
      <c r="A762" s="1">
        <v>45286</v>
      </c>
      <c r="B762">
        <v>31.5</v>
      </c>
      <c r="C762">
        <v>19075146</v>
      </c>
      <c r="D762">
        <v>31.26</v>
      </c>
      <c r="E762">
        <v>31.6175</v>
      </c>
      <c r="F762">
        <v>31.25</v>
      </c>
    </row>
    <row r="763" spans="1:6" x14ac:dyDescent="0.25">
      <c r="A763" s="1">
        <v>45287</v>
      </c>
      <c r="B763">
        <v>31.48</v>
      </c>
      <c r="C763">
        <v>18984524</v>
      </c>
      <c r="D763">
        <v>31.44</v>
      </c>
      <c r="E763">
        <v>31.54</v>
      </c>
      <c r="F763">
        <v>31.32</v>
      </c>
    </row>
    <row r="764" spans="1:6" x14ac:dyDescent="0.25">
      <c r="A764" s="1">
        <v>45288</v>
      </c>
      <c r="B764">
        <v>31.704999999999998</v>
      </c>
      <c r="C764">
        <v>17346364</v>
      </c>
      <c r="D764">
        <v>31.38</v>
      </c>
      <c r="E764">
        <v>31.747499999999999</v>
      </c>
      <c r="F764">
        <v>31.38</v>
      </c>
    </row>
    <row r="765" spans="1:6" x14ac:dyDescent="0.25">
      <c r="A765" s="1">
        <v>45289</v>
      </c>
      <c r="B765">
        <v>31.664999999999999</v>
      </c>
      <c r="C765">
        <v>22478180</v>
      </c>
      <c r="D765">
        <v>31.635000000000002</v>
      </c>
      <c r="E765">
        <v>31.73</v>
      </c>
      <c r="F765">
        <v>31.454999999999998</v>
      </c>
    </row>
    <row r="766" spans="1:6" x14ac:dyDescent="0.25">
      <c r="A766" s="1">
        <v>45293</v>
      </c>
      <c r="B766">
        <v>32.125</v>
      </c>
      <c r="C766">
        <v>30758620</v>
      </c>
      <c r="D766">
        <v>31.53</v>
      </c>
      <c r="E766">
        <v>32.197499999999998</v>
      </c>
      <c r="F766">
        <v>31.465</v>
      </c>
    </row>
    <row r="767" spans="1:6" x14ac:dyDescent="0.25">
      <c r="A767" s="1">
        <v>45294</v>
      </c>
      <c r="B767">
        <v>32.244999999999997</v>
      </c>
      <c r="C767">
        <v>32866360</v>
      </c>
      <c r="D767">
        <v>32.115000000000002</v>
      </c>
      <c r="E767">
        <v>32.302500000000002</v>
      </c>
      <c r="F767">
        <v>31.895</v>
      </c>
    </row>
    <row r="768" spans="1:6" x14ac:dyDescent="0.25">
      <c r="A768" s="1">
        <v>45295</v>
      </c>
      <c r="B768">
        <v>32.145000000000003</v>
      </c>
      <c r="C768">
        <v>26622320</v>
      </c>
      <c r="D768">
        <v>32.28</v>
      </c>
      <c r="E768">
        <v>32.448500000000003</v>
      </c>
      <c r="F768">
        <v>32.104999999999997</v>
      </c>
    </row>
    <row r="769" spans="1:6" x14ac:dyDescent="0.25">
      <c r="A769" s="1">
        <v>45296</v>
      </c>
      <c r="B769">
        <v>32.265000000000001</v>
      </c>
      <c r="C769">
        <v>27190380</v>
      </c>
      <c r="D769">
        <v>32.1</v>
      </c>
      <c r="E769">
        <v>32.4178</v>
      </c>
      <c r="F769">
        <v>31.954999999999998</v>
      </c>
    </row>
    <row r="770" spans="1:6" x14ac:dyDescent="0.25">
      <c r="A770" s="1">
        <v>45299</v>
      </c>
      <c r="B770">
        <v>32.5</v>
      </c>
      <c r="C770">
        <v>23434400</v>
      </c>
      <c r="D770">
        <v>32.195</v>
      </c>
      <c r="E770">
        <v>32.51</v>
      </c>
      <c r="F770">
        <v>32.095100000000002</v>
      </c>
    </row>
    <row r="771" spans="1:6" x14ac:dyDescent="0.25">
      <c r="A771" s="1">
        <v>45300</v>
      </c>
      <c r="B771">
        <v>32.234999999999999</v>
      </c>
      <c r="C771">
        <v>28805740</v>
      </c>
      <c r="D771">
        <v>32.33</v>
      </c>
      <c r="E771">
        <v>32.380000000000003</v>
      </c>
      <c r="F771">
        <v>32.164999999999999</v>
      </c>
    </row>
    <row r="772" spans="1:6" x14ac:dyDescent="0.25">
      <c r="A772" s="1">
        <v>45301</v>
      </c>
      <c r="B772">
        <v>32.229999999999997</v>
      </c>
      <c r="C772">
        <v>21854120</v>
      </c>
      <c r="D772">
        <v>32.234999999999999</v>
      </c>
      <c r="E772">
        <v>32.380000000000003</v>
      </c>
      <c r="F772">
        <v>32.115000000000002</v>
      </c>
    </row>
    <row r="773" spans="1:6" x14ac:dyDescent="0.25">
      <c r="A773" s="1">
        <v>45302</v>
      </c>
      <c r="B773">
        <v>31.48</v>
      </c>
      <c r="C773">
        <v>44353640</v>
      </c>
      <c r="D773">
        <v>32.125</v>
      </c>
      <c r="E773">
        <v>32.129199999999997</v>
      </c>
      <c r="F773">
        <v>31.377500000000001</v>
      </c>
    </row>
    <row r="774" spans="1:6" x14ac:dyDescent="0.25">
      <c r="A774" s="1">
        <v>45303</v>
      </c>
      <c r="B774">
        <v>31.66</v>
      </c>
      <c r="C774">
        <v>19537746</v>
      </c>
      <c r="D774">
        <v>31.69</v>
      </c>
      <c r="E774">
        <v>31.79</v>
      </c>
      <c r="F774">
        <v>31.532499999999999</v>
      </c>
    </row>
    <row r="775" spans="1:6" x14ac:dyDescent="0.25">
      <c r="A775" s="1">
        <v>45307</v>
      </c>
      <c r="B775">
        <v>31.315000000000001</v>
      </c>
      <c r="C775">
        <v>30453980</v>
      </c>
      <c r="D775">
        <v>31.504999999999999</v>
      </c>
      <c r="E775">
        <v>31.587499999999999</v>
      </c>
      <c r="F775">
        <v>31.24</v>
      </c>
    </row>
    <row r="776" spans="1:6" x14ac:dyDescent="0.25">
      <c r="A776" s="1">
        <v>45308</v>
      </c>
      <c r="B776">
        <v>30.86</v>
      </c>
      <c r="C776">
        <v>39169140</v>
      </c>
      <c r="D776">
        <v>31.135000000000002</v>
      </c>
      <c r="E776">
        <v>31.42</v>
      </c>
      <c r="F776">
        <v>30.625</v>
      </c>
    </row>
    <row r="777" spans="1:6" x14ac:dyDescent="0.25">
      <c r="A777" s="1">
        <v>45309</v>
      </c>
      <c r="B777">
        <v>30.53</v>
      </c>
      <c r="C777">
        <v>39464040</v>
      </c>
      <c r="D777">
        <v>30.704999999999998</v>
      </c>
      <c r="E777">
        <v>30.734999999999999</v>
      </c>
      <c r="F777">
        <v>30.355</v>
      </c>
    </row>
    <row r="778" spans="1:6" x14ac:dyDescent="0.25">
      <c r="A778" s="1">
        <v>45310</v>
      </c>
      <c r="B778">
        <v>30.49</v>
      </c>
      <c r="C778">
        <v>28257520</v>
      </c>
      <c r="D778">
        <v>30.56</v>
      </c>
      <c r="E778">
        <v>30.61</v>
      </c>
      <c r="F778">
        <v>30.295000000000002</v>
      </c>
    </row>
    <row r="779" spans="1:6" x14ac:dyDescent="0.25">
      <c r="A779" s="1">
        <v>45313</v>
      </c>
      <c r="B779">
        <v>30.335000000000001</v>
      </c>
      <c r="C779">
        <v>41676660</v>
      </c>
      <c r="D779">
        <v>30.48</v>
      </c>
      <c r="E779">
        <v>30.704999999999998</v>
      </c>
      <c r="F779">
        <v>30.202500000000001</v>
      </c>
    </row>
    <row r="780" spans="1:6" x14ac:dyDescent="0.25">
      <c r="A780" s="1">
        <v>45314</v>
      </c>
      <c r="B780">
        <v>30.39</v>
      </c>
      <c r="C780">
        <v>41100220</v>
      </c>
      <c r="D780">
        <v>30.344999999999999</v>
      </c>
      <c r="E780">
        <v>30.484999999999999</v>
      </c>
      <c r="F780">
        <v>30.2075</v>
      </c>
    </row>
    <row r="781" spans="1:6" x14ac:dyDescent="0.25">
      <c r="A781" s="1">
        <v>45315</v>
      </c>
      <c r="B781">
        <v>29.975000000000001</v>
      </c>
      <c r="C781">
        <v>50878120</v>
      </c>
      <c r="D781">
        <v>30.6</v>
      </c>
      <c r="E781">
        <v>30.65</v>
      </c>
      <c r="F781">
        <v>29.93</v>
      </c>
    </row>
    <row r="782" spans="1:6" x14ac:dyDescent="0.25">
      <c r="A782" s="1">
        <v>45316</v>
      </c>
      <c r="B782">
        <v>30.515000000000001</v>
      </c>
      <c r="C782">
        <v>50516700</v>
      </c>
      <c r="D782">
        <v>30.375</v>
      </c>
      <c r="E782">
        <v>30.52</v>
      </c>
      <c r="F782">
        <v>30.092300000000002</v>
      </c>
    </row>
    <row r="783" spans="1:6" x14ac:dyDescent="0.25">
      <c r="A783" s="1">
        <v>45317</v>
      </c>
      <c r="B783">
        <v>30.605</v>
      </c>
      <c r="C783">
        <v>36653600</v>
      </c>
      <c r="D783">
        <v>30.594999999999999</v>
      </c>
      <c r="E783">
        <v>30.717500000000001</v>
      </c>
      <c r="F783">
        <v>30.504999999999999</v>
      </c>
    </row>
    <row r="784" spans="1:6" x14ac:dyDescent="0.25">
      <c r="A784" s="1">
        <v>45320</v>
      </c>
      <c r="B784">
        <v>30.8</v>
      </c>
      <c r="C784">
        <v>26054320</v>
      </c>
      <c r="D784">
        <v>30.625</v>
      </c>
      <c r="E784">
        <v>30.9175</v>
      </c>
      <c r="F784">
        <v>30.442499999999999</v>
      </c>
    </row>
    <row r="785" spans="1:6" x14ac:dyDescent="0.25">
      <c r="A785" s="1">
        <v>45321</v>
      </c>
      <c r="B785">
        <v>30.79</v>
      </c>
      <c r="C785">
        <v>36108980</v>
      </c>
      <c r="D785">
        <v>30.725000000000001</v>
      </c>
      <c r="E785">
        <v>30.975000000000001</v>
      </c>
      <c r="F785">
        <v>30.525099999999998</v>
      </c>
    </row>
    <row r="786" spans="1:6" x14ac:dyDescent="0.25">
      <c r="A786" s="1">
        <v>45322</v>
      </c>
      <c r="B786">
        <v>30.725000000000001</v>
      </c>
      <c r="C786">
        <v>59642400</v>
      </c>
      <c r="D786">
        <v>31.045000000000002</v>
      </c>
      <c r="E786">
        <v>31.18</v>
      </c>
      <c r="F786">
        <v>30.547499999999999</v>
      </c>
    </row>
    <row r="787" spans="1:6" x14ac:dyDescent="0.25">
      <c r="A787" s="1">
        <v>45323</v>
      </c>
      <c r="B787">
        <v>31.31</v>
      </c>
      <c r="C787">
        <v>51507540</v>
      </c>
      <c r="D787">
        <v>30.594999999999999</v>
      </c>
      <c r="E787">
        <v>31.31</v>
      </c>
      <c r="F787">
        <v>30.454999999999998</v>
      </c>
    </row>
    <row r="788" spans="1:6" x14ac:dyDescent="0.25">
      <c r="A788" s="1">
        <v>45324</v>
      </c>
      <c r="B788">
        <v>30.745000000000001</v>
      </c>
      <c r="C788">
        <v>51839540</v>
      </c>
      <c r="D788">
        <v>30.954999999999998</v>
      </c>
      <c r="E788">
        <v>31.045000000000002</v>
      </c>
      <c r="F788">
        <v>30.53</v>
      </c>
    </row>
    <row r="789" spans="1:6" x14ac:dyDescent="0.25">
      <c r="A789" s="1">
        <v>45327</v>
      </c>
      <c r="B789">
        <v>30.105</v>
      </c>
      <c r="C789">
        <v>39895040</v>
      </c>
      <c r="D789">
        <v>30.445</v>
      </c>
      <c r="E789">
        <v>30.462499999999999</v>
      </c>
      <c r="F789">
        <v>30.09</v>
      </c>
    </row>
    <row r="790" spans="1:6" x14ac:dyDescent="0.25">
      <c r="A790" s="1">
        <v>45328</v>
      </c>
      <c r="B790">
        <v>30.215</v>
      </c>
      <c r="C790">
        <v>27557100</v>
      </c>
      <c r="D790">
        <v>30.09</v>
      </c>
      <c r="E790">
        <v>30.312999999999999</v>
      </c>
      <c r="F790">
        <v>29.995000000000001</v>
      </c>
    </row>
    <row r="791" spans="1:6" x14ac:dyDescent="0.25">
      <c r="A791" s="1">
        <v>45329</v>
      </c>
      <c r="B791">
        <v>30.234999999999999</v>
      </c>
      <c r="C791">
        <v>23748600</v>
      </c>
      <c r="D791">
        <v>30.335000000000001</v>
      </c>
      <c r="E791">
        <v>30.4</v>
      </c>
      <c r="F791">
        <v>30.074999999999999</v>
      </c>
    </row>
    <row r="792" spans="1:6" x14ac:dyDescent="0.25">
      <c r="A792" s="1">
        <v>45330</v>
      </c>
      <c r="B792">
        <v>30.02</v>
      </c>
      <c r="C792">
        <v>41755360</v>
      </c>
      <c r="D792">
        <v>30.1</v>
      </c>
      <c r="E792">
        <v>30.164999999999999</v>
      </c>
      <c r="F792">
        <v>29.7575</v>
      </c>
    </row>
    <row r="793" spans="1:6" x14ac:dyDescent="0.25">
      <c r="A793" s="1">
        <v>45331</v>
      </c>
      <c r="B793">
        <v>30.135000000000002</v>
      </c>
      <c r="C793">
        <v>29647880</v>
      </c>
      <c r="D793">
        <v>29.934999999999999</v>
      </c>
      <c r="E793">
        <v>30.164999999999999</v>
      </c>
      <c r="F793">
        <v>29.875</v>
      </c>
    </row>
    <row r="794" spans="1:6" x14ac:dyDescent="0.25">
      <c r="A794" s="1">
        <v>45334</v>
      </c>
      <c r="B794">
        <v>30.484999999999999</v>
      </c>
      <c r="C794">
        <v>25219340</v>
      </c>
      <c r="D794">
        <v>30.135000000000002</v>
      </c>
      <c r="E794">
        <v>30.51</v>
      </c>
      <c r="F794">
        <v>30.06</v>
      </c>
    </row>
    <row r="795" spans="1:6" x14ac:dyDescent="0.25">
      <c r="A795" s="1">
        <v>45335</v>
      </c>
      <c r="B795">
        <v>29.98</v>
      </c>
      <c r="C795">
        <v>45402160</v>
      </c>
      <c r="D795">
        <v>30.315000000000001</v>
      </c>
      <c r="E795">
        <v>30.47</v>
      </c>
      <c r="F795">
        <v>29.57</v>
      </c>
    </row>
    <row r="796" spans="1:6" x14ac:dyDescent="0.25">
      <c r="A796" s="1">
        <v>45336</v>
      </c>
      <c r="B796">
        <v>30.145</v>
      </c>
      <c r="C796">
        <v>34871960</v>
      </c>
      <c r="D796">
        <v>30.09</v>
      </c>
      <c r="E796">
        <v>30.215</v>
      </c>
      <c r="F796">
        <v>29.92</v>
      </c>
    </row>
    <row r="797" spans="1:6" x14ac:dyDescent="0.25">
      <c r="A797" s="1">
        <v>45337</v>
      </c>
      <c r="B797">
        <v>30.65</v>
      </c>
      <c r="C797">
        <v>34680860</v>
      </c>
      <c r="D797">
        <v>30.24</v>
      </c>
      <c r="E797">
        <v>30.672499999999999</v>
      </c>
      <c r="F797">
        <v>30.24</v>
      </c>
    </row>
    <row r="798" spans="1:6" x14ac:dyDescent="0.25">
      <c r="A798" s="1">
        <v>45338</v>
      </c>
      <c r="B798">
        <v>30.614999999999998</v>
      </c>
      <c r="C798">
        <v>29914320</v>
      </c>
      <c r="D798">
        <v>30.5</v>
      </c>
      <c r="E798">
        <v>30.7575</v>
      </c>
      <c r="F798">
        <v>30.315000000000001</v>
      </c>
    </row>
    <row r="799" spans="1:6" x14ac:dyDescent="0.25">
      <c r="A799" s="1">
        <v>45342</v>
      </c>
      <c r="B799">
        <v>30.594999999999999</v>
      </c>
      <c r="C799">
        <v>22764260</v>
      </c>
      <c r="D799">
        <v>30.56</v>
      </c>
      <c r="E799">
        <v>30.945</v>
      </c>
      <c r="F799">
        <v>30.53</v>
      </c>
    </row>
    <row r="800" spans="1:6" x14ac:dyDescent="0.25">
      <c r="A800" s="1">
        <v>45343</v>
      </c>
      <c r="B800">
        <v>31</v>
      </c>
      <c r="C800">
        <v>31570820</v>
      </c>
      <c r="D800">
        <v>30.795000000000002</v>
      </c>
      <c r="E800">
        <v>31.04</v>
      </c>
      <c r="F800">
        <v>30.645</v>
      </c>
    </row>
    <row r="801" spans="1:6" x14ac:dyDescent="0.25">
      <c r="A801" s="1">
        <v>45344</v>
      </c>
      <c r="B801">
        <v>30.76</v>
      </c>
      <c r="C801">
        <v>31841580</v>
      </c>
      <c r="D801">
        <v>30.754999999999999</v>
      </c>
      <c r="E801">
        <v>30.887499999999999</v>
      </c>
      <c r="F801">
        <v>30.524999999999999</v>
      </c>
    </row>
    <row r="802" spans="1:6" x14ac:dyDescent="0.25">
      <c r="A802" s="1">
        <v>45345</v>
      </c>
      <c r="B802">
        <v>30.98</v>
      </c>
      <c r="C802">
        <v>24572800</v>
      </c>
      <c r="D802">
        <v>30.824999999999999</v>
      </c>
      <c r="E802">
        <v>31.125</v>
      </c>
      <c r="F802">
        <v>30.747499999999999</v>
      </c>
    </row>
    <row r="803" spans="1:6" x14ac:dyDescent="0.25">
      <c r="A803" s="1">
        <v>45348</v>
      </c>
      <c r="B803">
        <v>30.37</v>
      </c>
      <c r="C803">
        <v>25586900</v>
      </c>
      <c r="D803">
        <v>30.83</v>
      </c>
      <c r="E803">
        <v>30.85</v>
      </c>
      <c r="F803">
        <v>30.3125</v>
      </c>
    </row>
    <row r="804" spans="1:6" x14ac:dyDescent="0.25">
      <c r="A804" s="1">
        <v>45349</v>
      </c>
      <c r="B804">
        <v>30.945</v>
      </c>
      <c r="C804">
        <v>27487600</v>
      </c>
      <c r="D804">
        <v>30.55</v>
      </c>
      <c r="E804">
        <v>30.954999999999998</v>
      </c>
      <c r="F804">
        <v>30.425000000000001</v>
      </c>
    </row>
    <row r="805" spans="1:6" x14ac:dyDescent="0.25">
      <c r="A805" s="1">
        <v>45350</v>
      </c>
      <c r="B805">
        <v>31.04</v>
      </c>
      <c r="C805">
        <v>22983660</v>
      </c>
      <c r="D805">
        <v>30.91</v>
      </c>
      <c r="E805">
        <v>31.085000000000001</v>
      </c>
      <c r="F805">
        <v>30.84</v>
      </c>
    </row>
    <row r="806" spans="1:6" x14ac:dyDescent="0.25">
      <c r="A806" s="1">
        <v>45351</v>
      </c>
      <c r="B806">
        <v>31.05</v>
      </c>
      <c r="C806">
        <v>30675460</v>
      </c>
      <c r="D806">
        <v>31.16</v>
      </c>
      <c r="E806">
        <v>31.31</v>
      </c>
      <c r="F806">
        <v>30.905000000000001</v>
      </c>
    </row>
    <row r="807" spans="1:6" x14ac:dyDescent="0.25">
      <c r="A807" s="1">
        <v>45352</v>
      </c>
      <c r="B807">
        <v>30.86</v>
      </c>
      <c r="C807">
        <v>42510920</v>
      </c>
      <c r="D807">
        <v>30.954999999999998</v>
      </c>
      <c r="E807">
        <v>30.96</v>
      </c>
      <c r="F807">
        <v>30.48</v>
      </c>
    </row>
    <row r="808" spans="1:6" x14ac:dyDescent="0.25">
      <c r="A808" s="1">
        <v>45355</v>
      </c>
      <c r="B808">
        <v>31.38</v>
      </c>
      <c r="C808">
        <v>33020700</v>
      </c>
      <c r="D808">
        <v>30.715</v>
      </c>
      <c r="E808">
        <v>31.425000000000001</v>
      </c>
      <c r="F808">
        <v>30.715</v>
      </c>
    </row>
    <row r="809" spans="1:6" x14ac:dyDescent="0.25">
      <c r="A809" s="1">
        <v>45356</v>
      </c>
      <c r="B809">
        <v>31.29</v>
      </c>
      <c r="C809">
        <v>49603060</v>
      </c>
      <c r="D809">
        <v>31.475000000000001</v>
      </c>
      <c r="E809">
        <v>31.984999999999999</v>
      </c>
      <c r="F809">
        <v>31.16</v>
      </c>
    </row>
    <row r="810" spans="1:6" x14ac:dyDescent="0.25">
      <c r="A810" s="1">
        <v>45357</v>
      </c>
      <c r="B810">
        <v>31.59</v>
      </c>
      <c r="C810">
        <v>32652300</v>
      </c>
      <c r="D810">
        <v>31.515000000000001</v>
      </c>
      <c r="E810">
        <v>31.75</v>
      </c>
      <c r="F810">
        <v>31.442499999999999</v>
      </c>
    </row>
    <row r="811" spans="1:6" x14ac:dyDescent="0.25">
      <c r="A811" s="1">
        <v>45358</v>
      </c>
      <c r="B811">
        <v>31.795000000000002</v>
      </c>
      <c r="C811">
        <v>21384120</v>
      </c>
      <c r="D811">
        <v>31.85</v>
      </c>
      <c r="E811">
        <v>31.93</v>
      </c>
      <c r="F811">
        <v>31.734999999999999</v>
      </c>
    </row>
    <row r="812" spans="1:6" x14ac:dyDescent="0.25">
      <c r="A812" s="1">
        <v>45359</v>
      </c>
      <c r="B812">
        <v>31.875</v>
      </c>
      <c r="C812">
        <v>27511640</v>
      </c>
      <c r="D812">
        <v>31.885000000000002</v>
      </c>
      <c r="E812">
        <v>31.967500000000001</v>
      </c>
      <c r="F812">
        <v>31.61</v>
      </c>
    </row>
    <row r="813" spans="1:6" x14ac:dyDescent="0.25">
      <c r="A813" s="1">
        <v>45362</v>
      </c>
      <c r="B813">
        <v>32.034999999999997</v>
      </c>
      <c r="C813">
        <v>20968220</v>
      </c>
      <c r="D813">
        <v>31.83</v>
      </c>
      <c r="E813">
        <v>32.102499999999999</v>
      </c>
      <c r="F813">
        <v>31.708200000000001</v>
      </c>
    </row>
    <row r="814" spans="1:6" x14ac:dyDescent="0.25">
      <c r="A814" s="1">
        <v>45363</v>
      </c>
      <c r="B814">
        <v>31.725000000000001</v>
      </c>
      <c r="C814">
        <v>29488960</v>
      </c>
      <c r="D814">
        <v>31.97</v>
      </c>
      <c r="E814">
        <v>31.984999999999999</v>
      </c>
      <c r="F814">
        <v>31.524999999999999</v>
      </c>
    </row>
    <row r="815" spans="1:6" x14ac:dyDescent="0.25">
      <c r="A815" s="1">
        <v>45364</v>
      </c>
      <c r="B815">
        <v>31.94</v>
      </c>
      <c r="C815">
        <v>25877700</v>
      </c>
      <c r="D815">
        <v>31.975000000000001</v>
      </c>
      <c r="E815">
        <v>32.225000000000001</v>
      </c>
      <c r="F815">
        <v>31.87</v>
      </c>
    </row>
    <row r="816" spans="1:6" x14ac:dyDescent="0.25">
      <c r="A816" s="1">
        <v>45365</v>
      </c>
      <c r="B816">
        <v>31.684999999999999</v>
      </c>
      <c r="C816">
        <v>31869760</v>
      </c>
      <c r="D816">
        <v>31.87</v>
      </c>
      <c r="E816">
        <v>31.9925</v>
      </c>
      <c r="F816">
        <v>31.46</v>
      </c>
    </row>
    <row r="817" spans="1:6" x14ac:dyDescent="0.25">
      <c r="A817" s="1">
        <v>45366</v>
      </c>
      <c r="B817">
        <v>31.73</v>
      </c>
      <c r="C817">
        <v>35445100</v>
      </c>
      <c r="D817">
        <v>31.585000000000001</v>
      </c>
      <c r="E817">
        <v>31.897500000000001</v>
      </c>
      <c r="F817">
        <v>31.555</v>
      </c>
    </row>
    <row r="818" spans="1:6" x14ac:dyDescent="0.25">
      <c r="A818" s="1">
        <v>45369</v>
      </c>
      <c r="B818">
        <v>31.614999999999998</v>
      </c>
      <c r="C818">
        <v>26843900</v>
      </c>
      <c r="D818">
        <v>31.51</v>
      </c>
      <c r="E818">
        <v>31.815000000000001</v>
      </c>
      <c r="F818">
        <v>31.324999999999999</v>
      </c>
    </row>
    <row r="819" spans="1:6" x14ac:dyDescent="0.25">
      <c r="A819" s="1">
        <v>45370</v>
      </c>
      <c r="B819">
        <v>31.895</v>
      </c>
      <c r="C819">
        <v>19985466</v>
      </c>
      <c r="D819">
        <v>31.69</v>
      </c>
      <c r="E819">
        <v>31.925000000000001</v>
      </c>
      <c r="F819">
        <v>31.6</v>
      </c>
    </row>
    <row r="820" spans="1:6" x14ac:dyDescent="0.25">
      <c r="A820" s="1">
        <v>45371</v>
      </c>
      <c r="B820">
        <v>31.934999999999999</v>
      </c>
      <c r="C820">
        <v>32620820</v>
      </c>
      <c r="D820">
        <v>31.84</v>
      </c>
      <c r="E820">
        <v>32.1</v>
      </c>
      <c r="F820">
        <v>31.752500000000001</v>
      </c>
    </row>
    <row r="821" spans="1:6" x14ac:dyDescent="0.25">
      <c r="A821" s="1">
        <v>45372</v>
      </c>
      <c r="B821">
        <v>31.885000000000002</v>
      </c>
      <c r="C821">
        <v>40327800</v>
      </c>
      <c r="D821">
        <v>32.020000000000003</v>
      </c>
      <c r="E821">
        <v>32.237499999999997</v>
      </c>
      <c r="F821">
        <v>31.87</v>
      </c>
    </row>
    <row r="822" spans="1:6" x14ac:dyDescent="0.25">
      <c r="A822" s="1">
        <v>45373</v>
      </c>
      <c r="B822">
        <v>31.93</v>
      </c>
      <c r="C822">
        <v>21059480</v>
      </c>
      <c r="D822">
        <v>32.085000000000001</v>
      </c>
      <c r="E822">
        <v>32.145000000000003</v>
      </c>
      <c r="F822">
        <v>31.89</v>
      </c>
    </row>
    <row r="823" spans="1:6" x14ac:dyDescent="0.25">
      <c r="A823" s="1">
        <v>45376</v>
      </c>
      <c r="B823">
        <v>32.08</v>
      </c>
      <c r="C823">
        <v>23194120</v>
      </c>
      <c r="D823">
        <v>32.020000000000003</v>
      </c>
      <c r="E823">
        <v>32.1</v>
      </c>
      <c r="F823">
        <v>31.8825</v>
      </c>
    </row>
    <row r="824" spans="1:6" x14ac:dyDescent="0.25">
      <c r="A824" s="1">
        <v>45377</v>
      </c>
      <c r="B824">
        <v>31.715</v>
      </c>
      <c r="C824">
        <v>29830340</v>
      </c>
      <c r="D824">
        <v>32.115000000000002</v>
      </c>
      <c r="E824">
        <v>32.21</v>
      </c>
      <c r="F824">
        <v>31.69</v>
      </c>
    </row>
    <row r="825" spans="1:6" x14ac:dyDescent="0.25">
      <c r="A825" s="1">
        <v>45378</v>
      </c>
      <c r="B825">
        <v>32.6</v>
      </c>
      <c r="C825">
        <v>34600500</v>
      </c>
      <c r="D825">
        <v>31.95</v>
      </c>
      <c r="E825">
        <v>32.6</v>
      </c>
      <c r="F825">
        <v>31.914999999999999</v>
      </c>
    </row>
    <row r="826" spans="1:6" x14ac:dyDescent="0.25">
      <c r="A826" s="1">
        <v>45379</v>
      </c>
      <c r="B826">
        <v>32.825000000000003</v>
      </c>
      <c r="C826">
        <v>27492200</v>
      </c>
      <c r="D826">
        <v>32.594999999999999</v>
      </c>
      <c r="E826">
        <v>32.877499999999998</v>
      </c>
      <c r="F826">
        <v>32.51</v>
      </c>
    </row>
    <row r="827" spans="1:6" x14ac:dyDescent="0.25">
      <c r="A827" s="1">
        <v>45383</v>
      </c>
      <c r="B827">
        <v>32.625</v>
      </c>
      <c r="C827">
        <v>22702900</v>
      </c>
      <c r="D827">
        <v>32.83</v>
      </c>
      <c r="E827">
        <v>32.865000000000002</v>
      </c>
      <c r="F827">
        <v>32.414999999999999</v>
      </c>
    </row>
    <row r="828" spans="1:6" x14ac:dyDescent="0.25">
      <c r="A828" s="1">
        <v>45384</v>
      </c>
      <c r="B828">
        <v>32.68</v>
      </c>
      <c r="C828">
        <v>30212300</v>
      </c>
      <c r="D828">
        <v>32.549999999999997</v>
      </c>
      <c r="E828">
        <v>32.869999999999997</v>
      </c>
      <c r="F828">
        <v>32.534999999999997</v>
      </c>
    </row>
    <row r="829" spans="1:6" x14ac:dyDescent="0.25">
      <c r="A829" s="1">
        <v>45385</v>
      </c>
      <c r="B829">
        <v>32.549999999999997</v>
      </c>
      <c r="C829">
        <v>26574160</v>
      </c>
      <c r="D829">
        <v>32.674999999999997</v>
      </c>
      <c r="E829">
        <v>32.762500000000003</v>
      </c>
      <c r="F829">
        <v>32.432499999999997</v>
      </c>
    </row>
    <row r="830" spans="1:6" x14ac:dyDescent="0.25">
      <c r="A830" s="1">
        <v>45386</v>
      </c>
      <c r="B830">
        <v>32.484999999999999</v>
      </c>
      <c r="C830">
        <v>29356760</v>
      </c>
      <c r="D830">
        <v>32.805</v>
      </c>
      <c r="E830">
        <v>32.9</v>
      </c>
      <c r="F830">
        <v>32.262500000000003</v>
      </c>
    </row>
    <row r="831" spans="1:6" x14ac:dyDescent="0.25">
      <c r="A831" s="1">
        <v>45387</v>
      </c>
      <c r="B831">
        <v>32.58</v>
      </c>
      <c r="C831">
        <v>32322360</v>
      </c>
      <c r="D831">
        <v>32.274999999999999</v>
      </c>
      <c r="E831">
        <v>32.667499999999997</v>
      </c>
      <c r="F831">
        <v>32.1175</v>
      </c>
    </row>
    <row r="832" spans="1:6" x14ac:dyDescent="0.25">
      <c r="A832" s="1">
        <v>45390</v>
      </c>
      <c r="B832">
        <v>32.795000000000002</v>
      </c>
      <c r="C832">
        <v>20142520</v>
      </c>
      <c r="D832">
        <v>32.585000000000001</v>
      </c>
      <c r="E832">
        <v>32.85</v>
      </c>
      <c r="F832">
        <v>32.54</v>
      </c>
    </row>
    <row r="833" spans="1:6" x14ac:dyDescent="0.25">
      <c r="A833" s="1">
        <v>45391</v>
      </c>
      <c r="B833">
        <v>32.975000000000001</v>
      </c>
      <c r="C833">
        <v>24025160</v>
      </c>
      <c r="D833">
        <v>32.865000000000002</v>
      </c>
      <c r="E833">
        <v>33.04</v>
      </c>
      <c r="F833">
        <v>32.767499999999998</v>
      </c>
    </row>
    <row r="834" spans="1:6" x14ac:dyDescent="0.25">
      <c r="A834" s="1">
        <v>45392</v>
      </c>
      <c r="B834">
        <v>32.409999999999997</v>
      </c>
      <c r="C834">
        <v>38281020</v>
      </c>
      <c r="D834">
        <v>32.314999999999998</v>
      </c>
      <c r="E834">
        <v>32.532499999999999</v>
      </c>
      <c r="F834">
        <v>32.125</v>
      </c>
    </row>
    <row r="835" spans="1:6" x14ac:dyDescent="0.25">
      <c r="A835" s="1">
        <v>45393</v>
      </c>
      <c r="B835">
        <v>32.344999999999999</v>
      </c>
      <c r="C835">
        <v>25621580</v>
      </c>
      <c r="D835">
        <v>32.594999999999999</v>
      </c>
      <c r="E835">
        <v>32.634999999999998</v>
      </c>
      <c r="F835">
        <v>32.125</v>
      </c>
    </row>
    <row r="836" spans="1:6" x14ac:dyDescent="0.25">
      <c r="A836" s="1">
        <v>45394</v>
      </c>
      <c r="B836">
        <v>32.1</v>
      </c>
      <c r="C836">
        <v>39845060</v>
      </c>
      <c r="D836">
        <v>32.405000000000001</v>
      </c>
      <c r="E836">
        <v>32.5</v>
      </c>
      <c r="F836">
        <v>31.945</v>
      </c>
    </row>
    <row r="837" spans="1:6" x14ac:dyDescent="0.25">
      <c r="A837" s="1">
        <v>45397</v>
      </c>
      <c r="B837">
        <v>31.805</v>
      </c>
      <c r="C837">
        <v>29407820</v>
      </c>
      <c r="D837">
        <v>32.32</v>
      </c>
      <c r="E837">
        <v>32.454999999999998</v>
      </c>
      <c r="F837">
        <v>31.682500000000001</v>
      </c>
    </row>
    <row r="838" spans="1:6" x14ac:dyDescent="0.25">
      <c r="A838" s="1">
        <v>45398</v>
      </c>
      <c r="B838">
        <v>31.385000000000002</v>
      </c>
      <c r="C838">
        <v>32907580</v>
      </c>
      <c r="D838">
        <v>31.704999999999998</v>
      </c>
      <c r="E838">
        <v>31.74</v>
      </c>
      <c r="F838">
        <v>31.274999999999999</v>
      </c>
    </row>
    <row r="839" spans="1:6" x14ac:dyDescent="0.25">
      <c r="A839" s="1">
        <v>45399</v>
      </c>
      <c r="B839">
        <v>32.04</v>
      </c>
      <c r="C839">
        <v>28152760</v>
      </c>
      <c r="D839">
        <v>31.59</v>
      </c>
      <c r="E839">
        <v>32.119999999999997</v>
      </c>
      <c r="F839">
        <v>31.53</v>
      </c>
    </row>
    <row r="840" spans="1:6" x14ac:dyDescent="0.25">
      <c r="A840" s="1">
        <v>45400</v>
      </c>
      <c r="B840">
        <v>32.22</v>
      </c>
      <c r="C840">
        <v>22288700</v>
      </c>
      <c r="D840">
        <v>32.15</v>
      </c>
      <c r="E840">
        <v>32.33</v>
      </c>
      <c r="F840">
        <v>31.912500000000001</v>
      </c>
    </row>
    <row r="841" spans="1:6" x14ac:dyDescent="0.25">
      <c r="A841" s="1">
        <v>45401</v>
      </c>
      <c r="B841">
        <v>32.715000000000003</v>
      </c>
      <c r="C841">
        <v>37004500</v>
      </c>
      <c r="D841">
        <v>32.305</v>
      </c>
      <c r="E841">
        <v>32.782499999999999</v>
      </c>
      <c r="F841">
        <v>32.267499999999998</v>
      </c>
    </row>
    <row r="842" spans="1:6" x14ac:dyDescent="0.25">
      <c r="A842" s="1">
        <v>45404</v>
      </c>
      <c r="B842">
        <v>33.015000000000001</v>
      </c>
      <c r="C842">
        <v>23458560</v>
      </c>
      <c r="D842">
        <v>32.734999999999999</v>
      </c>
      <c r="E842">
        <v>33.104999999999997</v>
      </c>
      <c r="F842">
        <v>32.51</v>
      </c>
    </row>
    <row r="843" spans="1:6" x14ac:dyDescent="0.25">
      <c r="A843" s="1">
        <v>45405</v>
      </c>
      <c r="B843">
        <v>33.17</v>
      </c>
      <c r="C843">
        <v>22338040</v>
      </c>
      <c r="D843">
        <v>33</v>
      </c>
      <c r="E843">
        <v>33.380000000000003</v>
      </c>
      <c r="F843">
        <v>32.92</v>
      </c>
    </row>
    <row r="844" spans="1:6" x14ac:dyDescent="0.25">
      <c r="A844" s="1">
        <v>45406</v>
      </c>
      <c r="B844">
        <v>33.369999999999997</v>
      </c>
      <c r="C844">
        <v>26127060</v>
      </c>
      <c r="D844">
        <v>32.869999999999997</v>
      </c>
      <c r="E844">
        <v>33.479999999999997</v>
      </c>
      <c r="F844">
        <v>32.704999999999998</v>
      </c>
    </row>
    <row r="845" spans="1:6" x14ac:dyDescent="0.25">
      <c r="A845" s="1">
        <v>45407</v>
      </c>
      <c r="B845">
        <v>33.46</v>
      </c>
      <c r="C845">
        <v>31562400</v>
      </c>
      <c r="D845">
        <v>33.29</v>
      </c>
      <c r="E845">
        <v>33.592500000000001</v>
      </c>
      <c r="F845">
        <v>32.997500000000002</v>
      </c>
    </row>
    <row r="846" spans="1:6" x14ac:dyDescent="0.25">
      <c r="A846" s="1">
        <v>45408</v>
      </c>
      <c r="B846">
        <v>33.094999999999999</v>
      </c>
      <c r="C846">
        <v>24547460</v>
      </c>
      <c r="D846">
        <v>33.46</v>
      </c>
      <c r="E846">
        <v>33.505000000000003</v>
      </c>
      <c r="F846">
        <v>33.08</v>
      </c>
    </row>
    <row r="847" spans="1:6" x14ac:dyDescent="0.25">
      <c r="A847" s="1">
        <v>45411</v>
      </c>
      <c r="B847">
        <v>33.545000000000002</v>
      </c>
      <c r="C847">
        <v>29368300</v>
      </c>
      <c r="D847">
        <v>33.325000000000003</v>
      </c>
      <c r="E847">
        <v>33.605800000000002</v>
      </c>
      <c r="F847">
        <v>33.295000000000002</v>
      </c>
    </row>
    <row r="848" spans="1:6" x14ac:dyDescent="0.25">
      <c r="A848" s="1">
        <v>45412</v>
      </c>
      <c r="B848">
        <v>33.369999999999997</v>
      </c>
      <c r="C848">
        <v>29724740</v>
      </c>
      <c r="D848">
        <v>33.36</v>
      </c>
      <c r="E848">
        <v>33.627499999999998</v>
      </c>
      <c r="F848">
        <v>33.14</v>
      </c>
    </row>
    <row r="849" spans="1:6" x14ac:dyDescent="0.25">
      <c r="A849" s="1">
        <v>45413</v>
      </c>
      <c r="B849">
        <v>33.755000000000003</v>
      </c>
      <c r="C849">
        <v>42371740</v>
      </c>
      <c r="D849">
        <v>33.365000000000002</v>
      </c>
      <c r="E849">
        <v>34.06</v>
      </c>
      <c r="F849">
        <v>33.234999999999999</v>
      </c>
    </row>
    <row r="850" spans="1:6" x14ac:dyDescent="0.25">
      <c r="A850" s="1">
        <v>45414</v>
      </c>
      <c r="B850">
        <v>33.935000000000002</v>
      </c>
      <c r="C850">
        <v>28609360</v>
      </c>
      <c r="D850">
        <v>33.895000000000003</v>
      </c>
      <c r="E850">
        <v>34.020000000000003</v>
      </c>
      <c r="F850">
        <v>33.625</v>
      </c>
    </row>
    <row r="851" spans="1:6" x14ac:dyDescent="0.25">
      <c r="A851" s="1">
        <v>45415</v>
      </c>
      <c r="B851">
        <v>34.204999999999998</v>
      </c>
      <c r="C851">
        <v>29817020</v>
      </c>
      <c r="D851">
        <v>34.200000000000003</v>
      </c>
      <c r="E851">
        <v>34.3125</v>
      </c>
      <c r="F851">
        <v>33.9</v>
      </c>
    </row>
    <row r="852" spans="1:6" x14ac:dyDescent="0.25">
      <c r="A852" s="1">
        <v>45418</v>
      </c>
      <c r="B852">
        <v>34.380000000000003</v>
      </c>
      <c r="C852">
        <v>21221340</v>
      </c>
      <c r="D852">
        <v>34.31</v>
      </c>
      <c r="E852">
        <v>34.417499999999997</v>
      </c>
      <c r="F852">
        <v>34.1</v>
      </c>
    </row>
    <row r="853" spans="1:6" x14ac:dyDescent="0.25">
      <c r="A853" s="1">
        <v>45419</v>
      </c>
      <c r="B853">
        <v>34.770000000000003</v>
      </c>
      <c r="C853">
        <v>28808200</v>
      </c>
      <c r="D853">
        <v>34.524999999999999</v>
      </c>
      <c r="E853">
        <v>34.799999999999997</v>
      </c>
      <c r="F853">
        <v>34.450000000000003</v>
      </c>
    </row>
    <row r="854" spans="1:6" x14ac:dyDescent="0.25">
      <c r="A854" s="1">
        <v>45420</v>
      </c>
      <c r="B854">
        <v>35.134999999999998</v>
      </c>
      <c r="C854">
        <v>27708120</v>
      </c>
      <c r="D854">
        <v>34.695</v>
      </c>
      <c r="E854">
        <v>35.155000000000001</v>
      </c>
      <c r="F854">
        <v>34.61</v>
      </c>
    </row>
    <row r="855" spans="1:6" x14ac:dyDescent="0.25">
      <c r="A855" s="1">
        <v>45421</v>
      </c>
      <c r="B855">
        <v>35.67</v>
      </c>
      <c r="C855">
        <v>48549180</v>
      </c>
      <c r="D855">
        <v>35.11</v>
      </c>
      <c r="E855">
        <v>35.702500000000001</v>
      </c>
      <c r="F855">
        <v>35.034999999999997</v>
      </c>
    </row>
    <row r="856" spans="1:6" x14ac:dyDescent="0.25">
      <c r="A856" s="1">
        <v>45422</v>
      </c>
      <c r="B856">
        <v>35.634999999999998</v>
      </c>
      <c r="C856">
        <v>39129100</v>
      </c>
      <c r="D856">
        <v>35.869999999999997</v>
      </c>
      <c r="E856">
        <v>35.924999999999997</v>
      </c>
      <c r="F856">
        <v>35.534999999999997</v>
      </c>
    </row>
    <row r="857" spans="1:6" x14ac:dyDescent="0.25">
      <c r="A857" s="1">
        <v>45425</v>
      </c>
      <c r="B857">
        <v>35.634999999999998</v>
      </c>
      <c r="C857">
        <v>21219180</v>
      </c>
      <c r="D857">
        <v>35.755000000000003</v>
      </c>
      <c r="E857">
        <v>35.932499999999997</v>
      </c>
      <c r="F857">
        <v>35.564999999999998</v>
      </c>
    </row>
    <row r="858" spans="1:6" x14ac:dyDescent="0.25">
      <c r="A858" s="1">
        <v>45426</v>
      </c>
      <c r="B858">
        <v>35.729999999999997</v>
      </c>
      <c r="C858">
        <v>23566640</v>
      </c>
      <c r="D858">
        <v>35.79</v>
      </c>
      <c r="E858">
        <v>35.840000000000003</v>
      </c>
      <c r="F858">
        <v>35.53</v>
      </c>
    </row>
    <row r="859" spans="1:6" x14ac:dyDescent="0.25">
      <c r="A859" s="1">
        <v>45427</v>
      </c>
      <c r="B859">
        <v>36.265000000000001</v>
      </c>
      <c r="C859">
        <v>29176580</v>
      </c>
      <c r="D859">
        <v>36.1</v>
      </c>
      <c r="E859">
        <v>36.365000000000002</v>
      </c>
      <c r="F859">
        <v>36.04</v>
      </c>
    </row>
    <row r="860" spans="1:6" x14ac:dyDescent="0.25">
      <c r="A860" s="1">
        <v>45428</v>
      </c>
      <c r="B860">
        <v>36.14</v>
      </c>
      <c r="C860">
        <v>25322320</v>
      </c>
      <c r="D860">
        <v>36.284999999999997</v>
      </c>
      <c r="E860">
        <v>36.452500000000001</v>
      </c>
      <c r="F860">
        <v>36.085000000000001</v>
      </c>
    </row>
    <row r="861" spans="1:6" x14ac:dyDescent="0.25">
      <c r="A861" s="1">
        <v>45429</v>
      </c>
      <c r="B861">
        <v>36.17</v>
      </c>
      <c r="C861">
        <v>21715640</v>
      </c>
      <c r="D861">
        <v>36.094999999999999</v>
      </c>
      <c r="E861">
        <v>36.255000000000003</v>
      </c>
      <c r="F861">
        <v>35.97</v>
      </c>
    </row>
    <row r="862" spans="1:6" x14ac:dyDescent="0.25">
      <c r="A862" s="1">
        <v>45432</v>
      </c>
      <c r="B862">
        <v>36.11</v>
      </c>
      <c r="C862">
        <v>13830868</v>
      </c>
      <c r="D862">
        <v>36.25</v>
      </c>
      <c r="E862">
        <v>36.25</v>
      </c>
      <c r="F862">
        <v>36.03</v>
      </c>
    </row>
    <row r="863" spans="1:6" x14ac:dyDescent="0.25">
      <c r="A863" s="1">
        <v>45433</v>
      </c>
      <c r="B863">
        <v>36.435000000000002</v>
      </c>
      <c r="C863">
        <v>16263310</v>
      </c>
      <c r="D863">
        <v>36.090000000000003</v>
      </c>
      <c r="E863">
        <v>36.450000000000003</v>
      </c>
      <c r="F863">
        <v>36.077500000000001</v>
      </c>
    </row>
    <row r="864" spans="1:6" x14ac:dyDescent="0.25">
      <c r="A864" s="1">
        <v>45434</v>
      </c>
      <c r="B864">
        <v>36.005000000000003</v>
      </c>
      <c r="C864">
        <v>21128820</v>
      </c>
      <c r="D864">
        <v>36.234999999999999</v>
      </c>
      <c r="E864">
        <v>36.362499999999997</v>
      </c>
      <c r="F864">
        <v>35.97</v>
      </c>
    </row>
    <row r="865" spans="1:6" x14ac:dyDescent="0.25">
      <c r="A865" s="1">
        <v>45435</v>
      </c>
      <c r="B865">
        <v>35.395000000000003</v>
      </c>
      <c r="C865">
        <v>28718560</v>
      </c>
      <c r="D865">
        <v>35.950000000000003</v>
      </c>
      <c r="E865">
        <v>35.950000000000003</v>
      </c>
      <c r="F865">
        <v>35.375</v>
      </c>
    </row>
    <row r="866" spans="1:6" x14ac:dyDescent="0.25">
      <c r="A866" s="1">
        <v>45436</v>
      </c>
      <c r="B866">
        <v>35.75</v>
      </c>
      <c r="C866">
        <v>16366864</v>
      </c>
      <c r="D866">
        <v>35.484999999999999</v>
      </c>
      <c r="E866">
        <v>35.89</v>
      </c>
      <c r="F866">
        <v>35.42</v>
      </c>
    </row>
    <row r="867" spans="1:6" x14ac:dyDescent="0.25">
      <c r="A867" s="1">
        <v>45440</v>
      </c>
      <c r="B867">
        <v>35.715000000000003</v>
      </c>
      <c r="C867">
        <v>17765334</v>
      </c>
      <c r="D867">
        <v>35.784999999999997</v>
      </c>
      <c r="E867">
        <v>35.93</v>
      </c>
      <c r="F867">
        <v>35.64</v>
      </c>
    </row>
    <row r="868" spans="1:6" x14ac:dyDescent="0.25">
      <c r="A868" s="1">
        <v>45441</v>
      </c>
      <c r="B868">
        <v>35.255000000000003</v>
      </c>
      <c r="C868">
        <v>28118600</v>
      </c>
      <c r="D868">
        <v>35.405000000000001</v>
      </c>
      <c r="E868">
        <v>35.450000000000003</v>
      </c>
      <c r="F868">
        <v>35.122500000000002</v>
      </c>
    </row>
    <row r="869" spans="1:6" x14ac:dyDescent="0.25">
      <c r="A869" s="1">
        <v>45442</v>
      </c>
      <c r="B869">
        <v>35.729999999999997</v>
      </c>
      <c r="C869">
        <v>18162108</v>
      </c>
      <c r="D869">
        <v>35.369999999999997</v>
      </c>
      <c r="E869">
        <v>35.755000000000003</v>
      </c>
      <c r="F869">
        <v>35.305</v>
      </c>
    </row>
    <row r="870" spans="1:6" x14ac:dyDescent="0.25">
      <c r="A870" s="1">
        <v>45443</v>
      </c>
      <c r="B870">
        <v>36.36</v>
      </c>
      <c r="C870">
        <v>24777620</v>
      </c>
      <c r="D870">
        <v>35.85</v>
      </c>
      <c r="E870">
        <v>36.395000000000003</v>
      </c>
      <c r="F870">
        <v>35.695</v>
      </c>
    </row>
    <row r="871" spans="1:6" x14ac:dyDescent="0.25">
      <c r="A871" s="1">
        <v>45446</v>
      </c>
      <c r="B871">
        <v>35.945</v>
      </c>
      <c r="C871">
        <v>36915720</v>
      </c>
      <c r="D871">
        <v>36.299999999999997</v>
      </c>
      <c r="E871">
        <v>36.332500000000003</v>
      </c>
      <c r="F871">
        <v>35.814999999999998</v>
      </c>
    </row>
    <row r="872" spans="1:6" x14ac:dyDescent="0.25">
      <c r="A872" s="1">
        <v>45447</v>
      </c>
      <c r="B872">
        <v>35.93</v>
      </c>
      <c r="C872">
        <v>29419580</v>
      </c>
      <c r="D872">
        <v>35.854999999999997</v>
      </c>
      <c r="E872">
        <v>36.055</v>
      </c>
      <c r="F872">
        <v>35.534999999999997</v>
      </c>
    </row>
    <row r="873" spans="1:6" x14ac:dyDescent="0.25">
      <c r="A873" s="1">
        <v>45448</v>
      </c>
      <c r="B873">
        <v>35.725000000000001</v>
      </c>
      <c r="C873">
        <v>17920300</v>
      </c>
      <c r="D873">
        <v>35.89</v>
      </c>
      <c r="E873">
        <v>35.92</v>
      </c>
      <c r="F873">
        <v>35.662500000000001</v>
      </c>
    </row>
    <row r="874" spans="1:6" x14ac:dyDescent="0.25">
      <c r="A874" s="1">
        <v>45449</v>
      </c>
      <c r="B874">
        <v>35.354999999999997</v>
      </c>
      <c r="C874">
        <v>18184886</v>
      </c>
      <c r="D874">
        <v>35.645000000000003</v>
      </c>
      <c r="E874">
        <v>35.854999999999997</v>
      </c>
      <c r="F874">
        <v>35.305</v>
      </c>
    </row>
    <row r="875" spans="1:6" x14ac:dyDescent="0.25">
      <c r="A875" s="1">
        <v>45450</v>
      </c>
      <c r="B875">
        <v>34.97</v>
      </c>
      <c r="C875">
        <v>16286816</v>
      </c>
      <c r="D875">
        <v>35.049999999999997</v>
      </c>
      <c r="E875">
        <v>35.33</v>
      </c>
      <c r="F875">
        <v>34.957500000000003</v>
      </c>
    </row>
    <row r="876" spans="1:6" x14ac:dyDescent="0.25">
      <c r="A876" s="1">
        <v>45453</v>
      </c>
      <c r="B876">
        <v>35.42</v>
      </c>
      <c r="C876">
        <v>19591578</v>
      </c>
      <c r="D876">
        <v>34.965000000000003</v>
      </c>
      <c r="E876">
        <v>35.479999999999997</v>
      </c>
      <c r="F876">
        <v>34.872500000000002</v>
      </c>
    </row>
    <row r="877" spans="1:6" x14ac:dyDescent="0.25">
      <c r="A877" s="1">
        <v>45454</v>
      </c>
      <c r="B877">
        <v>35.204999999999998</v>
      </c>
      <c r="C877">
        <v>22694800</v>
      </c>
      <c r="D877">
        <v>35.119999999999997</v>
      </c>
      <c r="E877">
        <v>35.255000000000003</v>
      </c>
      <c r="F877">
        <v>34.905000000000001</v>
      </c>
    </row>
    <row r="878" spans="1:6" x14ac:dyDescent="0.25">
      <c r="A878" s="1">
        <v>45455</v>
      </c>
      <c r="B878">
        <v>34.975000000000001</v>
      </c>
      <c r="C878">
        <v>24912160</v>
      </c>
      <c r="D878">
        <v>35.65</v>
      </c>
      <c r="E878">
        <v>35.655000000000001</v>
      </c>
      <c r="F878">
        <v>34.86</v>
      </c>
    </row>
    <row r="879" spans="1:6" x14ac:dyDescent="0.25">
      <c r="A879" s="1">
        <v>45456</v>
      </c>
      <c r="B879">
        <v>35.055</v>
      </c>
      <c r="C879">
        <v>22974040</v>
      </c>
      <c r="D879">
        <v>35.03</v>
      </c>
      <c r="E879">
        <v>35.185000000000002</v>
      </c>
      <c r="F879">
        <v>34.690600000000003</v>
      </c>
    </row>
    <row r="880" spans="1:6" x14ac:dyDescent="0.25">
      <c r="A880" s="1">
        <v>45457</v>
      </c>
      <c r="B880">
        <v>34.97</v>
      </c>
      <c r="C880">
        <v>20280720</v>
      </c>
      <c r="D880">
        <v>34.85</v>
      </c>
      <c r="E880">
        <v>35.015000000000001</v>
      </c>
      <c r="F880">
        <v>34.704999999999998</v>
      </c>
    </row>
    <row r="881" spans="1:6" x14ac:dyDescent="0.25">
      <c r="A881" s="1">
        <v>45460</v>
      </c>
      <c r="B881">
        <v>34.585000000000001</v>
      </c>
      <c r="C881">
        <v>21026420</v>
      </c>
      <c r="D881">
        <v>34.784999999999997</v>
      </c>
      <c r="E881">
        <v>34.865000000000002</v>
      </c>
      <c r="F881">
        <v>34.549999999999997</v>
      </c>
    </row>
    <row r="882" spans="1:6" x14ac:dyDescent="0.25">
      <c r="A882" s="1">
        <v>45461</v>
      </c>
      <c r="B882">
        <v>34.6</v>
      </c>
      <c r="C882">
        <v>24573580</v>
      </c>
      <c r="D882">
        <v>34.305</v>
      </c>
      <c r="E882">
        <v>34.612499999999997</v>
      </c>
      <c r="F882">
        <v>34.274999999999999</v>
      </c>
    </row>
    <row r="883" spans="1:6" x14ac:dyDescent="0.25">
      <c r="A883" s="1">
        <v>45463</v>
      </c>
      <c r="B883">
        <v>34.9</v>
      </c>
      <c r="C883">
        <v>27948080</v>
      </c>
      <c r="D883">
        <v>34.71</v>
      </c>
      <c r="E883">
        <v>34.972499999999997</v>
      </c>
      <c r="F883">
        <v>34.594999999999999</v>
      </c>
    </row>
    <row r="884" spans="1:6" x14ac:dyDescent="0.25">
      <c r="A884" s="1">
        <v>45464</v>
      </c>
      <c r="B884">
        <v>34.695</v>
      </c>
      <c r="C884">
        <v>18991192</v>
      </c>
      <c r="D884">
        <v>35.03</v>
      </c>
      <c r="E884">
        <v>35.067500000000003</v>
      </c>
      <c r="F884">
        <v>34.67</v>
      </c>
    </row>
    <row r="885" spans="1:6" x14ac:dyDescent="0.25">
      <c r="A885" s="1">
        <v>45467</v>
      </c>
      <c r="B885">
        <v>34.869999999999997</v>
      </c>
      <c r="C885">
        <v>17956736</v>
      </c>
      <c r="D885">
        <v>34.409999999999997</v>
      </c>
      <c r="E885">
        <v>34.984999999999999</v>
      </c>
      <c r="F885">
        <v>34.384999999999998</v>
      </c>
    </row>
    <row r="886" spans="1:6" x14ac:dyDescent="0.25">
      <c r="A886" s="1">
        <v>45468</v>
      </c>
      <c r="B886">
        <v>34.54</v>
      </c>
      <c r="C886">
        <v>25099640</v>
      </c>
      <c r="D886">
        <v>34.799999999999997</v>
      </c>
      <c r="E886">
        <v>34.895000000000003</v>
      </c>
      <c r="F886">
        <v>34.43</v>
      </c>
    </row>
    <row r="887" spans="1:6" x14ac:dyDescent="0.25">
      <c r="A887" s="1">
        <v>45469</v>
      </c>
      <c r="B887">
        <v>34.395000000000003</v>
      </c>
      <c r="C887">
        <v>13881966</v>
      </c>
      <c r="D887">
        <v>34.409999999999997</v>
      </c>
      <c r="E887">
        <v>34.467500000000001</v>
      </c>
      <c r="F887">
        <v>34.19</v>
      </c>
    </row>
    <row r="888" spans="1:6" x14ac:dyDescent="0.25">
      <c r="A888" s="1">
        <v>45470</v>
      </c>
      <c r="B888">
        <v>34.454999999999998</v>
      </c>
      <c r="C888">
        <v>10899786</v>
      </c>
      <c r="D888">
        <v>34.424999999999997</v>
      </c>
      <c r="E888">
        <v>34.5</v>
      </c>
      <c r="F888">
        <v>34.22</v>
      </c>
    </row>
    <row r="889" spans="1:6" x14ac:dyDescent="0.25">
      <c r="A889" s="1">
        <v>45471</v>
      </c>
      <c r="B889">
        <v>34.07</v>
      </c>
      <c r="C889">
        <v>23063360</v>
      </c>
      <c r="D889">
        <v>34.454999999999998</v>
      </c>
      <c r="E889">
        <v>34.5</v>
      </c>
      <c r="F889">
        <v>33.909999999999997</v>
      </c>
    </row>
    <row r="890" spans="1:6" x14ac:dyDescent="0.25">
      <c r="A890" s="1">
        <v>45474</v>
      </c>
      <c r="B890">
        <v>33.835000000000001</v>
      </c>
      <c r="C890">
        <v>16757816</v>
      </c>
      <c r="D890">
        <v>34.424999999999997</v>
      </c>
      <c r="E890">
        <v>34.484999999999999</v>
      </c>
      <c r="F890">
        <v>33.797499999999999</v>
      </c>
    </row>
    <row r="891" spans="1:6" x14ac:dyDescent="0.25">
      <c r="A891" s="1">
        <v>45475</v>
      </c>
      <c r="B891">
        <v>34.01</v>
      </c>
      <c r="C891">
        <v>16724136</v>
      </c>
      <c r="D891">
        <v>33.914999999999999</v>
      </c>
      <c r="E891">
        <v>34.072499999999998</v>
      </c>
      <c r="F891">
        <v>33.86</v>
      </c>
    </row>
    <row r="892" spans="1:6" x14ac:dyDescent="0.25">
      <c r="A892" s="1">
        <v>45476</v>
      </c>
      <c r="B892">
        <v>34.215000000000003</v>
      </c>
      <c r="C892">
        <v>13241294</v>
      </c>
      <c r="D892">
        <v>34.06</v>
      </c>
      <c r="E892">
        <v>34.454999999999998</v>
      </c>
      <c r="F892">
        <v>33.994999999999997</v>
      </c>
    </row>
    <row r="893" spans="1:6" x14ac:dyDescent="0.25">
      <c r="A893" s="1">
        <v>45478</v>
      </c>
      <c r="B893">
        <v>34.274999999999999</v>
      </c>
      <c r="C893">
        <v>13830534</v>
      </c>
      <c r="D893">
        <v>34.270000000000003</v>
      </c>
      <c r="E893">
        <v>34.42</v>
      </c>
      <c r="F893">
        <v>34.115000000000002</v>
      </c>
    </row>
    <row r="894" spans="1:6" x14ac:dyDescent="0.25">
      <c r="A894" s="1">
        <v>45481</v>
      </c>
      <c r="B894">
        <v>34.31</v>
      </c>
      <c r="C894">
        <v>13634566</v>
      </c>
      <c r="D894">
        <v>34.305</v>
      </c>
      <c r="E894">
        <v>34.42</v>
      </c>
      <c r="F894">
        <v>34.177500000000002</v>
      </c>
    </row>
    <row r="895" spans="1:6" x14ac:dyDescent="0.25">
      <c r="A895" s="1">
        <v>45482</v>
      </c>
      <c r="B895">
        <v>34.409999999999997</v>
      </c>
      <c r="C895">
        <v>21601400</v>
      </c>
      <c r="D895">
        <v>34.31</v>
      </c>
      <c r="E895">
        <v>34.700000000000003</v>
      </c>
      <c r="F895">
        <v>34.274999999999999</v>
      </c>
    </row>
    <row r="896" spans="1:6" x14ac:dyDescent="0.25">
      <c r="A896" s="1">
        <v>45483</v>
      </c>
      <c r="B896">
        <v>34.734999999999999</v>
      </c>
      <c r="C896">
        <v>13799922</v>
      </c>
      <c r="D896">
        <v>34.54</v>
      </c>
      <c r="E896">
        <v>34.744999999999997</v>
      </c>
      <c r="F896">
        <v>34.28</v>
      </c>
    </row>
    <row r="897" spans="1:6" x14ac:dyDescent="0.25">
      <c r="A897" s="1">
        <v>45484</v>
      </c>
      <c r="B897">
        <v>35.369999999999997</v>
      </c>
      <c r="C897">
        <v>29768120</v>
      </c>
      <c r="D897">
        <v>34.909999999999997</v>
      </c>
      <c r="E897">
        <v>35.465000000000003</v>
      </c>
      <c r="F897">
        <v>34.895000000000003</v>
      </c>
    </row>
    <row r="898" spans="1:6" x14ac:dyDescent="0.25">
      <c r="A898" s="1">
        <v>45485</v>
      </c>
      <c r="B898">
        <v>35.630000000000003</v>
      </c>
      <c r="C898">
        <v>16524160</v>
      </c>
      <c r="D898">
        <v>35.494999999999997</v>
      </c>
      <c r="E898">
        <v>35.862499999999997</v>
      </c>
      <c r="F898">
        <v>35.340000000000003</v>
      </c>
    </row>
    <row r="899" spans="1:6" x14ac:dyDescent="0.25">
      <c r="A899" s="1">
        <v>45488</v>
      </c>
      <c r="B899">
        <v>34.765000000000001</v>
      </c>
      <c r="C899">
        <v>29827700</v>
      </c>
      <c r="D899">
        <v>35.229999999999997</v>
      </c>
      <c r="E899">
        <v>35.340000000000003</v>
      </c>
      <c r="F899">
        <v>34.707500000000003</v>
      </c>
    </row>
    <row r="900" spans="1:6" x14ac:dyDescent="0.25">
      <c r="A900" s="1">
        <v>45489</v>
      </c>
      <c r="B900">
        <v>35.034999999999997</v>
      </c>
      <c r="C900">
        <v>15009156</v>
      </c>
      <c r="D900">
        <v>34.975000000000001</v>
      </c>
      <c r="E900">
        <v>35.094999999999999</v>
      </c>
      <c r="F900">
        <v>34.869999999999997</v>
      </c>
    </row>
    <row r="901" spans="1:6" x14ac:dyDescent="0.25">
      <c r="A901" s="1">
        <v>45490</v>
      </c>
      <c r="B901">
        <v>35.055</v>
      </c>
      <c r="C901">
        <v>27516060</v>
      </c>
      <c r="D901">
        <v>35</v>
      </c>
      <c r="E901">
        <v>35.5</v>
      </c>
      <c r="F901">
        <v>34.909999999999997</v>
      </c>
    </row>
    <row r="902" spans="1:6" x14ac:dyDescent="0.25">
      <c r="A902" s="1">
        <v>45491</v>
      </c>
      <c r="B902">
        <v>35.024999999999999</v>
      </c>
      <c r="C902">
        <v>13542590</v>
      </c>
      <c r="D902">
        <v>35.01</v>
      </c>
      <c r="E902">
        <v>35.365000000000002</v>
      </c>
      <c r="F902">
        <v>34.965000000000003</v>
      </c>
    </row>
    <row r="903" spans="1:6" x14ac:dyDescent="0.25">
      <c r="A903" s="1">
        <v>45492</v>
      </c>
      <c r="B903">
        <v>35.064999999999998</v>
      </c>
      <c r="C903">
        <v>12985454</v>
      </c>
      <c r="D903">
        <v>35.090000000000003</v>
      </c>
      <c r="E903">
        <v>35.172499999999999</v>
      </c>
      <c r="F903">
        <v>34.854999999999997</v>
      </c>
    </row>
    <row r="904" spans="1:6" x14ac:dyDescent="0.25">
      <c r="A904" s="1">
        <v>45495</v>
      </c>
      <c r="B904">
        <v>35.36</v>
      </c>
      <c r="C904">
        <v>12965438</v>
      </c>
      <c r="D904">
        <v>35.25</v>
      </c>
      <c r="E904">
        <v>35.44</v>
      </c>
      <c r="F904">
        <v>35.130000000000003</v>
      </c>
    </row>
    <row r="905" spans="1:6" x14ac:dyDescent="0.25">
      <c r="A905" s="1">
        <v>45496</v>
      </c>
      <c r="B905">
        <v>35.14</v>
      </c>
      <c r="C905">
        <v>12686678</v>
      </c>
      <c r="D905">
        <v>35.29</v>
      </c>
      <c r="E905">
        <v>35.355499999999999</v>
      </c>
      <c r="F905">
        <v>35.115000000000002</v>
      </c>
    </row>
    <row r="906" spans="1:6" x14ac:dyDescent="0.25">
      <c r="A906" s="1">
        <v>45497</v>
      </c>
      <c r="B906">
        <v>35.534999999999997</v>
      </c>
      <c r="C906">
        <v>25284720</v>
      </c>
      <c r="D906">
        <v>35.39</v>
      </c>
      <c r="E906">
        <v>35.674500000000002</v>
      </c>
      <c r="F906">
        <v>35.174999999999997</v>
      </c>
    </row>
    <row r="907" spans="1:6" x14ac:dyDescent="0.25">
      <c r="A907" s="1">
        <v>45498</v>
      </c>
      <c r="B907">
        <v>35.24</v>
      </c>
      <c r="C907">
        <v>26665960</v>
      </c>
      <c r="D907">
        <v>35.700000000000003</v>
      </c>
      <c r="E907">
        <v>35.89</v>
      </c>
      <c r="F907">
        <v>35.090000000000003</v>
      </c>
    </row>
    <row r="908" spans="1:6" x14ac:dyDescent="0.25">
      <c r="A908" s="1">
        <v>45499</v>
      </c>
      <c r="B908">
        <v>35.585000000000001</v>
      </c>
      <c r="C908">
        <v>16706602</v>
      </c>
      <c r="D908">
        <v>35.520000000000003</v>
      </c>
      <c r="E908">
        <v>35.655000000000001</v>
      </c>
      <c r="F908">
        <v>35.387500000000003</v>
      </c>
    </row>
    <row r="909" spans="1:6" x14ac:dyDescent="0.25">
      <c r="A909" s="1">
        <v>45502</v>
      </c>
      <c r="B909">
        <v>35.744999999999997</v>
      </c>
      <c r="C909">
        <v>15151200</v>
      </c>
      <c r="D909">
        <v>35.72</v>
      </c>
      <c r="E909">
        <v>35.86</v>
      </c>
      <c r="F909">
        <v>35.43</v>
      </c>
    </row>
    <row r="910" spans="1:6" x14ac:dyDescent="0.25">
      <c r="A910" s="1">
        <v>45503</v>
      </c>
      <c r="B910">
        <v>35.93</v>
      </c>
      <c r="C910">
        <v>16696396</v>
      </c>
      <c r="D910">
        <v>35.704999999999998</v>
      </c>
      <c r="E910">
        <v>35.96</v>
      </c>
      <c r="F910">
        <v>35.630000000000003</v>
      </c>
    </row>
    <row r="911" spans="1:6" x14ac:dyDescent="0.25">
      <c r="A911" s="1">
        <v>45504</v>
      </c>
      <c r="B911">
        <v>36.395000000000003</v>
      </c>
      <c r="C911">
        <v>21765340</v>
      </c>
      <c r="D911">
        <v>36.435000000000002</v>
      </c>
      <c r="E911">
        <v>36.475000000000001</v>
      </c>
      <c r="F911">
        <v>36.045000000000002</v>
      </c>
    </row>
    <row r="912" spans="1:6" x14ac:dyDescent="0.25">
      <c r="A912" s="1">
        <v>45505</v>
      </c>
      <c r="B912">
        <v>37.049999999999997</v>
      </c>
      <c r="C912">
        <v>32567460</v>
      </c>
      <c r="D912">
        <v>36.465000000000003</v>
      </c>
      <c r="E912">
        <v>37.1</v>
      </c>
      <c r="F912">
        <v>36.42</v>
      </c>
    </row>
    <row r="913" spans="1:6" x14ac:dyDescent="0.25">
      <c r="A913" s="1">
        <v>45506</v>
      </c>
      <c r="B913">
        <v>37.11</v>
      </c>
      <c r="C913">
        <v>48257200</v>
      </c>
      <c r="D913">
        <v>37.520000000000003</v>
      </c>
      <c r="E913">
        <v>37.78</v>
      </c>
      <c r="F913">
        <v>36.602499999999999</v>
      </c>
    </row>
    <row r="914" spans="1:6" x14ac:dyDescent="0.25">
      <c r="A914" s="1">
        <v>45509</v>
      </c>
      <c r="B914">
        <v>36.130000000000003</v>
      </c>
      <c r="C914">
        <v>41099880</v>
      </c>
      <c r="D914">
        <v>37.305</v>
      </c>
      <c r="E914">
        <v>37.305</v>
      </c>
      <c r="F914">
        <v>36.090000000000003</v>
      </c>
    </row>
    <row r="915" spans="1:6" x14ac:dyDescent="0.25">
      <c r="A915" s="1">
        <v>45510</v>
      </c>
      <c r="B915">
        <v>36.435000000000002</v>
      </c>
      <c r="C915">
        <v>29286460</v>
      </c>
      <c r="D915">
        <v>36.270000000000003</v>
      </c>
      <c r="E915">
        <v>36.854999999999997</v>
      </c>
      <c r="F915">
        <v>36.244999999999997</v>
      </c>
    </row>
    <row r="916" spans="1:6" x14ac:dyDescent="0.25">
      <c r="A916" s="1">
        <v>45511</v>
      </c>
      <c r="B916">
        <v>36.64</v>
      </c>
      <c r="C916">
        <v>24758800</v>
      </c>
      <c r="D916">
        <v>36.734999999999999</v>
      </c>
      <c r="E916">
        <v>37.067500000000003</v>
      </c>
      <c r="F916">
        <v>36.5</v>
      </c>
    </row>
    <row r="917" spans="1:6" x14ac:dyDescent="0.25">
      <c r="A917" s="1">
        <v>45512</v>
      </c>
      <c r="B917">
        <v>36.68</v>
      </c>
      <c r="C917">
        <v>23360320</v>
      </c>
      <c r="D917">
        <v>36.5</v>
      </c>
      <c r="E917">
        <v>36.902500000000003</v>
      </c>
      <c r="F917">
        <v>36.395000000000003</v>
      </c>
    </row>
    <row r="918" spans="1:6" x14ac:dyDescent="0.25">
      <c r="A918" s="1">
        <v>45513</v>
      </c>
      <c r="B918">
        <v>36.805</v>
      </c>
      <c r="C918">
        <v>16708534</v>
      </c>
      <c r="D918">
        <v>36.770000000000003</v>
      </c>
      <c r="E918">
        <v>36.854999999999997</v>
      </c>
      <c r="F918">
        <v>36.172499999999999</v>
      </c>
    </row>
    <row r="919" spans="1:6" x14ac:dyDescent="0.25">
      <c r="A919" s="1">
        <v>45516</v>
      </c>
      <c r="B919">
        <v>36.869999999999997</v>
      </c>
      <c r="C919">
        <v>15027126</v>
      </c>
      <c r="D919">
        <v>36.814999999999998</v>
      </c>
      <c r="E919">
        <v>36.885100000000001</v>
      </c>
      <c r="F919">
        <v>36.594999999999999</v>
      </c>
    </row>
    <row r="920" spans="1:6" x14ac:dyDescent="0.25">
      <c r="A920" s="1">
        <v>45517</v>
      </c>
      <c r="B920">
        <v>37.085000000000001</v>
      </c>
      <c r="C920">
        <v>17074960</v>
      </c>
      <c r="D920">
        <v>37.024999999999999</v>
      </c>
      <c r="E920">
        <v>37.119999999999997</v>
      </c>
      <c r="F920">
        <v>36.862499999999997</v>
      </c>
    </row>
    <row r="921" spans="1:6" x14ac:dyDescent="0.25">
      <c r="A921" s="1">
        <v>45518</v>
      </c>
      <c r="B921">
        <v>37.06</v>
      </c>
      <c r="C921">
        <v>16165948</v>
      </c>
      <c r="D921">
        <v>37</v>
      </c>
      <c r="E921">
        <v>37.28</v>
      </c>
      <c r="F921">
        <v>36.784999999999997</v>
      </c>
    </row>
    <row r="922" spans="1:6" x14ac:dyDescent="0.25">
      <c r="A922" s="1">
        <v>45519</v>
      </c>
      <c r="B922">
        <v>37.055</v>
      </c>
      <c r="C922">
        <v>18807656</v>
      </c>
      <c r="D922">
        <v>36.844999999999999</v>
      </c>
      <c r="E922">
        <v>37.162999999999997</v>
      </c>
      <c r="F922">
        <v>36.722499999999997</v>
      </c>
    </row>
    <row r="923" spans="1:6" x14ac:dyDescent="0.25">
      <c r="A923" s="1">
        <v>45520</v>
      </c>
      <c r="B923">
        <v>37.22</v>
      </c>
      <c r="C923">
        <v>13522770</v>
      </c>
      <c r="D923">
        <v>37.094999999999999</v>
      </c>
      <c r="E923">
        <v>37.347499999999997</v>
      </c>
      <c r="F923">
        <v>36.935000000000002</v>
      </c>
    </row>
    <row r="924" spans="1:6" x14ac:dyDescent="0.25">
      <c r="A924" s="1">
        <v>45523</v>
      </c>
      <c r="B924">
        <v>37.465000000000003</v>
      </c>
      <c r="C924">
        <v>11505380</v>
      </c>
      <c r="D924">
        <v>37.255000000000003</v>
      </c>
      <c r="E924">
        <v>37.49</v>
      </c>
      <c r="F924">
        <v>37.225000000000001</v>
      </c>
    </row>
    <row r="925" spans="1:6" x14ac:dyDescent="0.25">
      <c r="A925" s="1">
        <v>45524</v>
      </c>
      <c r="B925">
        <v>37.384999999999998</v>
      </c>
      <c r="C925">
        <v>15989996</v>
      </c>
      <c r="D925">
        <v>37.465000000000003</v>
      </c>
      <c r="E925">
        <v>37.590000000000003</v>
      </c>
      <c r="F925">
        <v>37.344999999999999</v>
      </c>
    </row>
    <row r="926" spans="1:6" x14ac:dyDescent="0.25">
      <c r="A926" s="1">
        <v>45525</v>
      </c>
      <c r="B926">
        <v>37.65</v>
      </c>
      <c r="C926">
        <v>13451864</v>
      </c>
      <c r="D926">
        <v>37.44</v>
      </c>
      <c r="E926">
        <v>37.765000000000001</v>
      </c>
      <c r="F926">
        <v>37.39</v>
      </c>
    </row>
    <row r="927" spans="1:6" x14ac:dyDescent="0.25">
      <c r="A927" s="1">
        <v>45526</v>
      </c>
      <c r="B927">
        <v>37.604999999999997</v>
      </c>
      <c r="C927">
        <v>14647934</v>
      </c>
      <c r="D927">
        <v>37.69</v>
      </c>
      <c r="E927">
        <v>37.770000000000003</v>
      </c>
      <c r="F927">
        <v>37.452500000000001</v>
      </c>
    </row>
    <row r="928" spans="1:6" x14ac:dyDescent="0.25">
      <c r="A928" s="1">
        <v>45527</v>
      </c>
      <c r="B928">
        <v>37.71</v>
      </c>
      <c r="C928">
        <v>15050408</v>
      </c>
      <c r="D928">
        <v>37.734999999999999</v>
      </c>
      <c r="E928">
        <v>37.89</v>
      </c>
      <c r="F928">
        <v>37.6</v>
      </c>
    </row>
    <row r="929" spans="1:6" x14ac:dyDescent="0.25">
      <c r="A929" s="1">
        <v>45530</v>
      </c>
      <c r="B929">
        <v>37.954999999999998</v>
      </c>
      <c r="C929">
        <v>13336306</v>
      </c>
      <c r="D929">
        <v>37.840000000000003</v>
      </c>
      <c r="E929">
        <v>38.108400000000003</v>
      </c>
      <c r="F929">
        <v>37.832500000000003</v>
      </c>
    </row>
    <row r="930" spans="1:6" x14ac:dyDescent="0.25">
      <c r="A930" s="1">
        <v>45531</v>
      </c>
      <c r="B930">
        <v>37.655000000000001</v>
      </c>
      <c r="C930">
        <v>16666792</v>
      </c>
      <c r="D930">
        <v>37.875</v>
      </c>
      <c r="E930">
        <v>38.01</v>
      </c>
      <c r="F930">
        <v>37.637500000000003</v>
      </c>
    </row>
    <row r="931" spans="1:6" x14ac:dyDescent="0.25">
      <c r="A931" s="1">
        <v>45532</v>
      </c>
      <c r="B931">
        <v>37.655000000000001</v>
      </c>
      <c r="C931">
        <v>10482740</v>
      </c>
      <c r="D931">
        <v>37.770000000000003</v>
      </c>
      <c r="E931">
        <v>37.977499999999999</v>
      </c>
      <c r="F931">
        <v>37.625</v>
      </c>
    </row>
    <row r="932" spans="1:6" x14ac:dyDescent="0.25">
      <c r="A932" s="1">
        <v>45533</v>
      </c>
      <c r="B932">
        <v>37.86</v>
      </c>
      <c r="C932">
        <v>12758298</v>
      </c>
      <c r="D932">
        <v>37.78</v>
      </c>
      <c r="E932">
        <v>37.895000000000003</v>
      </c>
      <c r="F932">
        <v>37.409999999999997</v>
      </c>
    </row>
    <row r="933" spans="1:6" x14ac:dyDescent="0.25">
      <c r="A933" s="1">
        <v>45534</v>
      </c>
      <c r="B933">
        <v>38.145000000000003</v>
      </c>
      <c r="C933">
        <v>17007754</v>
      </c>
      <c r="D933">
        <v>37.93</v>
      </c>
      <c r="E933">
        <v>38.200000000000003</v>
      </c>
      <c r="F933">
        <v>37.79</v>
      </c>
    </row>
    <row r="934" spans="1:6" x14ac:dyDescent="0.25">
      <c r="A934" s="1">
        <v>45538</v>
      </c>
      <c r="B934">
        <v>38.090000000000003</v>
      </c>
      <c r="C934">
        <v>23626980</v>
      </c>
      <c r="D934">
        <v>38.155000000000001</v>
      </c>
      <c r="E934">
        <v>38.365000000000002</v>
      </c>
      <c r="F934">
        <v>37.97</v>
      </c>
    </row>
    <row r="935" spans="1:6" x14ac:dyDescent="0.25">
      <c r="A935" s="1">
        <v>45539</v>
      </c>
      <c r="B935">
        <v>38.414999999999999</v>
      </c>
      <c r="C935">
        <v>27303180</v>
      </c>
      <c r="D935">
        <v>38.274999999999999</v>
      </c>
      <c r="E935">
        <v>38.702500000000001</v>
      </c>
      <c r="F935">
        <v>38.225000000000001</v>
      </c>
    </row>
    <row r="936" spans="1:6" x14ac:dyDescent="0.25">
      <c r="A936" s="1">
        <v>45540</v>
      </c>
      <c r="B936">
        <v>38.32</v>
      </c>
      <c r="C936">
        <v>15545390</v>
      </c>
      <c r="D936">
        <v>38.704999999999998</v>
      </c>
      <c r="E936">
        <v>38.755000000000003</v>
      </c>
      <c r="F936">
        <v>38.204999999999998</v>
      </c>
    </row>
    <row r="937" spans="1:6" x14ac:dyDescent="0.25">
      <c r="A937" s="1">
        <v>45541</v>
      </c>
      <c r="B937">
        <v>37.954999999999998</v>
      </c>
      <c r="C937">
        <v>19606144</v>
      </c>
      <c r="D937">
        <v>38.405000000000001</v>
      </c>
      <c r="E937">
        <v>38.484999999999999</v>
      </c>
      <c r="F937">
        <v>37.950000000000003</v>
      </c>
    </row>
    <row r="938" spans="1:6" x14ac:dyDescent="0.25">
      <c r="A938" s="1">
        <v>45544</v>
      </c>
      <c r="B938">
        <v>38.340000000000003</v>
      </c>
      <c r="C938">
        <v>14366186</v>
      </c>
      <c r="D938">
        <v>38.119999999999997</v>
      </c>
      <c r="E938">
        <v>38.344999999999999</v>
      </c>
      <c r="F938">
        <v>37.9</v>
      </c>
    </row>
    <row r="939" spans="1:6" x14ac:dyDescent="0.25">
      <c r="A939" s="1">
        <v>45545</v>
      </c>
      <c r="B939">
        <v>38.520000000000003</v>
      </c>
      <c r="C939">
        <v>23255460</v>
      </c>
      <c r="D939">
        <v>38.409999999999997</v>
      </c>
      <c r="E939">
        <v>38.682499999999997</v>
      </c>
      <c r="F939">
        <v>38.28</v>
      </c>
    </row>
    <row r="940" spans="1:6" x14ac:dyDescent="0.25">
      <c r="A940" s="1">
        <v>45546</v>
      </c>
      <c r="B940">
        <v>38.64</v>
      </c>
      <c r="C940">
        <v>20767000</v>
      </c>
      <c r="D940">
        <v>38.524999999999999</v>
      </c>
      <c r="E940">
        <v>38.677500000000002</v>
      </c>
      <c r="F940">
        <v>38.075000000000003</v>
      </c>
    </row>
    <row r="941" spans="1:6" x14ac:dyDescent="0.25">
      <c r="A941" s="1">
        <v>45547</v>
      </c>
      <c r="B941">
        <v>38.725000000000001</v>
      </c>
      <c r="C941">
        <v>19335738</v>
      </c>
      <c r="D941">
        <v>38.725000000000001</v>
      </c>
      <c r="E941">
        <v>38.792499999999997</v>
      </c>
      <c r="F941">
        <v>38.484999999999999</v>
      </c>
    </row>
    <row r="942" spans="1:6" x14ac:dyDescent="0.25">
      <c r="A942" s="1">
        <v>45548</v>
      </c>
      <c r="B942">
        <v>39.270000000000003</v>
      </c>
      <c r="C942">
        <v>16238868</v>
      </c>
      <c r="D942">
        <v>38.854999999999997</v>
      </c>
      <c r="E942">
        <v>39.279600000000002</v>
      </c>
      <c r="F942">
        <v>38.704999999999998</v>
      </c>
    </row>
    <row r="943" spans="1:6" x14ac:dyDescent="0.25">
      <c r="A943" s="1">
        <v>45551</v>
      </c>
      <c r="B943">
        <v>39.57</v>
      </c>
      <c r="C943">
        <v>19910506</v>
      </c>
      <c r="D943">
        <v>39.395000000000003</v>
      </c>
      <c r="E943">
        <v>39.68</v>
      </c>
      <c r="F943">
        <v>39.29</v>
      </c>
    </row>
    <row r="944" spans="1:6" x14ac:dyDescent="0.25">
      <c r="A944" s="1">
        <v>45552</v>
      </c>
      <c r="B944">
        <v>39.54</v>
      </c>
      <c r="C944">
        <v>27962960</v>
      </c>
      <c r="D944">
        <v>39.590000000000003</v>
      </c>
      <c r="E944">
        <v>39.6875</v>
      </c>
      <c r="F944">
        <v>39.409999999999997</v>
      </c>
    </row>
    <row r="945" spans="1:6" x14ac:dyDescent="0.25">
      <c r="A945" s="1">
        <v>45553</v>
      </c>
      <c r="B945">
        <v>39.24</v>
      </c>
      <c r="C945">
        <v>47034780</v>
      </c>
      <c r="D945">
        <v>39.47</v>
      </c>
      <c r="E945">
        <v>39.58</v>
      </c>
      <c r="F945">
        <v>39.071399999999997</v>
      </c>
    </row>
    <row r="946" spans="1:6" x14ac:dyDescent="0.25">
      <c r="A946" s="1">
        <v>45554</v>
      </c>
      <c r="B946">
        <v>39.01</v>
      </c>
      <c r="C946">
        <v>41536480</v>
      </c>
      <c r="D946">
        <v>39.1</v>
      </c>
      <c r="E946">
        <v>39.19</v>
      </c>
      <c r="F946">
        <v>38.69</v>
      </c>
    </row>
    <row r="947" spans="1:6" x14ac:dyDescent="0.25">
      <c r="A947" s="1">
        <v>45555</v>
      </c>
      <c r="B947">
        <v>40.04</v>
      </c>
      <c r="C947">
        <v>44279280</v>
      </c>
      <c r="D947">
        <v>39.5</v>
      </c>
      <c r="E947">
        <v>40.125</v>
      </c>
      <c r="F947">
        <v>39.445</v>
      </c>
    </row>
    <row r="948" spans="1:6" x14ac:dyDescent="0.25">
      <c r="A948" s="1">
        <v>45558</v>
      </c>
      <c r="B948">
        <v>40.164999999999999</v>
      </c>
      <c r="C948">
        <v>23340520</v>
      </c>
      <c r="D948">
        <v>40.015000000000001</v>
      </c>
      <c r="E948">
        <v>40.200000000000003</v>
      </c>
      <c r="F948">
        <v>39.869999999999997</v>
      </c>
    </row>
    <row r="949" spans="1:6" x14ac:dyDescent="0.25">
      <c r="A949" s="1">
        <v>45559</v>
      </c>
      <c r="B949">
        <v>39.880000000000003</v>
      </c>
      <c r="C949">
        <v>28105100</v>
      </c>
      <c r="D949">
        <v>39.94</v>
      </c>
      <c r="E949">
        <v>40.384999999999998</v>
      </c>
      <c r="F949">
        <v>39.795000000000002</v>
      </c>
    </row>
    <row r="950" spans="1:6" x14ac:dyDescent="0.25">
      <c r="A950" s="1">
        <v>45560</v>
      </c>
      <c r="B950">
        <v>40.090000000000003</v>
      </c>
      <c r="C950">
        <v>16359172</v>
      </c>
      <c r="D950">
        <v>40.1</v>
      </c>
      <c r="E950">
        <v>40.21</v>
      </c>
      <c r="F950">
        <v>39.74</v>
      </c>
    </row>
    <row r="951" spans="1:6" x14ac:dyDescent="0.25">
      <c r="A951" s="1">
        <v>45561</v>
      </c>
      <c r="B951">
        <v>39.814999999999998</v>
      </c>
      <c r="C951">
        <v>19794522</v>
      </c>
      <c r="D951">
        <v>40.015000000000001</v>
      </c>
      <c r="E951">
        <v>40.19</v>
      </c>
      <c r="F951">
        <v>39.704999999999998</v>
      </c>
    </row>
    <row r="952" spans="1:6" x14ac:dyDescent="0.25">
      <c r="A952" s="1">
        <v>45562</v>
      </c>
      <c r="B952">
        <v>40.21</v>
      </c>
      <c r="C952">
        <v>14803910</v>
      </c>
      <c r="D952">
        <v>39.979999999999997</v>
      </c>
      <c r="E952">
        <v>40.317500000000003</v>
      </c>
      <c r="F952">
        <v>39.94</v>
      </c>
    </row>
    <row r="953" spans="1:6" x14ac:dyDescent="0.25">
      <c r="A953" s="1">
        <v>45565</v>
      </c>
      <c r="B953">
        <v>40.39</v>
      </c>
      <c r="C953">
        <v>19017348</v>
      </c>
      <c r="D953">
        <v>40.29</v>
      </c>
      <c r="E953">
        <v>40.414999999999999</v>
      </c>
      <c r="F953">
        <v>39.93</v>
      </c>
    </row>
    <row r="954" spans="1:6" x14ac:dyDescent="0.25">
      <c r="A954" s="1">
        <v>45566</v>
      </c>
      <c r="B954">
        <v>40.715000000000003</v>
      </c>
      <c r="C954">
        <v>24362380</v>
      </c>
      <c r="D954">
        <v>40.344999999999999</v>
      </c>
      <c r="E954">
        <v>40.772500000000001</v>
      </c>
      <c r="F954">
        <v>40.1</v>
      </c>
    </row>
    <row r="955" spans="1:6" x14ac:dyDescent="0.25">
      <c r="A955" s="1">
        <v>45567</v>
      </c>
      <c r="B955">
        <v>40.734999999999999</v>
      </c>
      <c r="C955">
        <v>16491532</v>
      </c>
      <c r="D955">
        <v>40.454999999999998</v>
      </c>
      <c r="E955">
        <v>40.81</v>
      </c>
      <c r="F955">
        <v>40.384999999999998</v>
      </c>
    </row>
    <row r="956" spans="1:6" x14ac:dyDescent="0.25">
      <c r="A956" s="1">
        <v>45568</v>
      </c>
      <c r="B956">
        <v>40.72</v>
      </c>
      <c r="C956">
        <v>24205680</v>
      </c>
      <c r="D956">
        <v>40.96</v>
      </c>
      <c r="E956">
        <v>41.027500000000003</v>
      </c>
      <c r="F956">
        <v>40.619999999999997</v>
      </c>
    </row>
    <row r="957" spans="1:6" x14ac:dyDescent="0.25">
      <c r="A957" s="1">
        <v>45569</v>
      </c>
      <c r="B957">
        <v>40.655000000000001</v>
      </c>
      <c r="C957">
        <v>25085160</v>
      </c>
      <c r="D957">
        <v>40.369999999999997</v>
      </c>
      <c r="E957">
        <v>40.700000000000003</v>
      </c>
      <c r="F957">
        <v>40.24</v>
      </c>
    </row>
    <row r="958" spans="1:6" x14ac:dyDescent="0.25">
      <c r="A958" s="1">
        <v>45572</v>
      </c>
      <c r="B958">
        <v>39.72</v>
      </c>
      <c r="C958">
        <v>35283960</v>
      </c>
      <c r="D958">
        <v>40.520000000000003</v>
      </c>
      <c r="E958">
        <v>40.545000000000002</v>
      </c>
      <c r="F958">
        <v>39.614199999999997</v>
      </c>
    </row>
    <row r="959" spans="1:6" x14ac:dyDescent="0.25">
      <c r="A959" s="1">
        <v>45573</v>
      </c>
      <c r="B959">
        <v>39.74</v>
      </c>
      <c r="C959">
        <v>26022120</v>
      </c>
      <c r="D959">
        <v>39.895000000000003</v>
      </c>
      <c r="E959">
        <v>40.017499999999998</v>
      </c>
      <c r="F959">
        <v>39.734999999999999</v>
      </c>
    </row>
    <row r="960" spans="1:6" x14ac:dyDescent="0.25">
      <c r="A960" s="1">
        <v>45574</v>
      </c>
      <c r="B960">
        <v>39.4</v>
      </c>
      <c r="C960">
        <v>34288000</v>
      </c>
      <c r="D960">
        <v>39.630000000000003</v>
      </c>
      <c r="E960">
        <v>39.75</v>
      </c>
      <c r="F960">
        <v>39.174999999999997</v>
      </c>
    </row>
    <row r="961" spans="1:6" x14ac:dyDescent="0.25">
      <c r="A961" s="1">
        <v>45575</v>
      </c>
      <c r="B961">
        <v>39.28</v>
      </c>
      <c r="C961">
        <v>26326620</v>
      </c>
      <c r="D961">
        <v>39.44</v>
      </c>
      <c r="E961">
        <v>39.75</v>
      </c>
      <c r="F961">
        <v>39.26</v>
      </c>
    </row>
    <row r="962" spans="1:6" x14ac:dyDescent="0.25">
      <c r="A962" s="1">
        <v>45576</v>
      </c>
      <c r="B962">
        <v>39.625</v>
      </c>
      <c r="C962">
        <v>19332672</v>
      </c>
      <c r="D962">
        <v>39.15</v>
      </c>
      <c r="E962">
        <v>39.625</v>
      </c>
      <c r="F962">
        <v>39.024999999999999</v>
      </c>
    </row>
    <row r="963" spans="1:6" x14ac:dyDescent="0.25">
      <c r="A963" s="1">
        <v>45579</v>
      </c>
      <c r="B963">
        <v>40.125</v>
      </c>
      <c r="C963">
        <v>18041762</v>
      </c>
      <c r="D963">
        <v>39.685000000000002</v>
      </c>
      <c r="E963">
        <v>40.159999999999997</v>
      </c>
      <c r="F963">
        <v>39.61</v>
      </c>
    </row>
    <row r="964" spans="1:6" x14ac:dyDescent="0.25">
      <c r="A964" s="1">
        <v>45580</v>
      </c>
      <c r="B964">
        <v>40.305</v>
      </c>
      <c r="C964">
        <v>26427680</v>
      </c>
      <c r="D964">
        <v>40.299999999999997</v>
      </c>
      <c r="E964">
        <v>40.6</v>
      </c>
      <c r="F964">
        <v>40.2575</v>
      </c>
    </row>
    <row r="965" spans="1:6" x14ac:dyDescent="0.25">
      <c r="A965" s="1">
        <v>45581</v>
      </c>
      <c r="B965">
        <v>41.104999999999997</v>
      </c>
      <c r="C965">
        <v>19099584</v>
      </c>
      <c r="D965">
        <v>40.505000000000003</v>
      </c>
      <c r="E965">
        <v>41.185000000000002</v>
      </c>
      <c r="F965">
        <v>40.322499999999998</v>
      </c>
    </row>
    <row r="966" spans="1:6" x14ac:dyDescent="0.25">
      <c r="A966" s="1">
        <v>45582</v>
      </c>
      <c r="B966">
        <v>40.74</v>
      </c>
      <c r="C966">
        <v>23527160</v>
      </c>
      <c r="D966">
        <v>41.24</v>
      </c>
      <c r="E966">
        <v>41.25</v>
      </c>
      <c r="F966">
        <v>40.71</v>
      </c>
    </row>
    <row r="967" spans="1:6" x14ac:dyDescent="0.25">
      <c r="A967" s="1">
        <v>45583</v>
      </c>
      <c r="B967">
        <v>40.975000000000001</v>
      </c>
      <c r="C967">
        <v>14035178</v>
      </c>
      <c r="D967">
        <v>40.704999999999998</v>
      </c>
      <c r="E967">
        <v>40.994999999999997</v>
      </c>
      <c r="F967">
        <v>40.524999999999999</v>
      </c>
    </row>
    <row r="968" spans="1:6" x14ac:dyDescent="0.25">
      <c r="A968" s="1">
        <v>45586</v>
      </c>
      <c r="B968">
        <v>40.814999999999998</v>
      </c>
      <c r="C968">
        <v>14811506</v>
      </c>
      <c r="D968">
        <v>41.07</v>
      </c>
      <c r="E968">
        <v>41.19</v>
      </c>
      <c r="F968">
        <v>40.652500000000003</v>
      </c>
    </row>
    <row r="969" spans="1:6" x14ac:dyDescent="0.25">
      <c r="A969" s="1">
        <v>45587</v>
      </c>
      <c r="B969">
        <v>40.67</v>
      </c>
      <c r="C969">
        <v>17119264</v>
      </c>
      <c r="D969">
        <v>40.54</v>
      </c>
      <c r="E969">
        <v>40.755000000000003</v>
      </c>
      <c r="F969">
        <v>40.347499999999997</v>
      </c>
    </row>
    <row r="970" spans="1:6" x14ac:dyDescent="0.25">
      <c r="A970" s="1">
        <v>45588</v>
      </c>
      <c r="B970">
        <v>41.06</v>
      </c>
      <c r="C970">
        <v>19645046</v>
      </c>
      <c r="D970">
        <v>40.700000000000003</v>
      </c>
      <c r="E970">
        <v>41.075000000000003</v>
      </c>
      <c r="F970">
        <v>40.625</v>
      </c>
    </row>
    <row r="971" spans="1:6" x14ac:dyDescent="0.25">
      <c r="A971" s="1">
        <v>45589</v>
      </c>
      <c r="B971">
        <v>40.795000000000002</v>
      </c>
      <c r="C971">
        <v>13092266</v>
      </c>
      <c r="D971">
        <v>41.064999999999998</v>
      </c>
      <c r="E971">
        <v>41.15</v>
      </c>
      <c r="F971">
        <v>40.657499999999999</v>
      </c>
    </row>
    <row r="972" spans="1:6" x14ac:dyDescent="0.25">
      <c r="A972" s="1">
        <v>45590</v>
      </c>
      <c r="B972">
        <v>40.19</v>
      </c>
      <c r="C972">
        <v>17518940</v>
      </c>
      <c r="D972">
        <v>41</v>
      </c>
      <c r="E972">
        <v>41.034999999999997</v>
      </c>
      <c r="F972">
        <v>40.159999999999997</v>
      </c>
    </row>
    <row r="973" spans="1:6" x14ac:dyDescent="0.25">
      <c r="A973" s="1">
        <v>45593</v>
      </c>
      <c r="B973">
        <v>40.505000000000003</v>
      </c>
      <c r="C973">
        <v>14622864</v>
      </c>
      <c r="D973">
        <v>40.405000000000001</v>
      </c>
      <c r="E973">
        <v>40.71</v>
      </c>
      <c r="F973">
        <v>40.31</v>
      </c>
    </row>
    <row r="974" spans="1:6" x14ac:dyDescent="0.25">
      <c r="A974" s="1">
        <v>45594</v>
      </c>
      <c r="B974">
        <v>39.64</v>
      </c>
      <c r="C974">
        <v>27733040</v>
      </c>
      <c r="D974">
        <v>40.055</v>
      </c>
      <c r="E974">
        <v>40.06</v>
      </c>
      <c r="F974">
        <v>39.630000000000003</v>
      </c>
    </row>
    <row r="975" spans="1:6" x14ac:dyDescent="0.25">
      <c r="A975" s="1">
        <v>45595</v>
      </c>
      <c r="B975">
        <v>39.545000000000002</v>
      </c>
      <c r="C975">
        <v>20910600</v>
      </c>
      <c r="D975">
        <v>39.795000000000002</v>
      </c>
      <c r="E975">
        <v>39.869999999999997</v>
      </c>
      <c r="F975">
        <v>39.475000000000001</v>
      </c>
    </row>
    <row r="976" spans="1:6" x14ac:dyDescent="0.25">
      <c r="A976" s="1">
        <v>45596</v>
      </c>
      <c r="B976">
        <v>39.954999999999998</v>
      </c>
      <c r="C976">
        <v>27515900</v>
      </c>
      <c r="D976">
        <v>39.645000000000003</v>
      </c>
      <c r="E976">
        <v>40.25</v>
      </c>
      <c r="F976">
        <v>39.615000000000002</v>
      </c>
    </row>
    <row r="977" spans="1:6" x14ac:dyDescent="0.25">
      <c r="A977" s="1">
        <v>45597</v>
      </c>
      <c r="B977">
        <v>39.064999999999998</v>
      </c>
      <c r="C977">
        <v>30861080</v>
      </c>
      <c r="D977">
        <v>39.950000000000003</v>
      </c>
      <c r="E977">
        <v>40.07</v>
      </c>
      <c r="F977">
        <v>39.03</v>
      </c>
    </row>
    <row r="978" spans="1:6" x14ac:dyDescent="0.25">
      <c r="A978" s="1">
        <v>45600</v>
      </c>
      <c r="B978">
        <v>38.6</v>
      </c>
      <c r="C978">
        <v>27956140</v>
      </c>
      <c r="D978">
        <v>38.674999999999997</v>
      </c>
      <c r="E978">
        <v>38.880000000000003</v>
      </c>
      <c r="F978">
        <v>38.39</v>
      </c>
    </row>
    <row r="979" spans="1:6" x14ac:dyDescent="0.25">
      <c r="A979" s="1">
        <v>45601</v>
      </c>
      <c r="B979">
        <v>39.18</v>
      </c>
      <c r="C979">
        <v>19016142</v>
      </c>
      <c r="D979">
        <v>38.58</v>
      </c>
      <c r="E979">
        <v>39.18</v>
      </c>
      <c r="F979">
        <v>38.465000000000003</v>
      </c>
    </row>
    <row r="980" spans="1:6" x14ac:dyDescent="0.25">
      <c r="A980" s="1">
        <v>45602</v>
      </c>
      <c r="B980">
        <v>38.774999999999999</v>
      </c>
      <c r="C980">
        <v>32958780</v>
      </c>
      <c r="D980">
        <v>38.674999999999997</v>
      </c>
      <c r="E980">
        <v>38.945</v>
      </c>
      <c r="F980">
        <v>38.409999999999997</v>
      </c>
    </row>
    <row r="981" spans="1:6" x14ac:dyDescent="0.25">
      <c r="A981" s="1">
        <v>45603</v>
      </c>
      <c r="B981">
        <v>38.844999999999999</v>
      </c>
      <c r="C981">
        <v>37703140</v>
      </c>
      <c r="D981">
        <v>38.97</v>
      </c>
      <c r="E981">
        <v>39.232500000000002</v>
      </c>
      <c r="F981">
        <v>38.64</v>
      </c>
    </row>
    <row r="982" spans="1:6" x14ac:dyDescent="0.25">
      <c r="A982" s="1">
        <v>45604</v>
      </c>
      <c r="B982">
        <v>39.590000000000003</v>
      </c>
      <c r="C982">
        <v>28857180</v>
      </c>
      <c r="D982">
        <v>39.04</v>
      </c>
      <c r="E982">
        <v>39.672499999999999</v>
      </c>
      <c r="F982">
        <v>39.01</v>
      </c>
    </row>
    <row r="983" spans="1:6" x14ac:dyDescent="0.25">
      <c r="A983" s="1">
        <v>45607</v>
      </c>
      <c r="B983">
        <v>39.700000000000003</v>
      </c>
      <c r="C983">
        <v>26010920</v>
      </c>
      <c r="D983">
        <v>39.594999999999999</v>
      </c>
      <c r="E983">
        <v>39.933199999999999</v>
      </c>
      <c r="F983">
        <v>39.505000000000003</v>
      </c>
    </row>
    <row r="984" spans="1:6" x14ac:dyDescent="0.25">
      <c r="A984" s="1">
        <v>45608</v>
      </c>
      <c r="B984">
        <v>39.244999999999997</v>
      </c>
      <c r="C984">
        <v>18703244</v>
      </c>
      <c r="D984">
        <v>39.58</v>
      </c>
      <c r="E984">
        <v>39.67</v>
      </c>
      <c r="F984">
        <v>39.057499999999997</v>
      </c>
    </row>
    <row r="985" spans="1:6" x14ac:dyDescent="0.25">
      <c r="A985" s="1">
        <v>45609</v>
      </c>
      <c r="B985">
        <v>39.174999999999997</v>
      </c>
      <c r="C985">
        <v>16411796</v>
      </c>
      <c r="D985">
        <v>39.5</v>
      </c>
      <c r="E985">
        <v>39.515000000000001</v>
      </c>
      <c r="F985">
        <v>39.01</v>
      </c>
    </row>
    <row r="986" spans="1:6" x14ac:dyDescent="0.25">
      <c r="A986" s="1">
        <v>45610</v>
      </c>
      <c r="B986">
        <v>39.04</v>
      </c>
      <c r="C986">
        <v>17707486</v>
      </c>
      <c r="D986">
        <v>39.225000000000001</v>
      </c>
      <c r="E986">
        <v>39.424999999999997</v>
      </c>
      <c r="F986">
        <v>38.979999999999997</v>
      </c>
    </row>
    <row r="987" spans="1:6" x14ac:dyDescent="0.25">
      <c r="A987" s="1">
        <v>45611</v>
      </c>
      <c r="B987">
        <v>39.625</v>
      </c>
      <c r="C987">
        <v>23931600</v>
      </c>
      <c r="D987">
        <v>39.07</v>
      </c>
      <c r="E987">
        <v>39.672499999999999</v>
      </c>
      <c r="F987">
        <v>38.994999999999997</v>
      </c>
    </row>
    <row r="988" spans="1:6" x14ac:dyDescent="0.25">
      <c r="A988" s="1">
        <v>45614</v>
      </c>
      <c r="B988">
        <v>39.97</v>
      </c>
      <c r="C988">
        <v>14662436</v>
      </c>
      <c r="D988">
        <v>39.590000000000003</v>
      </c>
      <c r="E988">
        <v>40.077500000000001</v>
      </c>
      <c r="F988">
        <v>39.540700000000001</v>
      </c>
    </row>
    <row r="989" spans="1:6" x14ac:dyDescent="0.25">
      <c r="A989" s="1">
        <v>45615</v>
      </c>
      <c r="B989">
        <v>40.225000000000001</v>
      </c>
      <c r="C989">
        <v>11750410</v>
      </c>
      <c r="D989">
        <v>39.82</v>
      </c>
      <c r="E989">
        <v>40.229999999999997</v>
      </c>
      <c r="F989">
        <v>39.630000000000003</v>
      </c>
    </row>
    <row r="990" spans="1:6" x14ac:dyDescent="0.25">
      <c r="A990" s="1">
        <v>45616</v>
      </c>
      <c r="B990">
        <v>40.244999999999997</v>
      </c>
      <c r="C990">
        <v>12196860</v>
      </c>
      <c r="D990">
        <v>40.299999999999997</v>
      </c>
      <c r="E990">
        <v>40.435000000000002</v>
      </c>
      <c r="F990">
        <v>40.045000000000002</v>
      </c>
    </row>
    <row r="991" spans="1:6" x14ac:dyDescent="0.25">
      <c r="A991" s="1">
        <v>45617</v>
      </c>
      <c r="B991">
        <v>40.945</v>
      </c>
      <c r="C991">
        <v>21764060</v>
      </c>
      <c r="D991">
        <v>40.305</v>
      </c>
      <c r="E991">
        <v>40.994999999999997</v>
      </c>
      <c r="F991">
        <v>40.112499999999997</v>
      </c>
    </row>
    <row r="992" spans="1:6" x14ac:dyDescent="0.25">
      <c r="A992" s="1">
        <v>45618</v>
      </c>
      <c r="B992">
        <v>40.725000000000001</v>
      </c>
      <c r="C992">
        <v>15761316</v>
      </c>
      <c r="D992">
        <v>41.075000000000003</v>
      </c>
      <c r="E992">
        <v>41.134999999999998</v>
      </c>
      <c r="F992">
        <v>40.71</v>
      </c>
    </row>
    <row r="993" spans="1:6" x14ac:dyDescent="0.25">
      <c r="A993" s="1">
        <v>45621</v>
      </c>
      <c r="B993">
        <v>40.799999999999997</v>
      </c>
      <c r="C993">
        <v>14253846</v>
      </c>
      <c r="D993">
        <v>41.05</v>
      </c>
      <c r="E993">
        <v>41.125</v>
      </c>
      <c r="F993">
        <v>40.497500000000002</v>
      </c>
    </row>
    <row r="994" spans="1:6" x14ac:dyDescent="0.25">
      <c r="A994" s="1">
        <v>45622</v>
      </c>
      <c r="B994">
        <v>41.45</v>
      </c>
      <c r="C994">
        <v>17374786</v>
      </c>
      <c r="D994">
        <v>40.914999999999999</v>
      </c>
      <c r="E994">
        <v>41.474899999999998</v>
      </c>
      <c r="F994">
        <v>40.81</v>
      </c>
    </row>
    <row r="995" spans="1:6" x14ac:dyDescent="0.25">
      <c r="A995" s="1">
        <v>45623</v>
      </c>
      <c r="B995">
        <v>41.45</v>
      </c>
      <c r="C995">
        <v>17156502</v>
      </c>
      <c r="D995">
        <v>41.575000000000003</v>
      </c>
      <c r="E995">
        <v>41.704999999999998</v>
      </c>
      <c r="F995">
        <v>41.407499999999999</v>
      </c>
    </row>
    <row r="996" spans="1:6" x14ac:dyDescent="0.25">
      <c r="A996" s="1">
        <v>45625</v>
      </c>
      <c r="B996">
        <v>41.465000000000003</v>
      </c>
      <c r="C996">
        <v>9234884</v>
      </c>
      <c r="D996">
        <v>41.585000000000001</v>
      </c>
      <c r="E996">
        <v>41.615000000000002</v>
      </c>
      <c r="F996">
        <v>41.375</v>
      </c>
    </row>
    <row r="997" spans="1:6" x14ac:dyDescent="0.25">
      <c r="A997" s="1">
        <v>45628</v>
      </c>
      <c r="B997">
        <v>40.575000000000003</v>
      </c>
      <c r="C997">
        <v>22084260</v>
      </c>
      <c r="D997">
        <v>41.46</v>
      </c>
      <c r="E997">
        <v>41.475000000000001</v>
      </c>
      <c r="F997">
        <v>40.56</v>
      </c>
    </row>
    <row r="998" spans="1:6" x14ac:dyDescent="0.25">
      <c r="A998" s="1">
        <v>45629</v>
      </c>
      <c r="B998">
        <v>40.225000000000001</v>
      </c>
      <c r="C998">
        <v>18853686</v>
      </c>
      <c r="D998">
        <v>40.82</v>
      </c>
      <c r="E998">
        <v>40.950000000000003</v>
      </c>
      <c r="F998">
        <v>40.215000000000003</v>
      </c>
    </row>
    <row r="999" spans="1:6" x14ac:dyDescent="0.25">
      <c r="A999" s="1">
        <v>45630</v>
      </c>
      <c r="B999">
        <v>40.22</v>
      </c>
      <c r="C999">
        <v>24169920</v>
      </c>
      <c r="D999">
        <v>40.35</v>
      </c>
      <c r="E999">
        <v>40.450000000000003</v>
      </c>
      <c r="F999">
        <v>40.064999999999998</v>
      </c>
    </row>
    <row r="1000" spans="1:6" x14ac:dyDescent="0.25">
      <c r="A1000" s="1">
        <v>45631</v>
      </c>
      <c r="B1000">
        <v>40.344999999999999</v>
      </c>
      <c r="C1000">
        <v>14226088</v>
      </c>
      <c r="D1000">
        <v>40.265000000000001</v>
      </c>
      <c r="E1000">
        <v>40.57</v>
      </c>
      <c r="F1000">
        <v>40.159999999999997</v>
      </c>
    </row>
    <row r="1001" spans="1:6" x14ac:dyDescent="0.25">
      <c r="A1001" s="1">
        <v>45632</v>
      </c>
      <c r="B1001">
        <v>39.844999999999999</v>
      </c>
      <c r="C1001">
        <v>14228654</v>
      </c>
      <c r="D1001">
        <v>40.365000000000002</v>
      </c>
      <c r="E1001">
        <v>40.46</v>
      </c>
      <c r="F1001">
        <v>39.770000000000003</v>
      </c>
    </row>
    <row r="1002" spans="1:6" x14ac:dyDescent="0.25">
      <c r="A1002" s="1">
        <v>45635</v>
      </c>
      <c r="B1002">
        <v>39.344999999999999</v>
      </c>
      <c r="C1002">
        <v>21053780</v>
      </c>
      <c r="D1002">
        <v>39.844999999999999</v>
      </c>
      <c r="E1002">
        <v>39.9</v>
      </c>
      <c r="F1002">
        <v>39.32</v>
      </c>
    </row>
    <row r="1003" spans="1:6" x14ac:dyDescent="0.25">
      <c r="A1003" s="1">
        <v>45636</v>
      </c>
      <c r="B1003">
        <v>39.06</v>
      </c>
      <c r="C1003">
        <v>20318980</v>
      </c>
      <c r="D1003">
        <v>39.28</v>
      </c>
      <c r="E1003">
        <v>39.28</v>
      </c>
      <c r="F1003">
        <v>38.744999999999997</v>
      </c>
    </row>
    <row r="1004" spans="1:6" x14ac:dyDescent="0.25">
      <c r="A1004" s="1">
        <v>45637</v>
      </c>
      <c r="B1004">
        <v>38.814999999999998</v>
      </c>
      <c r="C1004">
        <v>14759526</v>
      </c>
      <c r="D1004">
        <v>39.164999999999999</v>
      </c>
      <c r="E1004">
        <v>39.192500000000003</v>
      </c>
      <c r="F1004">
        <v>38.744999999999997</v>
      </c>
    </row>
    <row r="1005" spans="1:6" x14ac:dyDescent="0.25">
      <c r="A1005" s="1">
        <v>45638</v>
      </c>
      <c r="B1005">
        <v>38.795000000000002</v>
      </c>
      <c r="C1005">
        <v>15424912</v>
      </c>
      <c r="D1005">
        <v>39</v>
      </c>
      <c r="E1005">
        <v>39.122500000000002</v>
      </c>
      <c r="F1005">
        <v>38.76</v>
      </c>
    </row>
    <row r="1006" spans="1:6" x14ac:dyDescent="0.25">
      <c r="A1006" s="1">
        <v>45639</v>
      </c>
      <c r="B1006">
        <v>38.82</v>
      </c>
      <c r="C1006">
        <v>13808682</v>
      </c>
      <c r="D1006">
        <v>38.85</v>
      </c>
      <c r="E1006">
        <v>39.022500000000001</v>
      </c>
      <c r="F1006">
        <v>38.755000000000003</v>
      </c>
    </row>
    <row r="1007" spans="1:6" x14ac:dyDescent="0.25">
      <c r="A1007" s="1">
        <v>45642</v>
      </c>
      <c r="B1007">
        <v>38.51</v>
      </c>
      <c r="C1007">
        <v>16120928</v>
      </c>
      <c r="D1007">
        <v>38.854999999999997</v>
      </c>
      <c r="E1007">
        <v>38.954999999999998</v>
      </c>
      <c r="F1007">
        <v>38.494999999999997</v>
      </c>
    </row>
    <row r="1008" spans="1:6" x14ac:dyDescent="0.25">
      <c r="A1008" s="1">
        <v>45643</v>
      </c>
      <c r="B1008">
        <v>38.35</v>
      </c>
      <c r="C1008">
        <v>15877166</v>
      </c>
      <c r="D1008">
        <v>38.270000000000003</v>
      </c>
      <c r="E1008">
        <v>38.51</v>
      </c>
      <c r="F1008">
        <v>38.195</v>
      </c>
    </row>
    <row r="1009" spans="1:6" x14ac:dyDescent="0.25">
      <c r="A1009" s="1">
        <v>45644</v>
      </c>
      <c r="B1009">
        <v>37.445</v>
      </c>
      <c r="C1009">
        <v>29811760</v>
      </c>
      <c r="D1009">
        <v>38.325000000000003</v>
      </c>
      <c r="E1009">
        <v>38.380000000000003</v>
      </c>
      <c r="F1009">
        <v>37.42</v>
      </c>
    </row>
    <row r="1010" spans="1:6" x14ac:dyDescent="0.25">
      <c r="A1010" s="1">
        <v>45645</v>
      </c>
      <c r="B1010">
        <v>37.615000000000002</v>
      </c>
      <c r="C1010">
        <v>27079500</v>
      </c>
      <c r="D1010">
        <v>37.479999999999997</v>
      </c>
      <c r="E1010">
        <v>38.037500000000001</v>
      </c>
      <c r="F1010">
        <v>37.47</v>
      </c>
    </row>
    <row r="1011" spans="1:6" x14ac:dyDescent="0.25">
      <c r="A1011" s="1">
        <v>45646</v>
      </c>
      <c r="B1011">
        <v>38.215000000000003</v>
      </c>
      <c r="C1011">
        <v>25188680</v>
      </c>
      <c r="D1011">
        <v>37.4</v>
      </c>
      <c r="E1011">
        <v>38.299999999999997</v>
      </c>
      <c r="F1011">
        <v>37.350200000000001</v>
      </c>
    </row>
    <row r="1012" spans="1:6" x14ac:dyDescent="0.25">
      <c r="A1012" s="1">
        <v>45649</v>
      </c>
      <c r="B1012">
        <v>38.03</v>
      </c>
      <c r="C1012">
        <v>20114400</v>
      </c>
      <c r="D1012">
        <v>37.805</v>
      </c>
      <c r="E1012">
        <v>38.06</v>
      </c>
      <c r="F1012">
        <v>37.435000000000002</v>
      </c>
    </row>
    <row r="1013" spans="1:6" x14ac:dyDescent="0.25">
      <c r="A1013" s="1">
        <v>45650</v>
      </c>
      <c r="B1013">
        <v>38.24</v>
      </c>
      <c r="C1013">
        <v>9010266</v>
      </c>
      <c r="D1013">
        <v>38.03</v>
      </c>
      <c r="E1013">
        <v>38.249899999999997</v>
      </c>
      <c r="F1013">
        <v>37.914999999999999</v>
      </c>
    </row>
    <row r="1014" spans="1:6" x14ac:dyDescent="0.25">
      <c r="A1014" s="1">
        <v>45652</v>
      </c>
      <c r="B1014">
        <v>38.15</v>
      </c>
      <c r="C1014">
        <v>10114132</v>
      </c>
      <c r="D1014">
        <v>38.08</v>
      </c>
      <c r="E1014">
        <v>38.255000000000003</v>
      </c>
      <c r="F1014">
        <v>37.994999999999997</v>
      </c>
    </row>
    <row r="1015" spans="1:6" x14ac:dyDescent="0.25">
      <c r="A1015" s="1">
        <v>45653</v>
      </c>
      <c r="B1015">
        <v>38.04</v>
      </c>
      <c r="C1015">
        <v>13805310</v>
      </c>
      <c r="D1015">
        <v>37.950000000000003</v>
      </c>
      <c r="E1015">
        <v>38.15</v>
      </c>
      <c r="F1015">
        <v>37.795000000000002</v>
      </c>
    </row>
    <row r="1016" spans="1:6" x14ac:dyDescent="0.25">
      <c r="A1016" s="1">
        <v>45656</v>
      </c>
      <c r="B1016">
        <v>37.880000000000003</v>
      </c>
      <c r="C1016">
        <v>16870194</v>
      </c>
      <c r="D1016">
        <v>37.869999999999997</v>
      </c>
      <c r="E1016">
        <v>37.975000000000001</v>
      </c>
      <c r="F1016">
        <v>37.532499999999999</v>
      </c>
    </row>
    <row r="1017" spans="1:6" x14ac:dyDescent="0.25">
      <c r="A1017" s="1">
        <v>45657</v>
      </c>
      <c r="B1017">
        <v>37.844999999999999</v>
      </c>
      <c r="C1017">
        <v>12605486</v>
      </c>
      <c r="D1017">
        <v>37.954999999999998</v>
      </c>
      <c r="E1017">
        <v>38.07</v>
      </c>
      <c r="F1017">
        <v>37.664999999999999</v>
      </c>
    </row>
    <row r="1018" spans="1:6" x14ac:dyDescent="0.25">
      <c r="A1018" s="1">
        <v>45659</v>
      </c>
      <c r="B1018">
        <v>38.134999999999998</v>
      </c>
      <c r="C1018">
        <v>24104880</v>
      </c>
      <c r="D1018">
        <v>38.119999999999997</v>
      </c>
      <c r="E1018">
        <v>38.33</v>
      </c>
      <c r="F1018">
        <v>37.86</v>
      </c>
    </row>
    <row r="1019" spans="1:6" x14ac:dyDescent="0.25">
      <c r="A1019" s="1">
        <v>45660</v>
      </c>
      <c r="B1019">
        <v>38.54</v>
      </c>
      <c r="C1019">
        <v>17767856</v>
      </c>
      <c r="D1019">
        <v>38.354999999999997</v>
      </c>
      <c r="E1019">
        <v>38.743200000000002</v>
      </c>
      <c r="F1019">
        <v>38.19</v>
      </c>
    </row>
    <row r="1020" spans="1:6" x14ac:dyDescent="0.25">
      <c r="A1020" s="1">
        <v>45663</v>
      </c>
      <c r="B1020">
        <v>38.11</v>
      </c>
      <c r="C1020">
        <v>25623780</v>
      </c>
      <c r="D1020">
        <v>38.54</v>
      </c>
      <c r="E1020">
        <v>38.57</v>
      </c>
      <c r="F1020">
        <v>37.982500000000002</v>
      </c>
    </row>
    <row r="1021" spans="1:6" x14ac:dyDescent="0.25">
      <c r="A1021" s="1">
        <v>45664</v>
      </c>
      <c r="B1021">
        <v>38.015000000000001</v>
      </c>
      <c r="C1021">
        <v>22856460</v>
      </c>
      <c r="D1021">
        <v>38.24</v>
      </c>
      <c r="E1021">
        <v>38.405000000000001</v>
      </c>
      <c r="F1021">
        <v>37.917499999999997</v>
      </c>
    </row>
    <row r="1022" spans="1:6" x14ac:dyDescent="0.25">
      <c r="A1022" s="1">
        <v>45665</v>
      </c>
      <c r="B1022">
        <v>38.005000000000003</v>
      </c>
      <c r="C1022">
        <v>26845900</v>
      </c>
      <c r="D1022">
        <v>37.950000000000003</v>
      </c>
      <c r="E1022">
        <v>38.045000000000002</v>
      </c>
      <c r="F1022">
        <v>37.380000000000003</v>
      </c>
    </row>
    <row r="1023" spans="1:6" x14ac:dyDescent="0.25">
      <c r="A1023" s="1">
        <v>45667</v>
      </c>
      <c r="B1023">
        <v>37.79</v>
      </c>
      <c r="C1023">
        <v>31216960</v>
      </c>
      <c r="D1023">
        <v>38.125</v>
      </c>
      <c r="E1023">
        <v>38.42</v>
      </c>
      <c r="F1023">
        <v>37.61</v>
      </c>
    </row>
    <row r="1024" spans="1:6" x14ac:dyDescent="0.25">
      <c r="A1024" s="1">
        <v>45670</v>
      </c>
      <c r="B1024">
        <v>37.35</v>
      </c>
      <c r="C1024">
        <v>24891640</v>
      </c>
      <c r="D1024">
        <v>37.75</v>
      </c>
      <c r="E1024">
        <v>37.79</v>
      </c>
      <c r="F1024">
        <v>36.954999999999998</v>
      </c>
    </row>
    <row r="1025" spans="1:6" x14ac:dyDescent="0.25">
      <c r="A1025" s="1">
        <v>45671</v>
      </c>
      <c r="B1025">
        <v>37.840000000000003</v>
      </c>
      <c r="C1025">
        <v>19675184</v>
      </c>
      <c r="D1025">
        <v>37.494999999999997</v>
      </c>
      <c r="E1025">
        <v>37.954999999999998</v>
      </c>
      <c r="F1025">
        <v>37.399700000000003</v>
      </c>
    </row>
    <row r="1026" spans="1:6" x14ac:dyDescent="0.25">
      <c r="A1026" s="1">
        <v>45672</v>
      </c>
      <c r="B1026">
        <v>38.395000000000003</v>
      </c>
      <c r="C1026">
        <v>21360600</v>
      </c>
      <c r="D1026">
        <v>38.5</v>
      </c>
      <c r="E1026">
        <v>38.774999999999999</v>
      </c>
      <c r="F1026">
        <v>38.352499999999999</v>
      </c>
    </row>
    <row r="1027" spans="1:6" x14ac:dyDescent="0.25">
      <c r="A1027" s="1">
        <v>45673</v>
      </c>
      <c r="B1027">
        <v>39.365000000000002</v>
      </c>
      <c r="C1027">
        <v>30415060</v>
      </c>
      <c r="D1027">
        <v>38.375</v>
      </c>
      <c r="E1027">
        <v>39.377499999999998</v>
      </c>
      <c r="F1027">
        <v>38.36</v>
      </c>
    </row>
    <row r="1028" spans="1:6" x14ac:dyDescent="0.25">
      <c r="A1028" s="1">
        <v>45674</v>
      </c>
      <c r="B1028">
        <v>39.42</v>
      </c>
      <c r="C1028">
        <v>14669082</v>
      </c>
      <c r="D1028">
        <v>39.340000000000003</v>
      </c>
      <c r="E1028">
        <v>39.6</v>
      </c>
      <c r="F1028">
        <v>39.215000000000003</v>
      </c>
    </row>
    <row r="1029" spans="1:6" x14ac:dyDescent="0.25">
      <c r="A1029" s="1">
        <v>45678</v>
      </c>
      <c r="B1029">
        <v>40.024999999999999</v>
      </c>
      <c r="C1029">
        <v>21633360</v>
      </c>
      <c r="D1029">
        <v>39.865000000000002</v>
      </c>
      <c r="E1029">
        <v>40.222499999999997</v>
      </c>
      <c r="F1029">
        <v>39.762500000000003</v>
      </c>
    </row>
    <row r="1030" spans="1:6" x14ac:dyDescent="0.25">
      <c r="A1030" s="1">
        <v>45679</v>
      </c>
      <c r="B1030">
        <v>39.159999999999997</v>
      </c>
      <c r="C1030">
        <v>23644860</v>
      </c>
      <c r="D1030">
        <v>40.134999999999998</v>
      </c>
      <c r="E1030">
        <v>40.134999999999998</v>
      </c>
      <c r="F1030">
        <v>39.137500000000003</v>
      </c>
    </row>
    <row r="1031" spans="1:6" x14ac:dyDescent="0.25">
      <c r="A1031" s="1">
        <v>45680</v>
      </c>
      <c r="B1031">
        <v>39.344999999999999</v>
      </c>
      <c r="C1031">
        <v>21585200</v>
      </c>
      <c r="D1031">
        <v>39.305</v>
      </c>
      <c r="E1031">
        <v>39.627499999999998</v>
      </c>
      <c r="F1031">
        <v>39.237499999999997</v>
      </c>
    </row>
    <row r="1032" spans="1:6" x14ac:dyDescent="0.25">
      <c r="A1032" s="1">
        <v>45681</v>
      </c>
      <c r="B1032">
        <v>39.744999999999997</v>
      </c>
      <c r="C1032">
        <v>16770198</v>
      </c>
      <c r="D1032">
        <v>39.284999999999997</v>
      </c>
      <c r="E1032">
        <v>39.86</v>
      </c>
      <c r="F1032">
        <v>39.200000000000003</v>
      </c>
    </row>
    <row r="1033" spans="1:6" x14ac:dyDescent="0.25">
      <c r="A1033" s="1">
        <v>45684</v>
      </c>
      <c r="B1033">
        <v>38.825000000000003</v>
      </c>
      <c r="C1033">
        <v>42448160</v>
      </c>
      <c r="D1033">
        <v>38.945</v>
      </c>
      <c r="E1033">
        <v>39.042499999999997</v>
      </c>
      <c r="F1033">
        <v>37.912500000000001</v>
      </c>
    </row>
    <row r="1034" spans="1:6" x14ac:dyDescent="0.25">
      <c r="A1034" s="1">
        <v>45685</v>
      </c>
      <c r="B1034">
        <v>38.29</v>
      </c>
      <c r="C1034">
        <v>28540960</v>
      </c>
      <c r="D1034">
        <v>38.805</v>
      </c>
      <c r="E1034">
        <v>38.805</v>
      </c>
      <c r="F1034">
        <v>37.950000000000003</v>
      </c>
    </row>
    <row r="1035" spans="1:6" x14ac:dyDescent="0.25">
      <c r="A1035" s="1">
        <v>45686</v>
      </c>
      <c r="B1035">
        <v>38.369999999999997</v>
      </c>
      <c r="C1035">
        <v>19130914</v>
      </c>
      <c r="D1035">
        <v>38.28</v>
      </c>
      <c r="E1035">
        <v>38.81</v>
      </c>
      <c r="F1035">
        <v>38.24</v>
      </c>
    </row>
    <row r="1036" spans="1:6" x14ac:dyDescent="0.25">
      <c r="A1036" s="1">
        <v>45687</v>
      </c>
      <c r="B1036">
        <v>39.17</v>
      </c>
      <c r="C1036">
        <v>18712678</v>
      </c>
      <c r="D1036">
        <v>38.814999999999998</v>
      </c>
      <c r="E1036">
        <v>39.229999999999997</v>
      </c>
      <c r="F1036">
        <v>38.78</v>
      </c>
    </row>
    <row r="1037" spans="1:6" x14ac:dyDescent="0.25">
      <c r="A1037" s="1">
        <v>45688</v>
      </c>
      <c r="B1037">
        <v>38.94</v>
      </c>
      <c r="C1037">
        <v>19670752</v>
      </c>
      <c r="D1037">
        <v>39.204999999999998</v>
      </c>
      <c r="E1037">
        <v>39.24</v>
      </c>
      <c r="F1037">
        <v>38.85</v>
      </c>
    </row>
    <row r="1038" spans="1:6" x14ac:dyDescent="0.25">
      <c r="A1038" s="1">
        <v>45691</v>
      </c>
      <c r="B1038">
        <v>39.15</v>
      </c>
      <c r="C1038">
        <v>28118960</v>
      </c>
      <c r="D1038">
        <v>38.424999999999997</v>
      </c>
      <c r="E1038">
        <v>39.295000000000002</v>
      </c>
      <c r="F1038">
        <v>38.365000000000002</v>
      </c>
    </row>
    <row r="1039" spans="1:6" x14ac:dyDescent="0.25">
      <c r="A1039" s="1">
        <v>45692</v>
      </c>
      <c r="B1039">
        <v>38.805</v>
      </c>
      <c r="C1039">
        <v>20498340</v>
      </c>
      <c r="D1039">
        <v>38.924999999999997</v>
      </c>
      <c r="E1039">
        <v>38.9876</v>
      </c>
      <c r="F1039">
        <v>38.414999999999999</v>
      </c>
    </row>
    <row r="1040" spans="1:6" x14ac:dyDescent="0.25">
      <c r="A1040" s="1">
        <v>45693</v>
      </c>
      <c r="B1040">
        <v>39.195</v>
      </c>
      <c r="C1040">
        <v>15992984</v>
      </c>
      <c r="D1040">
        <v>39.19</v>
      </c>
      <c r="E1040">
        <v>39.46</v>
      </c>
      <c r="F1040">
        <v>38.870399999999997</v>
      </c>
    </row>
    <row r="1041" spans="1:6" x14ac:dyDescent="0.25">
      <c r="A1041" s="1">
        <v>45694</v>
      </c>
      <c r="B1041">
        <v>39.15</v>
      </c>
      <c r="C1041">
        <v>12820896</v>
      </c>
      <c r="D1041">
        <v>39.365000000000002</v>
      </c>
      <c r="E1041">
        <v>39.365000000000002</v>
      </c>
      <c r="F1041">
        <v>38.869999999999997</v>
      </c>
    </row>
    <row r="1042" spans="1:6" x14ac:dyDescent="0.25">
      <c r="A1042" s="1">
        <v>45695</v>
      </c>
      <c r="B1042">
        <v>39.07</v>
      </c>
      <c r="C1042">
        <v>14330756</v>
      </c>
      <c r="D1042">
        <v>39.14</v>
      </c>
      <c r="E1042">
        <v>39.417499999999997</v>
      </c>
      <c r="F1042">
        <v>39.022500000000001</v>
      </c>
    </row>
    <row r="1043" spans="1:6" x14ac:dyDescent="0.25">
      <c r="A1043" s="1">
        <v>45698</v>
      </c>
      <c r="B1043">
        <v>39.494999999999997</v>
      </c>
      <c r="C1043">
        <v>10664432</v>
      </c>
      <c r="D1043">
        <v>39.18</v>
      </c>
      <c r="E1043">
        <v>39.51</v>
      </c>
      <c r="F1043">
        <v>38.962499999999999</v>
      </c>
    </row>
    <row r="1044" spans="1:6" x14ac:dyDescent="0.25">
      <c r="A1044" s="1">
        <v>45699</v>
      </c>
      <c r="B1044">
        <v>39.695</v>
      </c>
      <c r="C1044">
        <v>10836226</v>
      </c>
      <c r="D1044">
        <v>39.340000000000003</v>
      </c>
      <c r="E1044">
        <v>39.712499999999999</v>
      </c>
      <c r="F1044">
        <v>39.01</v>
      </c>
    </row>
    <row r="1045" spans="1:6" x14ac:dyDescent="0.25">
      <c r="A1045" s="1">
        <v>45700</v>
      </c>
      <c r="B1045">
        <v>39.625</v>
      </c>
      <c r="C1045">
        <v>14888930</v>
      </c>
      <c r="D1045">
        <v>39.185000000000002</v>
      </c>
      <c r="E1045">
        <v>39.72</v>
      </c>
      <c r="F1045">
        <v>39.01</v>
      </c>
    </row>
    <row r="1046" spans="1:6" x14ac:dyDescent="0.25">
      <c r="A1046" s="1">
        <v>45701</v>
      </c>
      <c r="B1046">
        <v>39.715000000000003</v>
      </c>
      <c r="C1046">
        <v>17020704</v>
      </c>
      <c r="D1046">
        <v>39.700000000000003</v>
      </c>
      <c r="E1046">
        <v>39.792499999999997</v>
      </c>
      <c r="F1046">
        <v>39.472499999999997</v>
      </c>
    </row>
    <row r="1047" spans="1:6" x14ac:dyDescent="0.25">
      <c r="A1047" s="1">
        <v>45702</v>
      </c>
      <c r="B1047">
        <v>39.549999999999997</v>
      </c>
      <c r="C1047">
        <v>13972294</v>
      </c>
      <c r="D1047">
        <v>39.695</v>
      </c>
      <c r="E1047">
        <v>40.015000000000001</v>
      </c>
      <c r="F1047">
        <v>39.522500000000001</v>
      </c>
    </row>
    <row r="1048" spans="1:6" x14ac:dyDescent="0.25">
      <c r="A1048" s="1">
        <v>45706</v>
      </c>
      <c r="B1048">
        <v>39.92</v>
      </c>
      <c r="C1048">
        <v>15509866</v>
      </c>
      <c r="D1048">
        <v>39.715000000000003</v>
      </c>
      <c r="E1048">
        <v>39.984999999999999</v>
      </c>
      <c r="F1048">
        <v>39.58</v>
      </c>
    </row>
    <row r="1049" spans="1:6" x14ac:dyDescent="0.25">
      <c r="A1049" s="1">
        <v>45707</v>
      </c>
      <c r="B1049">
        <v>40.130000000000003</v>
      </c>
      <c r="C1049">
        <v>12513958</v>
      </c>
      <c r="D1049">
        <v>39.875</v>
      </c>
      <c r="E1049">
        <v>40.247500000000002</v>
      </c>
      <c r="F1049">
        <v>39.835000000000001</v>
      </c>
    </row>
    <row r="1050" spans="1:6" x14ac:dyDescent="0.25">
      <c r="A1050" s="1">
        <v>45708</v>
      </c>
      <c r="B1050">
        <v>40.125</v>
      </c>
      <c r="C1050">
        <v>17391336</v>
      </c>
      <c r="D1050">
        <v>40</v>
      </c>
      <c r="E1050">
        <v>40.22</v>
      </c>
      <c r="F1050">
        <v>39.645000000000003</v>
      </c>
    </row>
    <row r="1051" spans="1:6" x14ac:dyDescent="0.25">
      <c r="A1051" s="1">
        <v>45709</v>
      </c>
      <c r="B1051">
        <v>40.134999999999998</v>
      </c>
      <c r="C1051">
        <v>15547486</v>
      </c>
      <c r="D1051">
        <v>40.130000000000003</v>
      </c>
      <c r="E1051">
        <v>40.265000000000001</v>
      </c>
      <c r="F1051">
        <v>39.94</v>
      </c>
    </row>
    <row r="1052" spans="1:6" x14ac:dyDescent="0.25">
      <c r="A1052" s="1">
        <v>45712</v>
      </c>
      <c r="B1052">
        <v>39.935000000000002</v>
      </c>
      <c r="C1052">
        <v>14973926</v>
      </c>
      <c r="D1052">
        <v>40.25</v>
      </c>
      <c r="E1052">
        <v>40.255000000000003</v>
      </c>
      <c r="F1052">
        <v>39.755000000000003</v>
      </c>
    </row>
    <row r="1053" spans="1:6" x14ac:dyDescent="0.25">
      <c r="A1053" s="1">
        <v>45713</v>
      </c>
      <c r="B1053">
        <v>39.734999999999999</v>
      </c>
      <c r="C1053">
        <v>21837900</v>
      </c>
      <c r="D1053">
        <v>39.700000000000003</v>
      </c>
      <c r="E1053">
        <v>39.814999999999998</v>
      </c>
      <c r="F1053">
        <v>39.159999999999997</v>
      </c>
    </row>
    <row r="1054" spans="1:6" x14ac:dyDescent="0.25">
      <c r="A1054" s="1">
        <v>45714</v>
      </c>
      <c r="B1054">
        <v>39.9</v>
      </c>
      <c r="C1054">
        <v>15421930</v>
      </c>
      <c r="D1054">
        <v>39.81</v>
      </c>
      <c r="E1054">
        <v>40.25</v>
      </c>
      <c r="F1054">
        <v>39.68</v>
      </c>
    </row>
    <row r="1055" spans="1:6" x14ac:dyDescent="0.25">
      <c r="A1055" s="1">
        <v>45715</v>
      </c>
      <c r="B1055">
        <v>39.015000000000001</v>
      </c>
      <c r="C1055">
        <v>25075280</v>
      </c>
      <c r="D1055">
        <v>39.79</v>
      </c>
      <c r="E1055">
        <v>39.879399999999997</v>
      </c>
      <c r="F1055">
        <v>38.975000000000001</v>
      </c>
    </row>
    <row r="1056" spans="1:6" x14ac:dyDescent="0.25">
      <c r="A1056" s="1">
        <v>45716</v>
      </c>
      <c r="B1056">
        <v>39.61</v>
      </c>
      <c r="C1056">
        <v>21769980</v>
      </c>
      <c r="D1056">
        <v>39.270000000000003</v>
      </c>
      <c r="E1056">
        <v>39.625</v>
      </c>
      <c r="F1056">
        <v>39.06</v>
      </c>
    </row>
    <row r="1057" spans="1:6" x14ac:dyDescent="0.25">
      <c r="A1057" s="1">
        <v>45719</v>
      </c>
      <c r="B1057">
        <v>39.664999999999999</v>
      </c>
      <c r="C1057">
        <v>19276310</v>
      </c>
      <c r="D1057">
        <v>39.57</v>
      </c>
      <c r="E1057">
        <v>39.79</v>
      </c>
      <c r="F1057">
        <v>39.4</v>
      </c>
    </row>
    <row r="1058" spans="1:6" x14ac:dyDescent="0.25">
      <c r="A1058" s="1">
        <v>45720</v>
      </c>
      <c r="B1058">
        <v>39.020000000000003</v>
      </c>
      <c r="C1058">
        <v>22561840</v>
      </c>
      <c r="D1058">
        <v>39.664999999999999</v>
      </c>
      <c r="E1058">
        <v>39.875</v>
      </c>
      <c r="F1058">
        <v>38.96</v>
      </c>
    </row>
    <row r="1059" spans="1:6" x14ac:dyDescent="0.25">
      <c r="A1059" s="1">
        <v>45721</v>
      </c>
      <c r="B1059">
        <v>38.744999999999997</v>
      </c>
      <c r="C1059">
        <v>20666700</v>
      </c>
      <c r="D1059">
        <v>38.76</v>
      </c>
      <c r="E1059">
        <v>39.020000000000003</v>
      </c>
      <c r="F1059">
        <v>38.427500000000002</v>
      </c>
    </row>
    <row r="1060" spans="1:6" x14ac:dyDescent="0.25">
      <c r="A1060" s="1">
        <v>45722</v>
      </c>
      <c r="B1060">
        <v>37.94</v>
      </c>
      <c r="C1060">
        <v>25405900</v>
      </c>
      <c r="D1060">
        <v>38.445</v>
      </c>
      <c r="E1060">
        <v>38.479999999999997</v>
      </c>
      <c r="F1060">
        <v>37.83</v>
      </c>
    </row>
    <row r="1061" spans="1:6" x14ac:dyDescent="0.25">
      <c r="A1061" s="1">
        <v>45723</v>
      </c>
      <c r="B1061">
        <v>38.645000000000003</v>
      </c>
      <c r="C1061">
        <v>23234440</v>
      </c>
      <c r="D1061">
        <v>38.024999999999999</v>
      </c>
      <c r="E1061">
        <v>38.814999999999998</v>
      </c>
      <c r="F1061">
        <v>37.914999999999999</v>
      </c>
    </row>
    <row r="1062" spans="1:6" x14ac:dyDescent="0.25">
      <c r="A1062" s="1">
        <v>45726</v>
      </c>
      <c r="B1062">
        <v>39.07</v>
      </c>
      <c r="C1062">
        <v>37365960</v>
      </c>
      <c r="D1062">
        <v>38.51</v>
      </c>
      <c r="E1062">
        <v>39.185000000000002</v>
      </c>
      <c r="F1062">
        <v>38.51</v>
      </c>
    </row>
    <row r="1063" spans="1:6" x14ac:dyDescent="0.25">
      <c r="A1063" s="1">
        <v>45727</v>
      </c>
      <c r="B1063">
        <v>38.704999999999998</v>
      </c>
      <c r="C1063">
        <v>32640380</v>
      </c>
      <c r="D1063">
        <v>39.049999999999997</v>
      </c>
      <c r="E1063">
        <v>39.200000000000003</v>
      </c>
      <c r="F1063">
        <v>38.5</v>
      </c>
    </row>
    <row r="1064" spans="1:6" x14ac:dyDescent="0.25">
      <c r="A1064" s="1">
        <v>45728</v>
      </c>
      <c r="B1064">
        <v>38.585000000000001</v>
      </c>
      <c r="C1064">
        <v>17432382</v>
      </c>
      <c r="D1064">
        <v>38.700000000000003</v>
      </c>
      <c r="E1064">
        <v>38.924999999999997</v>
      </c>
      <c r="F1064">
        <v>38.35</v>
      </c>
    </row>
    <row r="1065" spans="1:6" x14ac:dyDescent="0.25">
      <c r="A1065" s="1">
        <v>45729</v>
      </c>
      <c r="B1065">
        <v>38.68</v>
      </c>
      <c r="C1065">
        <v>16801792</v>
      </c>
      <c r="D1065">
        <v>38.715000000000003</v>
      </c>
      <c r="E1065">
        <v>38.840000000000003</v>
      </c>
      <c r="F1065">
        <v>38.435000000000002</v>
      </c>
    </row>
    <row r="1066" spans="1:6" x14ac:dyDescent="0.25">
      <c r="A1066" s="1">
        <v>45730</v>
      </c>
      <c r="B1066">
        <v>39.435000000000002</v>
      </c>
      <c r="C1066">
        <v>18269902</v>
      </c>
      <c r="D1066">
        <v>38.795000000000002</v>
      </c>
      <c r="E1066">
        <v>39.479999999999997</v>
      </c>
      <c r="F1066">
        <v>38.655000000000001</v>
      </c>
    </row>
    <row r="1067" spans="1:6" x14ac:dyDescent="0.25">
      <c r="A1067" s="1">
        <v>45733</v>
      </c>
      <c r="B1067">
        <v>39.6</v>
      </c>
      <c r="C1067">
        <v>19290432</v>
      </c>
      <c r="D1067">
        <v>39.424999999999997</v>
      </c>
      <c r="E1067">
        <v>39.827500000000001</v>
      </c>
      <c r="F1067">
        <v>39.229999999999997</v>
      </c>
    </row>
    <row r="1068" spans="1:6" x14ac:dyDescent="0.25">
      <c r="A1068" s="1">
        <v>45734</v>
      </c>
      <c r="B1068">
        <v>39.325000000000003</v>
      </c>
      <c r="C1068">
        <v>19285522</v>
      </c>
      <c r="D1068">
        <v>39.365000000000002</v>
      </c>
      <c r="E1068">
        <v>39.435000000000002</v>
      </c>
      <c r="F1068">
        <v>39.07</v>
      </c>
    </row>
    <row r="1069" spans="1:6" x14ac:dyDescent="0.25">
      <c r="A1069" s="1">
        <v>45735</v>
      </c>
      <c r="B1069">
        <v>39.47</v>
      </c>
      <c r="C1069">
        <v>16163534</v>
      </c>
      <c r="D1069">
        <v>39.344999999999999</v>
      </c>
      <c r="E1069">
        <v>39.524999999999999</v>
      </c>
      <c r="F1069">
        <v>39.204999999999998</v>
      </c>
    </row>
    <row r="1070" spans="1:6" x14ac:dyDescent="0.25">
      <c r="A1070" s="1">
        <v>45736</v>
      </c>
      <c r="B1070">
        <v>39.630000000000003</v>
      </c>
      <c r="C1070">
        <v>16415144</v>
      </c>
      <c r="D1070">
        <v>39.475000000000001</v>
      </c>
      <c r="E1070">
        <v>39.69</v>
      </c>
      <c r="F1070">
        <v>39.39</v>
      </c>
    </row>
    <row r="1071" spans="1:6" x14ac:dyDescent="0.25">
      <c r="A1071" s="1">
        <v>45737</v>
      </c>
      <c r="B1071">
        <v>39.375</v>
      </c>
      <c r="C1071">
        <v>15627768</v>
      </c>
      <c r="D1071">
        <v>39.475000000000001</v>
      </c>
      <c r="E1071">
        <v>39.664999999999999</v>
      </c>
      <c r="F1071">
        <v>39.130000000000003</v>
      </c>
    </row>
    <row r="1072" spans="1:6" x14ac:dyDescent="0.25">
      <c r="A1072" s="1">
        <v>45740</v>
      </c>
      <c r="B1072">
        <v>39.085000000000001</v>
      </c>
      <c r="C1072">
        <v>13996838</v>
      </c>
      <c r="D1072">
        <v>39.25</v>
      </c>
      <c r="E1072">
        <v>39.56</v>
      </c>
      <c r="F1072">
        <v>39.049999999999997</v>
      </c>
    </row>
    <row r="1073" spans="1:6" x14ac:dyDescent="0.25">
      <c r="A1073" s="1">
        <v>45741</v>
      </c>
      <c r="B1073">
        <v>38.46</v>
      </c>
      <c r="C1073">
        <v>22395960</v>
      </c>
      <c r="D1073">
        <v>39.045000000000002</v>
      </c>
      <c r="E1073">
        <v>39.055</v>
      </c>
      <c r="F1073">
        <v>38.277500000000003</v>
      </c>
    </row>
    <row r="1074" spans="1:6" x14ac:dyDescent="0.25">
      <c r="A1074" s="1">
        <v>45742</v>
      </c>
      <c r="B1074">
        <v>38.715000000000003</v>
      </c>
      <c r="C1074">
        <v>15164642</v>
      </c>
      <c r="D1074">
        <v>38.465000000000003</v>
      </c>
      <c r="E1074">
        <v>38.805</v>
      </c>
      <c r="F1074">
        <v>38.465000000000003</v>
      </c>
    </row>
    <row r="1075" spans="1:6" x14ac:dyDescent="0.25">
      <c r="A1075" s="1">
        <v>45743</v>
      </c>
      <c r="B1075">
        <v>38.704999999999998</v>
      </c>
      <c r="C1075">
        <v>13971850</v>
      </c>
      <c r="D1075">
        <v>38.68</v>
      </c>
      <c r="E1075">
        <v>39.024999999999999</v>
      </c>
      <c r="F1075">
        <v>38.588700000000003</v>
      </c>
    </row>
    <row r="1076" spans="1:6" x14ac:dyDescent="0.25">
      <c r="A1076" s="1">
        <v>45744</v>
      </c>
      <c r="B1076">
        <v>38.99</v>
      </c>
      <c r="C1076">
        <v>19078578</v>
      </c>
      <c r="D1076">
        <v>38.94</v>
      </c>
      <c r="E1076">
        <v>39.232500000000002</v>
      </c>
      <c r="F1076">
        <v>38.869999999999997</v>
      </c>
    </row>
    <row r="1077" spans="1:6" x14ac:dyDescent="0.25">
      <c r="A1077" s="1">
        <v>45747</v>
      </c>
      <c r="B1077">
        <v>39.424999999999997</v>
      </c>
      <c r="C1077">
        <v>21469940</v>
      </c>
      <c r="D1077">
        <v>39.049999999999997</v>
      </c>
      <c r="E1077">
        <v>39.582500000000003</v>
      </c>
      <c r="F1077">
        <v>39.04</v>
      </c>
    </row>
    <row r="1078" spans="1:6" x14ac:dyDescent="0.25">
      <c r="A1078" s="1">
        <v>45748</v>
      </c>
      <c r="B1078">
        <v>39.524999999999999</v>
      </c>
      <c r="C1078">
        <v>18084708</v>
      </c>
      <c r="D1078">
        <v>39.4</v>
      </c>
      <c r="E1078">
        <v>39.64</v>
      </c>
      <c r="F1078">
        <v>39.142499999999998</v>
      </c>
    </row>
    <row r="1079" spans="1:6" x14ac:dyDescent="0.25">
      <c r="A1079" s="1">
        <v>45749</v>
      </c>
      <c r="B1079">
        <v>39.71</v>
      </c>
      <c r="C1079">
        <v>12951172</v>
      </c>
      <c r="D1079">
        <v>39.494999999999997</v>
      </c>
      <c r="E1079">
        <v>39.799999999999997</v>
      </c>
      <c r="F1079">
        <v>39.295000000000002</v>
      </c>
    </row>
    <row r="1080" spans="1:6" x14ac:dyDescent="0.25">
      <c r="A1080" s="1">
        <v>45750</v>
      </c>
      <c r="B1080">
        <v>39.46</v>
      </c>
      <c r="C1080">
        <v>38650160</v>
      </c>
      <c r="D1080">
        <v>39.659999999999997</v>
      </c>
      <c r="E1080">
        <v>40.104999999999997</v>
      </c>
      <c r="F1080">
        <v>39.409999999999997</v>
      </c>
    </row>
    <row r="1081" spans="1:6" x14ac:dyDescent="0.25">
      <c r="A1081" s="1">
        <v>45751</v>
      </c>
      <c r="B1081">
        <v>37.265000000000001</v>
      </c>
      <c r="C1081">
        <v>66165420</v>
      </c>
      <c r="D1081">
        <v>39.645000000000003</v>
      </c>
      <c r="E1081">
        <v>39.645000000000003</v>
      </c>
      <c r="F1081">
        <v>37.020000000000003</v>
      </c>
    </row>
    <row r="1082" spans="1:6" x14ac:dyDescent="0.25">
      <c r="A1082" s="1">
        <v>45754</v>
      </c>
      <c r="B1082">
        <v>36.695</v>
      </c>
      <c r="C1082">
        <v>73162940</v>
      </c>
      <c r="D1082">
        <v>36.695</v>
      </c>
      <c r="E1082">
        <v>37.82</v>
      </c>
      <c r="F1082">
        <v>35.887500000000003</v>
      </c>
    </row>
    <row r="1083" spans="1:6" x14ac:dyDescent="0.25">
      <c r="A1083" s="1">
        <v>45755</v>
      </c>
      <c r="B1083">
        <v>36.545000000000002</v>
      </c>
      <c r="C1083">
        <v>39600500</v>
      </c>
      <c r="D1083">
        <v>37.35</v>
      </c>
      <c r="E1083">
        <v>37.615000000000002</v>
      </c>
      <c r="F1083">
        <v>36.119999999999997</v>
      </c>
    </row>
    <row r="1084" spans="1:6" x14ac:dyDescent="0.25">
      <c r="A1084" s="1">
        <v>45756</v>
      </c>
      <c r="B1084">
        <v>37.984999999999999</v>
      </c>
      <c r="C1084">
        <v>70054900</v>
      </c>
      <c r="D1084">
        <v>36.229999999999997</v>
      </c>
      <c r="E1084">
        <v>38.082500000000003</v>
      </c>
      <c r="F1084">
        <v>35.51</v>
      </c>
    </row>
    <row r="1085" spans="1:6" x14ac:dyDescent="0.25">
      <c r="A1085" s="1">
        <v>45757</v>
      </c>
      <c r="B1085">
        <v>37.700000000000003</v>
      </c>
      <c r="C1085">
        <v>44167760</v>
      </c>
      <c r="D1085">
        <v>37.700000000000003</v>
      </c>
      <c r="E1085">
        <v>38.14</v>
      </c>
      <c r="F1085">
        <v>36.917499999999997</v>
      </c>
    </row>
    <row r="1086" spans="1:6" x14ac:dyDescent="0.25">
      <c r="A1086" s="1">
        <v>45758</v>
      </c>
      <c r="B1086">
        <v>38.159999999999997</v>
      </c>
      <c r="C1086">
        <v>28840020</v>
      </c>
      <c r="D1086">
        <v>37.68</v>
      </c>
      <c r="E1086">
        <v>38.292499999999997</v>
      </c>
      <c r="F1086">
        <v>37.215000000000003</v>
      </c>
    </row>
    <row r="1087" spans="1:6" x14ac:dyDescent="0.25">
      <c r="A1087" s="1">
        <v>45761</v>
      </c>
      <c r="B1087">
        <v>38.844999999999999</v>
      </c>
      <c r="C1087">
        <v>19415564</v>
      </c>
      <c r="D1087">
        <v>38.46</v>
      </c>
      <c r="E1087">
        <v>38.972499999999997</v>
      </c>
      <c r="F1087">
        <v>38.234999999999999</v>
      </c>
    </row>
    <row r="1088" spans="1:6" x14ac:dyDescent="0.25">
      <c r="A1088" s="1">
        <v>45762</v>
      </c>
      <c r="B1088">
        <v>38.840000000000003</v>
      </c>
      <c r="C1088">
        <v>15257160</v>
      </c>
      <c r="D1088">
        <v>38.93</v>
      </c>
      <c r="E1088">
        <v>39.185000000000002</v>
      </c>
      <c r="F1088">
        <v>38.792499999999997</v>
      </c>
    </row>
    <row r="1089" spans="1:6" x14ac:dyDescent="0.25">
      <c r="A1089" s="1">
        <v>45763</v>
      </c>
      <c r="B1089">
        <v>38.49</v>
      </c>
      <c r="C1089">
        <v>17500758</v>
      </c>
      <c r="D1089">
        <v>38.935000000000002</v>
      </c>
      <c r="E1089">
        <v>39.082500000000003</v>
      </c>
      <c r="F1089">
        <v>38.362499999999997</v>
      </c>
    </row>
    <row r="1090" spans="1:6" x14ac:dyDescent="0.25">
      <c r="A1090" s="1">
        <v>45764</v>
      </c>
      <c r="B1090">
        <v>38.884999999999998</v>
      </c>
      <c r="C1090">
        <v>18928748</v>
      </c>
      <c r="D1090">
        <v>38.64</v>
      </c>
      <c r="E1090">
        <v>39.372500000000002</v>
      </c>
      <c r="F1090">
        <v>38.64</v>
      </c>
    </row>
    <row r="1091" spans="1:6" x14ac:dyDescent="0.25">
      <c r="A1091" s="1">
        <v>45768</v>
      </c>
      <c r="B1091">
        <v>37.965000000000003</v>
      </c>
      <c r="C1091">
        <v>20780040</v>
      </c>
      <c r="D1091">
        <v>38.71</v>
      </c>
      <c r="E1091">
        <v>38.755000000000003</v>
      </c>
      <c r="F1091">
        <v>37.515000000000001</v>
      </c>
    </row>
    <row r="1092" spans="1:6" x14ac:dyDescent="0.25">
      <c r="A1092" s="1">
        <v>45769</v>
      </c>
      <c r="B1092">
        <v>39</v>
      </c>
      <c r="C1092">
        <v>21700780</v>
      </c>
      <c r="D1092">
        <v>38.369999999999997</v>
      </c>
      <c r="E1092">
        <v>39.085000000000001</v>
      </c>
      <c r="F1092">
        <v>38.338900000000002</v>
      </c>
    </row>
    <row r="1093" spans="1:6" x14ac:dyDescent="0.25">
      <c r="A1093" s="1">
        <v>45770</v>
      </c>
      <c r="B1093">
        <v>39.164999999999999</v>
      </c>
      <c r="C1093">
        <v>27903840</v>
      </c>
      <c r="D1093">
        <v>39.384999999999998</v>
      </c>
      <c r="E1093">
        <v>39.604999999999997</v>
      </c>
      <c r="F1093">
        <v>38.81</v>
      </c>
    </row>
    <row r="1094" spans="1:6" x14ac:dyDescent="0.25">
      <c r="A1094" s="1">
        <v>45771</v>
      </c>
      <c r="B1094">
        <v>39.225000000000001</v>
      </c>
      <c r="C1094">
        <v>16828082</v>
      </c>
      <c r="D1094">
        <v>39.134999999999998</v>
      </c>
      <c r="E1094">
        <v>39.405000000000001</v>
      </c>
      <c r="F1094">
        <v>38.854999999999997</v>
      </c>
    </row>
    <row r="1095" spans="1:6" x14ac:dyDescent="0.25">
      <c r="A1095" s="1">
        <v>45772</v>
      </c>
      <c r="B1095">
        <v>39.104999999999997</v>
      </c>
      <c r="C1095">
        <v>14075354</v>
      </c>
      <c r="D1095">
        <v>39.26</v>
      </c>
      <c r="E1095">
        <v>39.284999999999997</v>
      </c>
      <c r="F1095">
        <v>38.93</v>
      </c>
    </row>
    <row r="1096" spans="1:6" x14ac:dyDescent="0.25">
      <c r="A1096" s="1">
        <v>45775</v>
      </c>
      <c r="B1096">
        <v>39.344999999999999</v>
      </c>
      <c r="C1096">
        <v>11084830</v>
      </c>
      <c r="D1096">
        <v>39.125</v>
      </c>
      <c r="E1096">
        <v>39.422499999999999</v>
      </c>
      <c r="F1096">
        <v>38.854999999999997</v>
      </c>
    </row>
    <row r="1097" spans="1:6" x14ac:dyDescent="0.25">
      <c r="A1097" s="1">
        <v>45776</v>
      </c>
      <c r="B1097">
        <v>39.65</v>
      </c>
      <c r="C1097">
        <v>13168072</v>
      </c>
      <c r="D1097">
        <v>39.29</v>
      </c>
      <c r="E1097">
        <v>39.715000000000003</v>
      </c>
      <c r="F1097">
        <v>39.125</v>
      </c>
    </row>
    <row r="1098" spans="1:6" x14ac:dyDescent="0.25">
      <c r="A1098" s="1">
        <v>45777</v>
      </c>
      <c r="B1098">
        <v>39.450000000000003</v>
      </c>
      <c r="C1098">
        <v>18077152</v>
      </c>
      <c r="D1098">
        <v>39.494999999999997</v>
      </c>
      <c r="E1098">
        <v>39.585000000000001</v>
      </c>
      <c r="F1098">
        <v>38.767499999999998</v>
      </c>
    </row>
    <row r="1099" spans="1:6" x14ac:dyDescent="0.25">
      <c r="A1099" s="1">
        <v>45778</v>
      </c>
      <c r="B1099">
        <v>39.564999999999998</v>
      </c>
      <c r="C1099">
        <v>17967074</v>
      </c>
      <c r="D1099">
        <v>39.695</v>
      </c>
      <c r="E1099">
        <v>40.0625</v>
      </c>
      <c r="F1099">
        <v>39.435000000000002</v>
      </c>
    </row>
    <row r="1100" spans="1:6" x14ac:dyDescent="0.25">
      <c r="A1100" s="1">
        <v>45779</v>
      </c>
      <c r="B1100">
        <v>39.875</v>
      </c>
      <c r="C1100">
        <v>16074208</v>
      </c>
      <c r="D1100">
        <v>39.71</v>
      </c>
      <c r="E1100">
        <v>39.9925</v>
      </c>
      <c r="F1100">
        <v>39.4925</v>
      </c>
    </row>
    <row r="1101" spans="1:6" x14ac:dyDescent="0.25">
      <c r="A1101" s="1">
        <v>45782</v>
      </c>
      <c r="B1101">
        <v>39.774999999999999</v>
      </c>
      <c r="C1101">
        <v>14895984</v>
      </c>
      <c r="D1101">
        <v>39.744999999999997</v>
      </c>
      <c r="E1101">
        <v>39.895000000000003</v>
      </c>
      <c r="F1101">
        <v>39.384999999999998</v>
      </c>
    </row>
    <row r="1102" spans="1:6" x14ac:dyDescent="0.25">
      <c r="A1102" s="1">
        <v>45783</v>
      </c>
      <c r="B1102">
        <v>40.26</v>
      </c>
      <c r="C1102">
        <v>20634940</v>
      </c>
      <c r="D1102">
        <v>39.78</v>
      </c>
      <c r="E1102">
        <v>40.54</v>
      </c>
      <c r="F1102">
        <v>39.744999999999997</v>
      </c>
    </row>
    <row r="1103" spans="1:6" x14ac:dyDescent="0.25">
      <c r="A1103" s="1">
        <v>45784</v>
      </c>
      <c r="B1103">
        <v>40.375</v>
      </c>
      <c r="C1103">
        <v>19576698</v>
      </c>
      <c r="D1103">
        <v>40.19</v>
      </c>
      <c r="E1103">
        <v>40.61</v>
      </c>
      <c r="F1103">
        <v>40.049999999999997</v>
      </c>
    </row>
    <row r="1104" spans="1:6" x14ac:dyDescent="0.25">
      <c r="A1104" s="1">
        <v>45785</v>
      </c>
      <c r="B1104">
        <v>40.049999999999997</v>
      </c>
      <c r="C1104">
        <v>22438620</v>
      </c>
      <c r="D1104">
        <v>40.395000000000003</v>
      </c>
      <c r="E1104">
        <v>40.494999999999997</v>
      </c>
      <c r="F1104">
        <v>39.9925</v>
      </c>
    </row>
    <row r="1105" spans="1:6" x14ac:dyDescent="0.25">
      <c r="A1105" s="1">
        <v>45786</v>
      </c>
      <c r="B1105">
        <v>40.119999999999997</v>
      </c>
      <c r="C1105">
        <v>17420360</v>
      </c>
      <c r="D1105">
        <v>40.155000000000001</v>
      </c>
      <c r="E1105">
        <v>40.164999999999999</v>
      </c>
      <c r="F1105">
        <v>39.86</v>
      </c>
    </row>
    <row r="1106" spans="1:6" x14ac:dyDescent="0.25">
      <c r="A1106" s="1">
        <v>45789</v>
      </c>
      <c r="B1106">
        <v>39.880000000000003</v>
      </c>
      <c r="C1106">
        <v>27460240</v>
      </c>
      <c r="D1106">
        <v>40.307499999999997</v>
      </c>
      <c r="E1106">
        <v>40.409999999999997</v>
      </c>
      <c r="F1106">
        <v>39.700000000000003</v>
      </c>
    </row>
    <row r="1107" spans="1:6" x14ac:dyDescent="0.25">
      <c r="A1107" s="1">
        <v>45790</v>
      </c>
      <c r="B1107">
        <v>39.825000000000003</v>
      </c>
      <c r="C1107">
        <v>24063640</v>
      </c>
      <c r="D1107">
        <v>39.82</v>
      </c>
      <c r="E1107">
        <v>40.134999999999998</v>
      </c>
      <c r="F1107">
        <v>39.604999999999997</v>
      </c>
    </row>
    <row r="1108" spans="1:6" x14ac:dyDescent="0.25">
      <c r="A1108" s="1">
        <v>45791</v>
      </c>
      <c r="B1108">
        <v>39.65</v>
      </c>
      <c r="C1108">
        <v>22912820</v>
      </c>
      <c r="D1108">
        <v>39.74</v>
      </c>
      <c r="E1108">
        <v>39.752499999999998</v>
      </c>
      <c r="F1108">
        <v>39.055</v>
      </c>
    </row>
    <row r="1109" spans="1:6" x14ac:dyDescent="0.25">
      <c r="A1109" s="1">
        <v>45792</v>
      </c>
      <c r="B1109">
        <v>40.494999999999997</v>
      </c>
      <c r="C1109">
        <v>26630020</v>
      </c>
      <c r="D1109">
        <v>39.81</v>
      </c>
      <c r="E1109">
        <v>40.602499999999999</v>
      </c>
      <c r="F1109">
        <v>39.784999999999997</v>
      </c>
    </row>
    <row r="1110" spans="1:6" x14ac:dyDescent="0.25">
      <c r="A1110" s="1">
        <v>45793</v>
      </c>
      <c r="B1110">
        <v>41.09</v>
      </c>
      <c r="C1110">
        <v>20077040</v>
      </c>
      <c r="D1110">
        <v>40.555</v>
      </c>
      <c r="E1110">
        <v>41.104999999999997</v>
      </c>
      <c r="F1110">
        <v>40.454999999999998</v>
      </c>
    </row>
    <row r="1111" spans="1:6" x14ac:dyDescent="0.25">
      <c r="A1111" s="1">
        <v>45796</v>
      </c>
      <c r="B1111">
        <v>41.265000000000001</v>
      </c>
      <c r="C1111">
        <v>16306454</v>
      </c>
      <c r="D1111">
        <v>40.744999999999997</v>
      </c>
      <c r="E1111">
        <v>41.282499999999999</v>
      </c>
      <c r="F1111">
        <v>40.734999999999999</v>
      </c>
    </row>
    <row r="1112" spans="1:6" x14ac:dyDescent="0.25">
      <c r="A1112" s="1">
        <v>45797</v>
      </c>
      <c r="B1112">
        <v>41.384999999999998</v>
      </c>
      <c r="C1112">
        <v>18075378</v>
      </c>
      <c r="D1112">
        <v>41.2</v>
      </c>
      <c r="E1112">
        <v>41.524999999999999</v>
      </c>
      <c r="F1112">
        <v>41.2</v>
      </c>
    </row>
    <row r="1113" spans="1:6" x14ac:dyDescent="0.25">
      <c r="A1113" s="1">
        <v>45798</v>
      </c>
      <c r="B1113">
        <v>40.630000000000003</v>
      </c>
      <c r="C1113">
        <v>22704840</v>
      </c>
      <c r="D1113">
        <v>41.25</v>
      </c>
      <c r="E1113">
        <v>41.327500000000001</v>
      </c>
      <c r="F1113">
        <v>40.549999999999997</v>
      </c>
    </row>
    <row r="1114" spans="1:6" x14ac:dyDescent="0.25">
      <c r="A1114" s="1">
        <v>45799</v>
      </c>
      <c r="B1114">
        <v>40.049999999999997</v>
      </c>
      <c r="C1114">
        <v>30637680</v>
      </c>
      <c r="D1114">
        <v>40.284999999999997</v>
      </c>
      <c r="E1114">
        <v>40.284999999999997</v>
      </c>
      <c r="F1114">
        <v>39.582500000000003</v>
      </c>
    </row>
    <row r="1115" spans="1:6" x14ac:dyDescent="0.25">
      <c r="A1115" s="1">
        <v>45800</v>
      </c>
      <c r="B1115">
        <v>40.53</v>
      </c>
      <c r="C1115">
        <v>21730800</v>
      </c>
      <c r="D1115">
        <v>40.32</v>
      </c>
      <c r="E1115">
        <v>40.564999999999998</v>
      </c>
      <c r="F1115">
        <v>39.85</v>
      </c>
    </row>
    <row r="1116" spans="1:6" x14ac:dyDescent="0.25">
      <c r="A1116" s="1">
        <v>45804</v>
      </c>
      <c r="B1116">
        <v>40.835000000000001</v>
      </c>
      <c r="C1116">
        <v>18494702</v>
      </c>
      <c r="D1116">
        <v>40.844999999999999</v>
      </c>
      <c r="E1116">
        <v>40.94</v>
      </c>
      <c r="F1116">
        <v>40.522500000000001</v>
      </c>
    </row>
    <row r="1117" spans="1:6" x14ac:dyDescent="0.25">
      <c r="A1117" s="1">
        <v>45805</v>
      </c>
      <c r="B1117">
        <v>40.265000000000001</v>
      </c>
      <c r="C1117">
        <v>20954600</v>
      </c>
      <c r="D1117">
        <v>40.81</v>
      </c>
      <c r="E1117">
        <v>40.83</v>
      </c>
      <c r="F1117">
        <v>40.090000000000003</v>
      </c>
    </row>
    <row r="1118" spans="1:6" x14ac:dyDescent="0.25">
      <c r="A1118" s="1">
        <v>45806</v>
      </c>
      <c r="B1118">
        <v>40.545000000000002</v>
      </c>
      <c r="C1118">
        <v>20868420</v>
      </c>
      <c r="D1118">
        <v>40.284999999999997</v>
      </c>
      <c r="E1118">
        <v>40.61</v>
      </c>
      <c r="F1118">
        <v>40.104999999999997</v>
      </c>
    </row>
    <row r="1119" spans="1:6" x14ac:dyDescent="0.25">
      <c r="A1119" s="1">
        <v>45807</v>
      </c>
      <c r="B1119">
        <v>40.96</v>
      </c>
      <c r="C1119">
        <v>20680500</v>
      </c>
      <c r="D1119">
        <v>40.465000000000003</v>
      </c>
      <c r="E1119">
        <v>41.03</v>
      </c>
      <c r="F1119">
        <v>40.39</v>
      </c>
    </row>
    <row r="1120" spans="1:6" x14ac:dyDescent="0.25">
      <c r="A1120" s="1">
        <v>45810</v>
      </c>
      <c r="B1120">
        <v>41.09</v>
      </c>
      <c r="C1120">
        <v>26799540</v>
      </c>
      <c r="D1120">
        <v>40.784999999999997</v>
      </c>
      <c r="E1120">
        <v>41.145000000000003</v>
      </c>
      <c r="F1120">
        <v>40.619999999999997</v>
      </c>
    </row>
    <row r="1121" spans="1:6" x14ac:dyDescent="0.25">
      <c r="A1121" s="1">
        <v>45811</v>
      </c>
      <c r="B1121">
        <v>41.2</v>
      </c>
      <c r="C1121">
        <v>28547980</v>
      </c>
      <c r="D1121">
        <v>41.585000000000001</v>
      </c>
      <c r="E1121">
        <v>41.585000000000001</v>
      </c>
      <c r="F1121">
        <v>40.869999999999997</v>
      </c>
    </row>
    <row r="1122" spans="1:6" x14ac:dyDescent="0.25">
      <c r="A1122" s="1">
        <v>45812</v>
      </c>
      <c r="B1122">
        <v>40.479999999999997</v>
      </c>
      <c r="C1122">
        <v>33002340</v>
      </c>
      <c r="D1122">
        <v>41.13</v>
      </c>
      <c r="E1122">
        <v>41.13</v>
      </c>
      <c r="F1122">
        <v>40.479999999999997</v>
      </c>
    </row>
    <row r="1123" spans="1:6" x14ac:dyDescent="0.25">
      <c r="A1123" s="1">
        <v>45813</v>
      </c>
      <c r="B1123">
        <v>40.414999999999999</v>
      </c>
      <c r="C1123">
        <v>21175060</v>
      </c>
      <c r="D1123">
        <v>40.594999999999999</v>
      </c>
      <c r="E1123">
        <v>40.594999999999999</v>
      </c>
      <c r="F1123">
        <v>40.332500000000003</v>
      </c>
    </row>
    <row r="1124" spans="1:6" x14ac:dyDescent="0.25">
      <c r="A1124" s="1">
        <v>45814</v>
      </c>
      <c r="B1124">
        <v>40.594999999999999</v>
      </c>
      <c r="C1124">
        <v>21267400</v>
      </c>
      <c r="D1124">
        <v>40.619999999999997</v>
      </c>
      <c r="E1124">
        <v>40.662500000000001</v>
      </c>
      <c r="F1124">
        <v>40.247500000000002</v>
      </c>
    </row>
    <row r="1125" spans="1:6" x14ac:dyDescent="0.25">
      <c r="A1125" s="1">
        <v>45817</v>
      </c>
      <c r="B1125">
        <v>40.335000000000001</v>
      </c>
      <c r="C1125">
        <v>24867260</v>
      </c>
      <c r="D1125">
        <v>40.524999999999999</v>
      </c>
      <c r="E1125">
        <v>40.677500000000002</v>
      </c>
      <c r="F1125">
        <v>40.267499999999998</v>
      </c>
    </row>
    <row r="1126" spans="1:6" x14ac:dyDescent="0.25">
      <c r="A1126" s="1">
        <v>45818</v>
      </c>
      <c r="B1126">
        <v>40.43</v>
      </c>
      <c r="C1126">
        <v>28052840</v>
      </c>
      <c r="D1126">
        <v>40.44</v>
      </c>
      <c r="E1126">
        <v>40.524999999999999</v>
      </c>
      <c r="F1126">
        <v>40.127499999999998</v>
      </c>
    </row>
    <row r="1127" spans="1:6" x14ac:dyDescent="0.25">
      <c r="A1127" s="1">
        <v>45819</v>
      </c>
      <c r="B1127">
        <v>40.454999999999998</v>
      </c>
      <c r="C1127">
        <v>21395040</v>
      </c>
      <c r="D1127">
        <v>40.549999999999997</v>
      </c>
      <c r="E1127">
        <v>40.605499999999999</v>
      </c>
      <c r="F1127">
        <v>40.322499999999998</v>
      </c>
    </row>
    <row r="1128" spans="1:6" x14ac:dyDescent="0.25">
      <c r="A1128" s="1">
        <v>45820</v>
      </c>
      <c r="B1128">
        <v>40.945</v>
      </c>
      <c r="C1128">
        <v>19569490</v>
      </c>
      <c r="D1128">
        <v>40.479999999999997</v>
      </c>
      <c r="E1128">
        <v>40.967500000000001</v>
      </c>
      <c r="F1128">
        <v>40.46</v>
      </c>
    </row>
    <row r="1129" spans="1:6" x14ac:dyDescent="0.25">
      <c r="A1129" s="1">
        <v>45821</v>
      </c>
      <c r="B1129">
        <v>40.71</v>
      </c>
      <c r="C1129">
        <v>25326120</v>
      </c>
      <c r="D1129">
        <v>40.884999999999998</v>
      </c>
      <c r="E1129">
        <v>40.954999999999998</v>
      </c>
      <c r="F1129">
        <v>40.590000000000003</v>
      </c>
    </row>
    <row r="1130" spans="1:6" x14ac:dyDescent="0.25">
      <c r="A1130" s="1">
        <v>45824</v>
      </c>
      <c r="B1130">
        <v>40.51</v>
      </c>
      <c r="C1130">
        <v>27266600</v>
      </c>
      <c r="D1130">
        <v>40.909999999999997</v>
      </c>
      <c r="E1130">
        <v>41.13</v>
      </c>
      <c r="F1130">
        <v>40.3125</v>
      </c>
    </row>
    <row r="1131" spans="1:6" x14ac:dyDescent="0.25">
      <c r="A1131" s="1">
        <v>45825</v>
      </c>
      <c r="B1131">
        <v>40.174999999999997</v>
      </c>
      <c r="C1131">
        <v>28336180</v>
      </c>
      <c r="D1131">
        <v>40.450000000000003</v>
      </c>
      <c r="E1131">
        <v>40.549999999999997</v>
      </c>
      <c r="F1131">
        <v>39.89</v>
      </c>
    </row>
    <row r="1132" spans="1:6" x14ac:dyDescent="0.25">
      <c r="A1132" s="1">
        <v>45826</v>
      </c>
      <c r="B1132">
        <v>40.28</v>
      </c>
      <c r="C1132">
        <v>22323940</v>
      </c>
      <c r="D1132">
        <v>40.270000000000003</v>
      </c>
      <c r="E1132">
        <v>40.479999999999997</v>
      </c>
      <c r="F1132">
        <v>40.07</v>
      </c>
    </row>
    <row r="1133" spans="1:6" x14ac:dyDescent="0.25">
      <c r="A1133" s="1">
        <v>45828</v>
      </c>
      <c r="B1133">
        <v>40.39</v>
      </c>
      <c r="C1133">
        <v>31688620</v>
      </c>
      <c r="D1133">
        <v>40.365000000000002</v>
      </c>
      <c r="E1133">
        <v>40.72</v>
      </c>
      <c r="F1133">
        <v>40.335000000000001</v>
      </c>
    </row>
    <row r="1134" spans="1:6" x14ac:dyDescent="0.25">
      <c r="A1134" s="1">
        <v>45831</v>
      </c>
      <c r="B1134">
        <v>40.619999999999997</v>
      </c>
      <c r="C1134">
        <v>25573040</v>
      </c>
      <c r="D1134">
        <v>40.32</v>
      </c>
      <c r="E1134">
        <v>40.685000000000002</v>
      </c>
      <c r="F1134">
        <v>40.234999999999999</v>
      </c>
    </row>
    <row r="1135" spans="1:6" x14ac:dyDescent="0.25">
      <c r="A1135" s="1">
        <v>45832</v>
      </c>
      <c r="B1135">
        <v>40.795000000000002</v>
      </c>
      <c r="C1135">
        <v>20390220</v>
      </c>
      <c r="D1135">
        <v>40.664999999999999</v>
      </c>
      <c r="E1135">
        <v>40.909999999999997</v>
      </c>
      <c r="F1135">
        <v>40.592500000000001</v>
      </c>
    </row>
    <row r="1136" spans="1:6" x14ac:dyDescent="0.25">
      <c r="A1136" s="1">
        <v>45833</v>
      </c>
      <c r="B1136">
        <v>40.25</v>
      </c>
      <c r="C1136">
        <v>26771840</v>
      </c>
      <c r="D1136">
        <v>40.700000000000003</v>
      </c>
      <c r="E1136">
        <v>40.700000000000003</v>
      </c>
      <c r="F1136">
        <v>40.174999999999997</v>
      </c>
    </row>
    <row r="1137" spans="1:6" x14ac:dyDescent="0.25">
      <c r="A1137" s="1">
        <v>45834</v>
      </c>
      <c r="B1137">
        <v>40.585000000000001</v>
      </c>
      <c r="C1137">
        <v>18746760</v>
      </c>
      <c r="D1137">
        <v>40.325000000000003</v>
      </c>
      <c r="E1137">
        <v>40.604999999999997</v>
      </c>
      <c r="F1137">
        <v>40.247500000000002</v>
      </c>
    </row>
    <row r="1138" spans="1:6" x14ac:dyDescent="0.25">
      <c r="A1138" s="1">
        <v>45835</v>
      </c>
      <c r="B1138">
        <v>40.664999999999999</v>
      </c>
      <c r="C1138">
        <v>25307720</v>
      </c>
      <c r="D1138">
        <v>40.69</v>
      </c>
      <c r="E1138">
        <v>40.994999999999997</v>
      </c>
      <c r="F1138">
        <v>40.54</v>
      </c>
    </row>
    <row r="1139" spans="1:6" x14ac:dyDescent="0.25">
      <c r="A1139" s="1">
        <v>45838</v>
      </c>
      <c r="B1139">
        <v>40.83</v>
      </c>
      <c r="C1139">
        <v>22018100</v>
      </c>
      <c r="D1139">
        <v>40.47</v>
      </c>
      <c r="E1139">
        <v>40.872500000000002</v>
      </c>
      <c r="F1139">
        <v>40.340000000000003</v>
      </c>
    </row>
    <row r="1140" spans="1:6" x14ac:dyDescent="0.25">
      <c r="A1140" s="1">
        <v>45839</v>
      </c>
      <c r="B1140">
        <v>40.97</v>
      </c>
      <c r="C1140">
        <v>39690920</v>
      </c>
      <c r="D1140">
        <v>40.814999999999998</v>
      </c>
      <c r="E1140">
        <v>41</v>
      </c>
      <c r="F1140">
        <v>40.340000000000003</v>
      </c>
    </row>
    <row r="1141" spans="1:6" x14ac:dyDescent="0.25">
      <c r="A1141" s="1">
        <v>45840</v>
      </c>
      <c r="B1141">
        <v>40.615000000000002</v>
      </c>
      <c r="C1141">
        <v>21891000</v>
      </c>
      <c r="D1141">
        <v>40.82</v>
      </c>
      <c r="E1141">
        <v>41.005000000000003</v>
      </c>
      <c r="F1141">
        <v>40.42</v>
      </c>
    </row>
    <row r="1142" spans="1:6" x14ac:dyDescent="0.25">
      <c r="A1142" s="1">
        <v>45841</v>
      </c>
      <c r="B1142">
        <v>40.92</v>
      </c>
      <c r="C1142">
        <v>14900122</v>
      </c>
      <c r="D1142">
        <v>40.634999999999998</v>
      </c>
      <c r="E1142">
        <v>41.085000000000001</v>
      </c>
      <c r="F1142">
        <v>40.564999999999998</v>
      </c>
    </row>
    <row r="1143" spans="1:6" x14ac:dyDescent="0.25">
      <c r="A1143" s="1">
        <v>45845</v>
      </c>
      <c r="B1143">
        <v>41.005000000000003</v>
      </c>
      <c r="C1143">
        <v>20215640</v>
      </c>
      <c r="D1143">
        <v>40.83</v>
      </c>
      <c r="E1143">
        <v>41.032499999999999</v>
      </c>
      <c r="F1143">
        <v>40.744999999999997</v>
      </c>
    </row>
    <row r="1144" spans="1:6" x14ac:dyDescent="0.25">
      <c r="A1144" s="1">
        <v>45846</v>
      </c>
      <c r="B1144">
        <v>40.57</v>
      </c>
      <c r="C1144">
        <v>44290120</v>
      </c>
      <c r="D1144">
        <v>40.72</v>
      </c>
      <c r="E1144">
        <v>40.72</v>
      </c>
      <c r="F1144">
        <v>40.172499999999999</v>
      </c>
    </row>
    <row r="1145" spans="1:6" x14ac:dyDescent="0.25">
      <c r="A1145" s="1">
        <v>45847</v>
      </c>
      <c r="B1145">
        <v>40.950000000000003</v>
      </c>
      <c r="C1145">
        <v>40231040</v>
      </c>
      <c r="D1145">
        <v>40.729999999999997</v>
      </c>
      <c r="E1145">
        <v>41.03</v>
      </c>
      <c r="F1145">
        <v>40.442500000000003</v>
      </c>
    </row>
    <row r="1146" spans="1:6" x14ac:dyDescent="0.25">
      <c r="A1146" s="1">
        <v>45848</v>
      </c>
      <c r="B1146">
        <v>41.284999999999997</v>
      </c>
      <c r="C1146">
        <v>29077440</v>
      </c>
      <c r="D1146">
        <v>40.81</v>
      </c>
      <c r="E1146">
        <v>41.362499999999997</v>
      </c>
      <c r="F1146">
        <v>40.685000000000002</v>
      </c>
    </row>
    <row r="1147" spans="1:6" x14ac:dyDescent="0.25">
      <c r="A1147" s="1">
        <v>45849</v>
      </c>
      <c r="B1147">
        <v>41.225000000000001</v>
      </c>
      <c r="C1147">
        <v>22199820</v>
      </c>
      <c r="D1147">
        <v>40.954999999999998</v>
      </c>
      <c r="E1147">
        <v>41.3825</v>
      </c>
      <c r="F1147">
        <v>40.840000000000003</v>
      </c>
    </row>
    <row r="1148" spans="1:6" x14ac:dyDescent="0.25">
      <c r="A1148" s="1">
        <v>45852</v>
      </c>
      <c r="B1148">
        <v>41.39</v>
      </c>
      <c r="C1148">
        <v>23883480</v>
      </c>
      <c r="D1148">
        <v>41.195</v>
      </c>
      <c r="E1148">
        <v>41.524999999999999</v>
      </c>
      <c r="F1148">
        <v>40.97</v>
      </c>
    </row>
    <row r="1149" spans="1:6" x14ac:dyDescent="0.25">
      <c r="A1149" s="1">
        <v>45853</v>
      </c>
      <c r="B1149">
        <v>40.994999999999997</v>
      </c>
      <c r="C1149">
        <v>26253000</v>
      </c>
      <c r="D1149">
        <v>41.384999999999998</v>
      </c>
      <c r="E1149">
        <v>41.384999999999998</v>
      </c>
      <c r="F1149">
        <v>40.787500000000001</v>
      </c>
    </row>
    <row r="1150" spans="1:6" x14ac:dyDescent="0.25">
      <c r="A1150" s="1">
        <v>45854</v>
      </c>
      <c r="B1150">
        <v>41.015000000000001</v>
      </c>
      <c r="C1150">
        <v>22625360</v>
      </c>
      <c r="D1150">
        <v>41.02</v>
      </c>
      <c r="E1150">
        <v>41.177500000000002</v>
      </c>
      <c r="F1150">
        <v>40.693199999999997</v>
      </c>
    </row>
    <row r="1151" spans="1:6" x14ac:dyDescent="0.25">
      <c r="A1151" s="1">
        <v>45855</v>
      </c>
      <c r="B1151">
        <v>41.185000000000002</v>
      </c>
      <c r="C1151">
        <v>19757382</v>
      </c>
      <c r="D1151">
        <v>40.99</v>
      </c>
      <c r="E1151">
        <v>41.307499999999997</v>
      </c>
      <c r="F1151">
        <v>40.922499999999999</v>
      </c>
    </row>
    <row r="1152" spans="1:6" x14ac:dyDescent="0.25">
      <c r="A1152" s="1">
        <v>45856</v>
      </c>
      <c r="B1152">
        <v>41.875</v>
      </c>
      <c r="C1152">
        <v>28627340</v>
      </c>
      <c r="D1152">
        <v>41.32</v>
      </c>
      <c r="E1152">
        <v>42.02</v>
      </c>
      <c r="F1152">
        <v>41.265000000000001</v>
      </c>
    </row>
    <row r="1153" spans="1:6" x14ac:dyDescent="0.25">
      <c r="A1153" s="1">
        <v>45859</v>
      </c>
      <c r="B1153">
        <v>42.01</v>
      </c>
      <c r="C1153">
        <v>19896072</v>
      </c>
      <c r="D1153">
        <v>41.98</v>
      </c>
      <c r="E1153">
        <v>42.265000000000001</v>
      </c>
      <c r="F1153">
        <v>41.842500000000001</v>
      </c>
    </row>
    <row r="1154" spans="1:6" x14ac:dyDescent="0.25">
      <c r="A1154" s="1">
        <v>45860</v>
      </c>
      <c r="B1154">
        <v>42.524999999999999</v>
      </c>
      <c r="C1154">
        <v>23518280</v>
      </c>
      <c r="D1154">
        <v>42.167499999999997</v>
      </c>
      <c r="E1154">
        <v>42.55</v>
      </c>
      <c r="F1154">
        <v>42.055</v>
      </c>
    </row>
    <row r="1155" spans="1:6" x14ac:dyDescent="0.25">
      <c r="A1155" s="1">
        <v>45861</v>
      </c>
      <c r="B1155">
        <v>42.204999999999998</v>
      </c>
      <c r="C1155">
        <v>40333020</v>
      </c>
      <c r="D1155">
        <v>42.905000000000001</v>
      </c>
      <c r="E1155">
        <v>43.01</v>
      </c>
      <c r="F1155">
        <v>42.032499999999999</v>
      </c>
    </row>
    <row r="1156" spans="1:6" x14ac:dyDescent="0.25">
      <c r="A1156" s="1">
        <v>45862</v>
      </c>
      <c r="B1156">
        <v>42.15</v>
      </c>
      <c r="C1156">
        <v>22138140</v>
      </c>
      <c r="D1156">
        <v>42.26</v>
      </c>
      <c r="E1156">
        <v>42.347499999999997</v>
      </c>
      <c r="F1156">
        <v>42.04</v>
      </c>
    </row>
    <row r="1157" spans="1:6" x14ac:dyDescent="0.25">
      <c r="A1157" s="1">
        <v>45863</v>
      </c>
      <c r="B1157">
        <v>42.26</v>
      </c>
      <c r="C1157">
        <v>16320480</v>
      </c>
      <c r="D1157">
        <v>42.215000000000003</v>
      </c>
      <c r="E1157">
        <v>42.302500000000002</v>
      </c>
      <c r="F1157">
        <v>42.055</v>
      </c>
    </row>
    <row r="1158" spans="1:6" x14ac:dyDescent="0.25">
      <c r="A1158" s="1">
        <v>45866</v>
      </c>
      <c r="B1158">
        <v>41.81</v>
      </c>
      <c r="C1158">
        <v>22413500</v>
      </c>
      <c r="D1158">
        <v>42.255000000000003</v>
      </c>
      <c r="E1158">
        <v>42.265000000000001</v>
      </c>
      <c r="F1158">
        <v>41.702500000000001</v>
      </c>
    </row>
    <row r="1159" spans="1:6" x14ac:dyDescent="0.25">
      <c r="A1159" s="1">
        <v>45867</v>
      </c>
      <c r="B1159">
        <v>42.29</v>
      </c>
      <c r="C1159">
        <v>18396130</v>
      </c>
      <c r="D1159">
        <v>41.97</v>
      </c>
      <c r="E1159">
        <v>42.314999999999998</v>
      </c>
      <c r="F1159">
        <v>41.88</v>
      </c>
    </row>
    <row r="1160" spans="1:6" x14ac:dyDescent="0.25">
      <c r="A1160" s="1">
        <v>45868</v>
      </c>
      <c r="B1160">
        <v>42.604999999999997</v>
      </c>
      <c r="C1160">
        <v>27425000</v>
      </c>
      <c r="D1160">
        <v>42.414999999999999</v>
      </c>
      <c r="E1160">
        <v>42.984999999999999</v>
      </c>
      <c r="F1160">
        <v>42.375</v>
      </c>
    </row>
    <row r="1161" spans="1:6" x14ac:dyDescent="0.25">
      <c r="A1161" s="1">
        <v>45869</v>
      </c>
      <c r="B1161">
        <v>42.835000000000001</v>
      </c>
      <c r="C1161">
        <v>30179520</v>
      </c>
      <c r="D1161">
        <v>42.475000000000001</v>
      </c>
      <c r="E1161">
        <v>42.9</v>
      </c>
      <c r="F1161">
        <v>42.44</v>
      </c>
    </row>
    <row r="1162" spans="1:6" x14ac:dyDescent="0.25">
      <c r="A1162" s="1">
        <v>45870</v>
      </c>
      <c r="B1162">
        <v>42.9</v>
      </c>
      <c r="C1162">
        <v>35852060</v>
      </c>
      <c r="D1162">
        <v>42.784999999999997</v>
      </c>
      <c r="E1162">
        <v>43.13</v>
      </c>
      <c r="F1162">
        <v>42.454999999999998</v>
      </c>
    </row>
    <row r="1163" spans="1:6" x14ac:dyDescent="0.25">
      <c r="A1163" s="1">
        <v>45873</v>
      </c>
      <c r="B1163">
        <v>43.66</v>
      </c>
      <c r="C1163">
        <v>25730760</v>
      </c>
      <c r="D1163">
        <v>43.11</v>
      </c>
      <c r="E1163">
        <v>43.78</v>
      </c>
      <c r="F1163">
        <v>43.02</v>
      </c>
    </row>
    <row r="1164" spans="1:6" x14ac:dyDescent="0.25">
      <c r="A1164" s="1">
        <v>45874</v>
      </c>
      <c r="B1164">
        <v>43.195</v>
      </c>
      <c r="C1164">
        <v>21454480</v>
      </c>
      <c r="D1164">
        <v>43.674999999999997</v>
      </c>
      <c r="E1164">
        <v>43.832500000000003</v>
      </c>
      <c r="F1164">
        <v>43.064999999999998</v>
      </c>
    </row>
    <row r="1165" spans="1:6" x14ac:dyDescent="0.25">
      <c r="A1165" s="1">
        <v>45875</v>
      </c>
      <c r="B1165">
        <v>42.81</v>
      </c>
      <c r="C1165">
        <v>23020620</v>
      </c>
      <c r="D1165">
        <v>43.26</v>
      </c>
      <c r="E1165">
        <v>43.272500000000001</v>
      </c>
      <c r="F1165">
        <v>42.772500000000001</v>
      </c>
    </row>
    <row r="1166" spans="1:6" x14ac:dyDescent="0.25">
      <c r="A1166" s="1">
        <v>45876</v>
      </c>
      <c r="B1166">
        <v>43.274999999999999</v>
      </c>
      <c r="C1166">
        <v>25702720</v>
      </c>
      <c r="D1166">
        <v>42.67</v>
      </c>
      <c r="E1166">
        <v>43.395000000000003</v>
      </c>
      <c r="F1166">
        <v>42.59</v>
      </c>
    </row>
    <row r="1167" spans="1:6" x14ac:dyDescent="0.25">
      <c r="A1167" s="1">
        <v>45877</v>
      </c>
      <c r="B1167">
        <v>43.09</v>
      </c>
      <c r="C1167">
        <v>18445194</v>
      </c>
      <c r="D1167">
        <v>43.395000000000003</v>
      </c>
      <c r="E1167">
        <v>43.472499999999997</v>
      </c>
      <c r="F1167">
        <v>42.984999999999999</v>
      </c>
    </row>
    <row r="1168" spans="1:6" x14ac:dyDescent="0.25">
      <c r="A1168" s="1">
        <v>45880</v>
      </c>
      <c r="B1168">
        <v>42.954999999999998</v>
      </c>
      <c r="C1168">
        <v>19548908</v>
      </c>
      <c r="D1168">
        <v>43.2</v>
      </c>
      <c r="E1168">
        <v>43.231299999999997</v>
      </c>
      <c r="F1168">
        <v>42.744999999999997</v>
      </c>
    </row>
    <row r="1169" spans="1:6" x14ac:dyDescent="0.25">
      <c r="A1169" s="1">
        <v>45881</v>
      </c>
      <c r="B1169">
        <v>43.14</v>
      </c>
      <c r="C1169">
        <v>20757020</v>
      </c>
      <c r="D1169">
        <v>43.094999999999999</v>
      </c>
      <c r="E1169">
        <v>43.15</v>
      </c>
      <c r="F1169">
        <v>42.756700000000002</v>
      </c>
    </row>
    <row r="1170" spans="1:6" x14ac:dyDescent="0.25">
      <c r="A1170" s="1">
        <v>45882</v>
      </c>
      <c r="B1170">
        <v>43.234999999999999</v>
      </c>
      <c r="C1170">
        <v>22425980</v>
      </c>
      <c r="D1170">
        <v>43.2</v>
      </c>
      <c r="E1170">
        <v>43.265000000000001</v>
      </c>
      <c r="F1170">
        <v>42.835000000000001</v>
      </c>
    </row>
    <row r="1171" spans="1:6" x14ac:dyDescent="0.25">
      <c r="A1171" s="1">
        <v>45883</v>
      </c>
      <c r="B1171">
        <v>42.935000000000002</v>
      </c>
      <c r="C1171">
        <v>18747826</v>
      </c>
      <c r="D1171">
        <v>43.075000000000003</v>
      </c>
      <c r="E1171">
        <v>43.204999999999998</v>
      </c>
      <c r="F1171">
        <v>42.89</v>
      </c>
    </row>
    <row r="1172" spans="1:6" x14ac:dyDescent="0.25">
      <c r="A1172" s="1">
        <v>45884</v>
      </c>
      <c r="B1172">
        <v>42.81</v>
      </c>
      <c r="C1172">
        <v>29577140</v>
      </c>
      <c r="D1172">
        <v>42.87</v>
      </c>
      <c r="E1172">
        <v>43.045000000000002</v>
      </c>
      <c r="F1172">
        <v>42.545000000000002</v>
      </c>
    </row>
    <row r="1173" spans="1:6" x14ac:dyDescent="0.25">
      <c r="A1173" s="1">
        <v>45887</v>
      </c>
      <c r="B1173">
        <v>42.625</v>
      </c>
      <c r="C1173">
        <v>16080328</v>
      </c>
      <c r="D1173">
        <v>42.875</v>
      </c>
      <c r="E1173">
        <v>43.034999999999997</v>
      </c>
      <c r="F1173">
        <v>42.564999999999998</v>
      </c>
    </row>
    <row r="1174" spans="1:6" x14ac:dyDescent="0.25">
      <c r="A1174" s="1">
        <v>45888</v>
      </c>
      <c r="B1174">
        <v>43.04</v>
      </c>
      <c r="C1174">
        <v>16436756</v>
      </c>
      <c r="D1174">
        <v>42.64</v>
      </c>
      <c r="E1174">
        <v>43.057499999999997</v>
      </c>
      <c r="F1174">
        <v>42.564999999999998</v>
      </c>
    </row>
    <row r="1175" spans="1:6" x14ac:dyDescent="0.25">
      <c r="A1175" s="1">
        <v>45889</v>
      </c>
      <c r="B1175">
        <v>43.085000000000001</v>
      </c>
      <c r="C1175">
        <v>20169300</v>
      </c>
      <c r="D1175">
        <v>43.11</v>
      </c>
      <c r="E1175">
        <v>43.36</v>
      </c>
      <c r="F1175">
        <v>42.929900000000004</v>
      </c>
    </row>
    <row r="1176" spans="1:6" x14ac:dyDescent="0.25">
      <c r="A1176" s="1">
        <v>45890</v>
      </c>
      <c r="B1176">
        <v>42.79</v>
      </c>
      <c r="C1176">
        <v>16230212</v>
      </c>
      <c r="D1176">
        <v>43.09</v>
      </c>
      <c r="E1176">
        <v>43.31</v>
      </c>
      <c r="F1176">
        <v>42.667499999999997</v>
      </c>
    </row>
    <row r="1177" spans="1:6" x14ac:dyDescent="0.25">
      <c r="A1177" s="1">
        <v>45891</v>
      </c>
      <c r="B1177">
        <v>43.02</v>
      </c>
      <c r="C1177">
        <v>19234768</v>
      </c>
      <c r="D1177">
        <v>43.085000000000001</v>
      </c>
      <c r="E1177">
        <v>43.27</v>
      </c>
      <c r="F1177">
        <v>42.892499999999998</v>
      </c>
    </row>
    <row r="1178" spans="1:6" x14ac:dyDescent="0.25">
      <c r="A1178" s="1">
        <v>45894</v>
      </c>
      <c r="B1178">
        <v>42.534999999999997</v>
      </c>
      <c r="C1178">
        <v>16982452</v>
      </c>
      <c r="D1178">
        <v>42.875</v>
      </c>
      <c r="E1178">
        <v>43</v>
      </c>
      <c r="F1178">
        <v>42.49</v>
      </c>
    </row>
    <row r="1179" spans="1:6" x14ac:dyDescent="0.25">
      <c r="A1179" s="1">
        <v>45895</v>
      </c>
      <c r="B1179">
        <v>42.63</v>
      </c>
      <c r="C1179">
        <v>17262924</v>
      </c>
      <c r="D1179">
        <v>42.575000000000003</v>
      </c>
      <c r="E1179">
        <v>42.722499999999997</v>
      </c>
      <c r="F1179">
        <v>42.377499999999998</v>
      </c>
    </row>
    <row r="1180" spans="1:6" x14ac:dyDescent="0.25">
      <c r="A1180" s="1">
        <v>45896</v>
      </c>
      <c r="B1180">
        <v>42.64</v>
      </c>
      <c r="C1180">
        <v>16821454</v>
      </c>
      <c r="D1180">
        <v>42.63</v>
      </c>
      <c r="E1180">
        <v>42.74</v>
      </c>
      <c r="F1180">
        <v>42.5075</v>
      </c>
    </row>
    <row r="1181" spans="1:6" x14ac:dyDescent="0.25">
      <c r="A1181" s="1">
        <v>45897</v>
      </c>
      <c r="B1181">
        <v>42.314999999999998</v>
      </c>
      <c r="C1181">
        <v>16078810</v>
      </c>
      <c r="D1181">
        <v>42.67</v>
      </c>
      <c r="E1181">
        <v>42.685000000000002</v>
      </c>
      <c r="F1181">
        <v>42.25</v>
      </c>
    </row>
    <row r="1182" spans="1:6" x14ac:dyDescent="0.25">
      <c r="A1182" s="1">
        <v>45898</v>
      </c>
      <c r="B1182">
        <v>42.16</v>
      </c>
      <c r="C1182">
        <v>19469376</v>
      </c>
      <c r="D1182">
        <v>42.29</v>
      </c>
      <c r="E1182">
        <v>42.38</v>
      </c>
      <c r="F1182">
        <v>42.092500000000001</v>
      </c>
    </row>
    <row r="1183" spans="1:6" x14ac:dyDescent="0.25">
      <c r="A1183" s="1">
        <v>45902</v>
      </c>
      <c r="B1183">
        <v>42.02</v>
      </c>
      <c r="C1183">
        <v>20655820</v>
      </c>
      <c r="D1183">
        <v>42</v>
      </c>
      <c r="E1183">
        <v>42.07</v>
      </c>
      <c r="F1183">
        <v>41.755000000000003</v>
      </c>
    </row>
    <row r="1184" spans="1:6" x14ac:dyDescent="0.25">
      <c r="A1184" s="1">
        <v>45903</v>
      </c>
      <c r="B1184">
        <v>41.914999999999999</v>
      </c>
      <c r="C1184">
        <v>17267918</v>
      </c>
      <c r="D1184">
        <v>41.875</v>
      </c>
      <c r="E1184">
        <v>41.994999999999997</v>
      </c>
      <c r="F1184">
        <v>41.69</v>
      </c>
    </row>
    <row r="1185" spans="1:6" x14ac:dyDescent="0.25">
      <c r="A1185" s="1">
        <v>45904</v>
      </c>
      <c r="B1185">
        <v>41.865000000000002</v>
      </c>
      <c r="C1185">
        <v>22362120</v>
      </c>
      <c r="D1185">
        <v>42.21</v>
      </c>
      <c r="E1185">
        <v>42.32</v>
      </c>
      <c r="F1185">
        <v>41.642499999999998</v>
      </c>
    </row>
    <row r="1186" spans="1:6" x14ac:dyDescent="0.25">
      <c r="A1186" s="1">
        <v>45905</v>
      </c>
      <c r="B1186">
        <v>41.734999999999999</v>
      </c>
      <c r="C1186">
        <v>27006800</v>
      </c>
      <c r="D1186">
        <v>41.975000000000001</v>
      </c>
      <c r="E1186">
        <v>42.072499999999998</v>
      </c>
      <c r="F1186">
        <v>41.405000000000001</v>
      </c>
    </row>
    <row r="1187" spans="1:6" x14ac:dyDescent="0.25">
      <c r="A1187" s="1">
        <v>45908</v>
      </c>
      <c r="B1187">
        <v>41.31</v>
      </c>
      <c r="C1187">
        <v>28470220</v>
      </c>
      <c r="D1187">
        <v>41.76</v>
      </c>
      <c r="E1187">
        <v>41.78</v>
      </c>
      <c r="F1187">
        <v>41.15</v>
      </c>
    </row>
    <row r="1188" spans="1:6" x14ac:dyDescent="0.25">
      <c r="A1188" s="1">
        <v>45909</v>
      </c>
      <c r="B1188">
        <v>41.594999999999999</v>
      </c>
      <c r="C1188">
        <v>25741440</v>
      </c>
      <c r="D1188">
        <v>41.3</v>
      </c>
      <c r="E1188">
        <v>41.732500000000002</v>
      </c>
      <c r="F1188">
        <v>41.222499999999997</v>
      </c>
    </row>
    <row r="1189" spans="1:6" x14ac:dyDescent="0.25">
      <c r="A1189" s="1">
        <v>45910</v>
      </c>
      <c r="B1189">
        <v>42.31</v>
      </c>
      <c r="C1189">
        <v>32168800</v>
      </c>
      <c r="D1189">
        <v>41.744999999999997</v>
      </c>
      <c r="E1189">
        <v>42.377499999999998</v>
      </c>
      <c r="F1189">
        <v>41.744500000000002</v>
      </c>
    </row>
    <row r="1190" spans="1:6" x14ac:dyDescent="0.25">
      <c r="A1190" s="1">
        <v>45911</v>
      </c>
      <c r="B1190">
        <v>42.534999999999997</v>
      </c>
      <c r="C1190">
        <v>24265220</v>
      </c>
      <c r="D1190">
        <v>42.255000000000003</v>
      </c>
      <c r="E1190">
        <v>42.564999999999998</v>
      </c>
      <c r="F1190">
        <v>42.195</v>
      </c>
    </row>
    <row r="1191" spans="1:6" x14ac:dyDescent="0.25">
      <c r="A1191" s="1">
        <v>45912</v>
      </c>
      <c r="B1191">
        <v>42.75</v>
      </c>
      <c r="C1191">
        <v>18727096</v>
      </c>
      <c r="D1191">
        <v>42.414999999999999</v>
      </c>
      <c r="E1191">
        <v>42.875</v>
      </c>
      <c r="F1191">
        <v>42.34</v>
      </c>
    </row>
    <row r="1192" spans="1:6" x14ac:dyDescent="0.25">
      <c r="A1192" s="1">
        <v>45915</v>
      </c>
      <c r="B1192">
        <v>42.85</v>
      </c>
      <c r="C1192">
        <v>22819160</v>
      </c>
      <c r="D1192">
        <v>42.755000000000003</v>
      </c>
      <c r="E1192">
        <v>43.05</v>
      </c>
      <c r="F1192">
        <v>42.752499999999998</v>
      </c>
    </row>
    <row r="1193" spans="1:6" x14ac:dyDescent="0.25">
      <c r="A1193" s="1">
        <v>45916</v>
      </c>
      <c r="B1193">
        <v>42.07</v>
      </c>
      <c r="C1193">
        <v>21652720</v>
      </c>
      <c r="D1193">
        <v>42.774999999999999</v>
      </c>
      <c r="E1193">
        <v>42.79</v>
      </c>
      <c r="F1193">
        <v>42.05</v>
      </c>
    </row>
    <row r="1194" spans="1:6" x14ac:dyDescent="0.25">
      <c r="A1194" s="1">
        <v>45917</v>
      </c>
      <c r="B1194">
        <v>42.174999999999997</v>
      </c>
      <c r="C1194">
        <v>20168260</v>
      </c>
      <c r="D1194">
        <v>42.344999999999999</v>
      </c>
      <c r="E1194">
        <v>42.532499999999999</v>
      </c>
      <c r="F1194">
        <v>42.087499999999999</v>
      </c>
    </row>
    <row r="1195" spans="1:6" x14ac:dyDescent="0.25">
      <c r="A1195" s="1">
        <v>45918</v>
      </c>
      <c r="B1195">
        <v>42.204999999999998</v>
      </c>
      <c r="C1195">
        <v>25303240</v>
      </c>
      <c r="D1195">
        <v>42.1</v>
      </c>
      <c r="E1195">
        <v>42.475000000000001</v>
      </c>
      <c r="F1195">
        <v>41.91</v>
      </c>
    </row>
    <row r="1196" spans="1:6" x14ac:dyDescent="0.25">
      <c r="A1196" s="1">
        <v>45919</v>
      </c>
      <c r="B1196">
        <v>42.475000000000001</v>
      </c>
      <c r="C1196">
        <v>20974820</v>
      </c>
      <c r="D1196">
        <v>42.31</v>
      </c>
      <c r="E1196">
        <v>42.645000000000003</v>
      </c>
      <c r="F1196">
        <v>42.085000000000001</v>
      </c>
    </row>
    <row r="1197" spans="1:6" x14ac:dyDescent="0.25">
      <c r="A1197" s="1">
        <v>45922</v>
      </c>
      <c r="B1197">
        <v>42.6</v>
      </c>
      <c r="C1197">
        <v>19476938</v>
      </c>
      <c r="D1197">
        <v>42.21</v>
      </c>
      <c r="E1197">
        <v>42.692500000000003</v>
      </c>
      <c r="F1197">
        <v>42.11</v>
      </c>
    </row>
    <row r="1198" spans="1:6" x14ac:dyDescent="0.25">
      <c r="A1198" s="1">
        <v>45923</v>
      </c>
      <c r="B1198">
        <v>42.82</v>
      </c>
      <c r="C1198">
        <v>17900654</v>
      </c>
      <c r="D1198">
        <v>42.534999999999997</v>
      </c>
      <c r="E1198">
        <v>42.887500000000003</v>
      </c>
      <c r="F1198">
        <v>42.454999999999998</v>
      </c>
    </row>
    <row r="1199" spans="1:6" x14ac:dyDescent="0.25">
      <c r="A1199" s="1">
        <v>45924</v>
      </c>
      <c r="B1199">
        <v>43.125</v>
      </c>
      <c r="C1199">
        <v>17317612</v>
      </c>
      <c r="D1199">
        <v>42.9</v>
      </c>
      <c r="E1199">
        <v>43.2</v>
      </c>
      <c r="F1199">
        <v>42.774999999999999</v>
      </c>
    </row>
    <row r="1200" spans="1:6" x14ac:dyDescent="0.25">
      <c r="A1200" s="1">
        <v>45925</v>
      </c>
      <c r="B1200">
        <v>42.71</v>
      </c>
      <c r="C1200">
        <v>18689980</v>
      </c>
      <c r="D1200">
        <v>43.085000000000001</v>
      </c>
      <c r="E1200">
        <v>43.174999999999997</v>
      </c>
      <c r="F1200">
        <v>42.707500000000003</v>
      </c>
    </row>
    <row r="1201" spans="1:6" x14ac:dyDescent="0.25">
      <c r="A1201" s="1">
        <v>45926</v>
      </c>
      <c r="B1201">
        <v>43.405000000000001</v>
      </c>
      <c r="C1201">
        <v>16234438</v>
      </c>
      <c r="D1201">
        <v>42.854999999999997</v>
      </c>
      <c r="E1201">
        <v>43.417499999999997</v>
      </c>
      <c r="F1201">
        <v>42.814999999999998</v>
      </c>
    </row>
    <row r="1202" spans="1:6" x14ac:dyDescent="0.25">
      <c r="A1202" s="1">
        <v>45929</v>
      </c>
      <c r="B1202">
        <v>43.53</v>
      </c>
      <c r="C1202">
        <v>17130776</v>
      </c>
      <c r="D1202">
        <v>43.384999999999998</v>
      </c>
      <c r="E1202">
        <v>43.6</v>
      </c>
      <c r="F1202">
        <v>43.08</v>
      </c>
    </row>
    <row r="1203" spans="1:6" x14ac:dyDescent="0.25">
      <c r="A1203" s="1">
        <v>45930</v>
      </c>
      <c r="B1203">
        <v>43.604999999999997</v>
      </c>
      <c r="C1203">
        <v>21959960</v>
      </c>
      <c r="D1203">
        <v>43.582500000000003</v>
      </c>
      <c r="E1203">
        <v>43.772500000000001</v>
      </c>
      <c r="F1203">
        <v>43.292499999999997</v>
      </c>
    </row>
    <row r="1204" spans="1:6" x14ac:dyDescent="0.25">
      <c r="A1204" s="1">
        <v>45931</v>
      </c>
      <c r="B1204">
        <v>44.024999999999999</v>
      </c>
      <c r="C1204">
        <v>29195460</v>
      </c>
      <c r="D1204">
        <v>43.69</v>
      </c>
      <c r="E1204">
        <v>44.12</v>
      </c>
      <c r="F1204">
        <v>43.634999999999998</v>
      </c>
    </row>
    <row r="1205" spans="1:6" x14ac:dyDescent="0.25">
      <c r="A1205" s="1">
        <v>45932</v>
      </c>
      <c r="B1205">
        <v>43.945</v>
      </c>
      <c r="C1205">
        <v>22649200</v>
      </c>
      <c r="D1205">
        <v>43.91</v>
      </c>
      <c r="E1205">
        <v>43.96</v>
      </c>
      <c r="F1205">
        <v>43.62</v>
      </c>
    </row>
    <row r="1206" spans="1:6" x14ac:dyDescent="0.25">
      <c r="A1206" s="1">
        <v>45933</v>
      </c>
      <c r="B1206">
        <v>44.454999999999998</v>
      </c>
      <c r="C1206">
        <v>25133860</v>
      </c>
      <c r="D1206">
        <v>44.08</v>
      </c>
      <c r="E1206">
        <v>44.865000000000002</v>
      </c>
      <c r="F1206">
        <v>44.045000000000002</v>
      </c>
    </row>
    <row r="1207" spans="1:6" x14ac:dyDescent="0.25">
      <c r="A1207" s="1">
        <v>45936</v>
      </c>
      <c r="B1207">
        <v>44.884999999999998</v>
      </c>
      <c r="C1207">
        <v>20024220</v>
      </c>
      <c r="D1207">
        <v>44.715000000000003</v>
      </c>
      <c r="E1207">
        <v>44.935000000000002</v>
      </c>
      <c r="F1207">
        <v>44.41</v>
      </c>
    </row>
    <row r="1208" spans="1:6" x14ac:dyDescent="0.25">
      <c r="A1208" s="1">
        <v>45937</v>
      </c>
      <c r="B1208">
        <v>45.09</v>
      </c>
      <c r="C1208">
        <v>32901840</v>
      </c>
      <c r="D1208">
        <v>45.07</v>
      </c>
      <c r="E1208">
        <v>45.284999999999997</v>
      </c>
      <c r="F1208">
        <v>44.95</v>
      </c>
    </row>
    <row r="1209" spans="1:6" x14ac:dyDescent="0.25">
      <c r="A1209" s="1">
        <v>45938</v>
      </c>
      <c r="B1209">
        <v>45.4</v>
      </c>
      <c r="C1209">
        <v>19791128</v>
      </c>
      <c r="D1209">
        <v>45.41</v>
      </c>
      <c r="E1209">
        <v>45.465000000000003</v>
      </c>
      <c r="F1209">
        <v>45.0625</v>
      </c>
    </row>
    <row r="1210" spans="1:6" x14ac:dyDescent="0.25">
      <c r="A1210" s="1">
        <v>45939</v>
      </c>
      <c r="B1210">
        <v>45.284999999999997</v>
      </c>
      <c r="C1210">
        <v>21557460</v>
      </c>
      <c r="D1210">
        <v>45.55</v>
      </c>
      <c r="E1210">
        <v>45.685000000000002</v>
      </c>
      <c r="F1210">
        <v>45.195</v>
      </c>
    </row>
    <row r="1211" spans="1:6" x14ac:dyDescent="0.25">
      <c r="A1211" s="1">
        <v>45940</v>
      </c>
      <c r="B1211">
        <v>45.1</v>
      </c>
      <c r="C1211">
        <v>23183820</v>
      </c>
      <c r="D1211">
        <v>45.435000000000002</v>
      </c>
      <c r="E1211">
        <v>45.685000000000002</v>
      </c>
      <c r="F1211">
        <v>45.05</v>
      </c>
    </row>
    <row r="1212" spans="1:6" x14ac:dyDescent="0.25">
      <c r="A1212" s="1">
        <v>45943</v>
      </c>
      <c r="B1212">
        <v>45.445</v>
      </c>
      <c r="C1212">
        <v>18760534</v>
      </c>
      <c r="D1212">
        <v>45.13</v>
      </c>
      <c r="E1212">
        <v>45.655000000000001</v>
      </c>
      <c r="F1212">
        <v>45.11</v>
      </c>
    </row>
    <row r="1213" spans="1:6" x14ac:dyDescent="0.25">
      <c r="A1213" s="1">
        <v>45944</v>
      </c>
      <c r="B1213">
        <v>45.85</v>
      </c>
      <c r="C1213">
        <v>17572126</v>
      </c>
      <c r="D1213">
        <v>45.365000000000002</v>
      </c>
      <c r="E1213">
        <v>45.999899999999997</v>
      </c>
      <c r="F1213">
        <v>45.29</v>
      </c>
    </row>
    <row r="1214" spans="1:6" x14ac:dyDescent="0.25">
      <c r="A1214" s="1">
        <v>45945</v>
      </c>
      <c r="B1214">
        <v>46.45</v>
      </c>
      <c r="C1214">
        <v>19087588</v>
      </c>
      <c r="D1214">
        <v>46.055</v>
      </c>
      <c r="E1214">
        <v>46.59</v>
      </c>
      <c r="F1214">
        <v>46.055</v>
      </c>
    </row>
    <row r="1215" spans="1:6" x14ac:dyDescent="0.25">
      <c r="A1215" s="1">
        <v>45946</v>
      </c>
      <c r="B1215">
        <v>45.945</v>
      </c>
      <c r="C1215">
        <v>29118920</v>
      </c>
      <c r="D1215">
        <v>46.59</v>
      </c>
      <c r="E1215">
        <v>46.884999999999998</v>
      </c>
      <c r="F1215">
        <v>45.935000000000002</v>
      </c>
    </row>
    <row r="1216" spans="1:6" x14ac:dyDescent="0.25">
      <c r="A1216" s="1">
        <v>45947</v>
      </c>
      <c r="B1216">
        <v>45.784999999999997</v>
      </c>
      <c r="C1216">
        <v>21825880</v>
      </c>
      <c r="D1216">
        <v>46.03</v>
      </c>
      <c r="E1216">
        <v>46.094999999999999</v>
      </c>
      <c r="F1216">
        <v>45.59</v>
      </c>
    </row>
    <row r="1217" spans="1:6" x14ac:dyDescent="0.25">
      <c r="A1217" s="1">
        <v>45950</v>
      </c>
      <c r="B1217">
        <v>45.77</v>
      </c>
      <c r="C1217">
        <v>25420820</v>
      </c>
      <c r="D1217">
        <v>46.134999999999998</v>
      </c>
      <c r="E1217">
        <v>46.244999999999997</v>
      </c>
      <c r="F1217">
        <v>45.594999999999999</v>
      </c>
    </row>
    <row r="1218" spans="1:6" x14ac:dyDescent="0.25">
      <c r="A1218" s="1">
        <v>45951</v>
      </c>
      <c r="B1218">
        <v>45.305</v>
      </c>
      <c r="C1218">
        <v>22107880</v>
      </c>
      <c r="D1218">
        <v>45.814999999999998</v>
      </c>
      <c r="E1218">
        <v>45.87</v>
      </c>
      <c r="F1218">
        <v>45.085000000000001</v>
      </c>
    </row>
    <row r="1219" spans="1:6" x14ac:dyDescent="0.25">
      <c r="A1219" s="1">
        <v>45952</v>
      </c>
      <c r="B1219">
        <v>45.2</v>
      </c>
      <c r="C1219">
        <v>19109164</v>
      </c>
      <c r="D1219">
        <v>45.405000000000001</v>
      </c>
      <c r="E1219">
        <v>45.43</v>
      </c>
      <c r="F1219">
        <v>44.986199999999997</v>
      </c>
    </row>
    <row r="1220" spans="1:6" x14ac:dyDescent="0.25">
      <c r="A1220" s="1">
        <v>45953</v>
      </c>
      <c r="B1220">
        <v>45.164999999999999</v>
      </c>
      <c r="C1220">
        <v>16134056</v>
      </c>
      <c r="D1220">
        <v>45.494999999999997</v>
      </c>
      <c r="E1220">
        <v>45.52</v>
      </c>
      <c r="F1220">
        <v>44.914999999999999</v>
      </c>
    </row>
    <row r="1221" spans="1:6" x14ac:dyDescent="0.25">
      <c r="A1221" s="1">
        <v>45954</v>
      </c>
      <c r="B1221">
        <v>45.695</v>
      </c>
      <c r="C1221">
        <v>21737520</v>
      </c>
      <c r="D1221">
        <v>45.424999999999997</v>
      </c>
      <c r="E1221">
        <v>45.92</v>
      </c>
      <c r="F1221">
        <v>45.38</v>
      </c>
    </row>
    <row r="1222" spans="1:6" x14ac:dyDescent="0.25">
      <c r="A1222" s="1">
        <v>45957</v>
      </c>
      <c r="B1222">
        <v>45.82</v>
      </c>
      <c r="C1222">
        <v>16042784</v>
      </c>
      <c r="D1222">
        <v>45.695</v>
      </c>
      <c r="E1222">
        <v>45.862499999999997</v>
      </c>
      <c r="F1222">
        <v>45.2575</v>
      </c>
    </row>
    <row r="1223" spans="1:6" x14ac:dyDescent="0.25">
      <c r="A1223" s="1">
        <v>45958</v>
      </c>
      <c r="B1223">
        <v>45.064999999999998</v>
      </c>
      <c r="C1223">
        <v>20661480</v>
      </c>
      <c r="D1223">
        <v>45.984999999999999</v>
      </c>
      <c r="E1223">
        <v>45.984999999999999</v>
      </c>
      <c r="F1223">
        <v>45.01</v>
      </c>
    </row>
    <row r="1224" spans="1:6" x14ac:dyDescent="0.25">
      <c r="A1224" s="1">
        <v>45959</v>
      </c>
      <c r="B1224">
        <v>45.05</v>
      </c>
      <c r="C1224">
        <v>24271720</v>
      </c>
      <c r="D1224">
        <v>45.06</v>
      </c>
      <c r="E1224">
        <v>45.354999999999997</v>
      </c>
      <c r="F1224">
        <v>44.865000000000002</v>
      </c>
    </row>
    <row r="1225" spans="1:6" x14ac:dyDescent="0.25">
      <c r="A1225" s="1">
        <v>45960</v>
      </c>
      <c r="B1225">
        <v>44.86</v>
      </c>
      <c r="C1225">
        <v>18870878</v>
      </c>
      <c r="D1225">
        <v>45</v>
      </c>
      <c r="E1225">
        <v>45.424999999999997</v>
      </c>
      <c r="F1225">
        <v>44.842500000000001</v>
      </c>
    </row>
    <row r="1226" spans="1:6" x14ac:dyDescent="0.25">
      <c r="A1226" s="1">
        <v>45961</v>
      </c>
      <c r="B1226">
        <v>44.55</v>
      </c>
      <c r="C1226">
        <v>18434786</v>
      </c>
      <c r="D1226">
        <v>44.66</v>
      </c>
      <c r="E1226">
        <v>44.79</v>
      </c>
      <c r="F1226">
        <v>44.314999999999998</v>
      </c>
    </row>
    <row r="1227" spans="1:6" x14ac:dyDescent="0.25">
      <c r="A1227" s="1">
        <v>45964</v>
      </c>
      <c r="B1227">
        <v>44.575000000000003</v>
      </c>
      <c r="C1227">
        <v>22339700</v>
      </c>
      <c r="D1227">
        <v>44.515000000000001</v>
      </c>
      <c r="E1227">
        <v>44.7</v>
      </c>
      <c r="F1227">
        <v>44.055</v>
      </c>
    </row>
    <row r="1228" spans="1:6" x14ac:dyDescent="0.25">
      <c r="A1228" s="1">
        <v>45965</v>
      </c>
      <c r="B1228">
        <v>44.414999999999999</v>
      </c>
      <c r="C1228">
        <v>17156732</v>
      </c>
      <c r="D1228">
        <v>44.555</v>
      </c>
      <c r="E1228">
        <v>44.59</v>
      </c>
      <c r="F1228">
        <v>44.222499999999997</v>
      </c>
    </row>
    <row r="1229" spans="1:6" x14ac:dyDescent="0.25">
      <c r="A1229" s="1">
        <v>45966</v>
      </c>
      <c r="B1229">
        <v>44.424999999999997</v>
      </c>
      <c r="C1229">
        <v>16859086</v>
      </c>
      <c r="D1229">
        <v>44.405000000000001</v>
      </c>
      <c r="E1229">
        <v>44.634999999999998</v>
      </c>
      <c r="F1229">
        <v>44.22</v>
      </c>
    </row>
    <row r="1230" spans="1:6" x14ac:dyDescent="0.25">
      <c r="A1230" s="1">
        <v>45967</v>
      </c>
      <c r="B1230">
        <v>44.23</v>
      </c>
      <c r="C1230">
        <v>23668740</v>
      </c>
      <c r="D1230">
        <v>44.344999999999999</v>
      </c>
      <c r="E1230">
        <v>44.68</v>
      </c>
      <c r="F1230">
        <v>44.207500000000003</v>
      </c>
    </row>
    <row r="1231" spans="1:6" x14ac:dyDescent="0.25">
      <c r="A1231" s="1">
        <v>45968</v>
      </c>
      <c r="B1231">
        <v>44.844999999999999</v>
      </c>
      <c r="C1231">
        <v>24337620</v>
      </c>
      <c r="D1231">
        <v>44.05</v>
      </c>
      <c r="E1231">
        <v>44.854999999999997</v>
      </c>
      <c r="F1231">
        <v>44.05</v>
      </c>
    </row>
    <row r="1232" spans="1:6" x14ac:dyDescent="0.25">
      <c r="A1232" s="1">
        <v>45971</v>
      </c>
      <c r="B1232">
        <v>44.83</v>
      </c>
      <c r="C1232">
        <v>17947188</v>
      </c>
      <c r="D1232">
        <v>44.975000000000001</v>
      </c>
      <c r="E1232">
        <v>45.18</v>
      </c>
      <c r="F1232">
        <v>44.445</v>
      </c>
    </row>
    <row r="1233" spans="1:6" x14ac:dyDescent="0.25">
      <c r="A1233" s="1">
        <v>45972</v>
      </c>
      <c r="B1233">
        <v>44.854999999999997</v>
      </c>
      <c r="C1233">
        <v>14435302</v>
      </c>
      <c r="D1233">
        <v>44.85</v>
      </c>
      <c r="E1233">
        <v>45.031300000000002</v>
      </c>
      <c r="F1233">
        <v>44.602499999999999</v>
      </c>
    </row>
    <row r="1234" spans="1:6" x14ac:dyDescent="0.25">
      <c r="A1234" s="1">
        <v>45973</v>
      </c>
      <c r="B1234">
        <v>44.96</v>
      </c>
      <c r="C1234">
        <v>15018498</v>
      </c>
      <c r="D1234">
        <v>44.884999999999998</v>
      </c>
      <c r="E1234">
        <v>44.997500000000002</v>
      </c>
      <c r="F1234">
        <v>44.71</v>
      </c>
    </row>
    <row r="1235" spans="1:6" x14ac:dyDescent="0.25">
      <c r="A1235" s="1">
        <v>45974</v>
      </c>
      <c r="B1235">
        <v>44.34</v>
      </c>
      <c r="C1235">
        <v>20675360</v>
      </c>
      <c r="D1235">
        <v>44.844999999999999</v>
      </c>
      <c r="E1235">
        <v>44.844999999999999</v>
      </c>
      <c r="F1235">
        <v>44.305</v>
      </c>
    </row>
    <row r="1236" spans="1:6" x14ac:dyDescent="0.25">
      <c r="A1236" s="1">
        <v>45975</v>
      </c>
      <c r="B1236">
        <v>44.38</v>
      </c>
      <c r="C1236">
        <v>20168800</v>
      </c>
      <c r="D1236">
        <v>44.212499999999999</v>
      </c>
      <c r="E1236">
        <v>44.72</v>
      </c>
      <c r="F1236">
        <v>44.11</v>
      </c>
    </row>
    <row r="1237" spans="1:6" x14ac:dyDescent="0.25">
      <c r="A1237" s="1">
        <v>45978</v>
      </c>
      <c r="B1237">
        <v>44.78</v>
      </c>
      <c r="C1237">
        <v>24201420</v>
      </c>
      <c r="D1237">
        <v>44.465000000000003</v>
      </c>
      <c r="E1237">
        <v>44.93</v>
      </c>
      <c r="F1237">
        <v>44.42</v>
      </c>
    </row>
    <row r="1238" spans="1:6" x14ac:dyDescent="0.25">
      <c r="A1238" s="1">
        <v>45979</v>
      </c>
      <c r="B1238">
        <v>44.61</v>
      </c>
      <c r="C1238">
        <v>25158720</v>
      </c>
      <c r="D1238">
        <v>44.82</v>
      </c>
      <c r="E1238">
        <v>45.034999999999997</v>
      </c>
      <c r="F1238">
        <v>44.594999999999999</v>
      </c>
    </row>
    <row r="1239" spans="1:6" x14ac:dyDescent="0.25">
      <c r="A1239" s="1">
        <v>45980</v>
      </c>
      <c r="B1239">
        <v>44.234999999999999</v>
      </c>
      <c r="C1239">
        <v>25095520</v>
      </c>
      <c r="D1239">
        <v>44.645000000000003</v>
      </c>
      <c r="E1239">
        <v>44.77</v>
      </c>
      <c r="F1239">
        <v>44.14</v>
      </c>
    </row>
    <row r="1240" spans="1:6" x14ac:dyDescent="0.25">
      <c r="A1240" s="1">
        <v>45981</v>
      </c>
      <c r="B1240">
        <v>44.01</v>
      </c>
      <c r="C1240">
        <v>25543200</v>
      </c>
      <c r="D1240">
        <v>44.585000000000001</v>
      </c>
      <c r="E1240">
        <v>44.86</v>
      </c>
      <c r="F1240">
        <v>43.98</v>
      </c>
    </row>
    <row r="1241" spans="1:6" x14ac:dyDescent="0.25">
      <c r="A1241" s="1">
        <v>45982</v>
      </c>
      <c r="B1241">
        <v>44.075000000000003</v>
      </c>
      <c r="C1241">
        <v>28589340</v>
      </c>
      <c r="D1241">
        <v>44.195</v>
      </c>
      <c r="E1241">
        <v>44.25</v>
      </c>
      <c r="F1241">
        <v>43.76</v>
      </c>
    </row>
    <row r="1242" spans="1:6" x14ac:dyDescent="0.25">
      <c r="A1242" s="1">
        <v>45985</v>
      </c>
      <c r="B1242">
        <v>44.575000000000003</v>
      </c>
      <c r="C1242">
        <v>23572720</v>
      </c>
      <c r="D1242">
        <v>44.14</v>
      </c>
      <c r="E1242">
        <v>44.69</v>
      </c>
      <c r="F1242">
        <v>43.862499999999997</v>
      </c>
    </row>
    <row r="1243" spans="1:6" x14ac:dyDescent="0.25">
      <c r="A1243" s="1">
        <v>45986</v>
      </c>
      <c r="B1243">
        <v>44.405000000000001</v>
      </c>
      <c r="C1243">
        <v>22195600</v>
      </c>
      <c r="D1243">
        <v>44.69</v>
      </c>
      <c r="E1243">
        <v>44.76</v>
      </c>
      <c r="F1243">
        <v>44.222499999999997</v>
      </c>
    </row>
    <row r="1244" spans="1:6" x14ac:dyDescent="0.25">
      <c r="A1244" s="1">
        <v>45987</v>
      </c>
      <c r="B1244">
        <v>44.994999999999997</v>
      </c>
      <c r="C1244">
        <v>16759198</v>
      </c>
      <c r="D1244">
        <v>44.642499999999998</v>
      </c>
      <c r="E1244">
        <v>45.047499999999999</v>
      </c>
      <c r="F1244">
        <v>44.56</v>
      </c>
    </row>
    <row r="1245" spans="1:6" x14ac:dyDescent="0.25">
      <c r="A1245" s="1">
        <v>45989</v>
      </c>
      <c r="B1245">
        <v>45.314999999999998</v>
      </c>
      <c r="C1245">
        <v>7882586</v>
      </c>
      <c r="D1245">
        <v>45.07</v>
      </c>
      <c r="E1245">
        <v>45.35</v>
      </c>
      <c r="F1245">
        <v>45.022500000000001</v>
      </c>
    </row>
    <row r="1246" spans="1:6" x14ac:dyDescent="0.25">
      <c r="A1246" s="1">
        <v>45992</v>
      </c>
      <c r="B1246">
        <v>44.255000000000003</v>
      </c>
      <c r="C1246">
        <v>26338940</v>
      </c>
      <c r="D1246">
        <v>45.06</v>
      </c>
      <c r="E1246">
        <v>45.06</v>
      </c>
      <c r="F1246">
        <v>44.23</v>
      </c>
    </row>
    <row r="1247" spans="1:6" x14ac:dyDescent="0.25">
      <c r="A1247" s="1">
        <v>45993</v>
      </c>
      <c r="B1247">
        <v>43.94</v>
      </c>
      <c r="C1247">
        <v>17384114</v>
      </c>
      <c r="D1247">
        <v>44.46</v>
      </c>
      <c r="E1247">
        <v>44.46</v>
      </c>
      <c r="F1247">
        <v>43.8825</v>
      </c>
    </row>
    <row r="1248" spans="1:6" x14ac:dyDescent="0.25">
      <c r="A1248" s="1">
        <v>45994</v>
      </c>
      <c r="B1248">
        <v>43.8</v>
      </c>
      <c r="C1248">
        <v>21727920</v>
      </c>
      <c r="D1248">
        <v>43.975000000000001</v>
      </c>
      <c r="E1248">
        <v>44.1</v>
      </c>
      <c r="F1248">
        <v>43.627499999999998</v>
      </c>
    </row>
    <row r="1249" spans="1:6" x14ac:dyDescent="0.25">
      <c r="A1249" s="1">
        <v>45995</v>
      </c>
      <c r="B1249">
        <v>43.71</v>
      </c>
      <c r="C1249">
        <v>15535178</v>
      </c>
      <c r="D1249">
        <v>43.774999999999999</v>
      </c>
      <c r="E1249">
        <v>44.06</v>
      </c>
      <c r="F1249">
        <v>43.56</v>
      </c>
    </row>
    <row r="1250" spans="1:6" x14ac:dyDescent="0.25">
      <c r="A1250" s="1">
        <v>45996</v>
      </c>
      <c r="B1250">
        <v>43.3</v>
      </c>
      <c r="C1250">
        <v>13474680</v>
      </c>
      <c r="D1250">
        <v>43.72</v>
      </c>
      <c r="E1250">
        <v>43.78</v>
      </c>
      <c r="F1250">
        <v>43.28</v>
      </c>
    </row>
    <row r="1251" spans="1:6" x14ac:dyDescent="0.25">
      <c r="A1251" s="1">
        <v>45999</v>
      </c>
      <c r="B1251">
        <v>42.72</v>
      </c>
      <c r="C1251">
        <v>21607860</v>
      </c>
      <c r="D1251">
        <v>43.38</v>
      </c>
      <c r="E1251">
        <v>43.41</v>
      </c>
      <c r="F1251">
        <v>42.66</v>
      </c>
    </row>
    <row r="1252" spans="1:6" x14ac:dyDescent="0.25">
      <c r="A1252" s="1">
        <v>46000</v>
      </c>
      <c r="B1252">
        <v>42.75</v>
      </c>
      <c r="C1252">
        <v>24347240</v>
      </c>
      <c r="D1252">
        <v>42.95</v>
      </c>
      <c r="E1252">
        <v>43.17</v>
      </c>
      <c r="F1252">
        <v>42.73</v>
      </c>
    </row>
    <row r="1253" spans="1:6" x14ac:dyDescent="0.25">
      <c r="A1253" s="1">
        <v>46001</v>
      </c>
      <c r="B1253">
        <v>42.73</v>
      </c>
      <c r="C1253">
        <v>25940250</v>
      </c>
      <c r="D1253">
        <v>42.8</v>
      </c>
      <c r="E1253">
        <v>42.825000000000003</v>
      </c>
      <c r="F1253">
        <v>42.414999999999999</v>
      </c>
    </row>
    <row r="1254" spans="1:6" x14ac:dyDescent="0.25">
      <c r="A1254" s="1">
        <v>46002</v>
      </c>
      <c r="B1254">
        <v>43.04</v>
      </c>
      <c r="C1254">
        <v>18703290</v>
      </c>
      <c r="D1254">
        <v>42.65</v>
      </c>
      <c r="E1254">
        <v>43.15</v>
      </c>
      <c r="F1254">
        <v>42.65</v>
      </c>
    </row>
    <row r="1255" spans="1:6" x14ac:dyDescent="0.25">
      <c r="A1255" s="1">
        <v>46003</v>
      </c>
      <c r="B1255">
        <v>42.83</v>
      </c>
      <c r="C1255">
        <v>17179820</v>
      </c>
      <c r="D1255">
        <v>43.17</v>
      </c>
      <c r="E1255">
        <v>43.378900000000002</v>
      </c>
      <c r="F1255">
        <v>42.77</v>
      </c>
    </row>
    <row r="1256" spans="1:6" x14ac:dyDescent="0.25">
      <c r="A1256" s="1">
        <v>46006</v>
      </c>
      <c r="B1256">
        <v>43.22</v>
      </c>
      <c r="C1256">
        <v>19176440</v>
      </c>
      <c r="D1256">
        <v>43.11</v>
      </c>
      <c r="E1256">
        <v>43.29</v>
      </c>
      <c r="F1256">
        <v>42.83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3F7230D-8D9F-413F-930E-6A01C65A0FC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README_Web</vt:lpstr>
      <vt:lpstr>Analysis_Dashboard</vt:lpstr>
      <vt:lpstr>Methodology</vt:lpstr>
      <vt:lpstr>Risk_Analysis</vt:lpstr>
      <vt:lpstr>Optimization_Calculations</vt:lpstr>
      <vt:lpstr>Indexed_Performance_Data</vt:lpstr>
      <vt:lpstr>SPY_Raw_Data</vt:lpstr>
      <vt:lpstr>XLU_Raw_Data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Hold This L</dc:creator>
  <cp:lastModifiedBy>Hold This L</cp:lastModifiedBy>
  <dcterms:created xsi:type="dcterms:W3CDTF">2025-12-17T01:01:22Z</dcterms:created>
  <dcterms:modified xsi:type="dcterms:W3CDTF">2025-12-23T22:29:40Z</dcterms:modified>
</cp:coreProperties>
</file>